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risil-my.sharepoint.com/personal/lokeshk_ad_crisil_com/Documents/1_Team_Fixed Income (Credit)/Bara Model Work/Bara - Model Build Structure/Oct 2026 - Trinidad and Tobago Telekom/"/>
    </mc:Choice>
  </mc:AlternateContent>
  <xr:revisionPtr revIDLastSave="4396" documentId="13_ncr:1_{277334F8-7503-4F1A-87C7-953AC9265219}" xr6:coauthVersionLast="47" xr6:coauthVersionMax="47" xr10:uidLastSave="{5E72B4E8-7B6E-486C-8D3E-1BF3F31377BA}"/>
  <bookViews>
    <workbookView xWindow="-120" yWindow="-120" windowWidth="29040" windowHeight="15720" xr2:uid="{00000000-000D-0000-FFFF-FFFF00000000}"/>
  </bookViews>
  <sheets>
    <sheet name="Capitalisation" sheetId="8" r:id="rId1"/>
    <sheet name="Model" sheetId="6" r:id="rId2"/>
    <sheet name="KPI" sheetId="12" r:id="rId3"/>
    <sheet name="Others" sheetId="13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\A" localSheetId="1">#REF!</definedName>
    <definedName name="\A">#REF!</definedName>
    <definedName name="\B" localSheetId="1">#REF!</definedName>
    <definedName name="\B">#REF!</definedName>
    <definedName name="\C" localSheetId="1">#REF!</definedName>
    <definedName name="\C">#REF!</definedName>
    <definedName name="\L">#REF!</definedName>
    <definedName name="\M">#REF!</definedName>
    <definedName name="\P">#REF!</definedName>
    <definedName name="\Y">#REF!</definedName>
    <definedName name="__FDS_HYPERLINK_TOGGLE_STATE__" hidden="1">"ON"</definedName>
    <definedName name="_01_30_04" localSheetId="2">MonthlyOpStats</definedName>
    <definedName name="_01_30_04" localSheetId="1">MonthlyOpStats</definedName>
    <definedName name="_01_30_04" localSheetId="3">MonthlyOpStats</definedName>
    <definedName name="_01_30_04">MonthlyOpStats</definedName>
    <definedName name="_1_30_01" localSheetId="2">MonthlyOpStats</definedName>
    <definedName name="_1_30_01" localSheetId="1">MonthlyOpStats</definedName>
    <definedName name="_1_30_01" localSheetId="3">MonthlyOpStats</definedName>
    <definedName name="_1_30_01">MonthlyOpStats</definedName>
    <definedName name="_1_30_02" localSheetId="2">MonthlyOpStats</definedName>
    <definedName name="_1_30_02" localSheetId="1">MonthlyOpStats</definedName>
    <definedName name="_1_30_02" localSheetId="3">MonthlyOpStats</definedName>
    <definedName name="_1_30_02">MonthlyOpStats</definedName>
    <definedName name="_1_31_01" localSheetId="2">MonthlyOpStats</definedName>
    <definedName name="_1_31_01" localSheetId="1">MonthlyOpStats</definedName>
    <definedName name="_1_31_01" localSheetId="3">MonthlyOpStats</definedName>
    <definedName name="_1_31_01">MonthlyOpStats</definedName>
    <definedName name="_1_31_02" localSheetId="2">MonthlyOpStats</definedName>
    <definedName name="_1_31_02" localSheetId="1">MonthlyOpStats</definedName>
    <definedName name="_1_31_02" localSheetId="3">MonthlyOpStats</definedName>
    <definedName name="_1_31_02">MonthlyOpStats</definedName>
    <definedName name="_12_31_05" localSheetId="2">MonthlyOpStats</definedName>
    <definedName name="_12_31_05" localSheetId="1">MonthlyOpStats</definedName>
    <definedName name="_12_31_05" localSheetId="3">MonthlyOpStats</definedName>
    <definedName name="_12_31_05">MonthlyOpStats</definedName>
    <definedName name="_A" localSheetId="1">#REF!</definedName>
    <definedName name="_A">#REF!</definedName>
    <definedName name="_A___0" localSheetId="1">#REF!</definedName>
    <definedName name="_A___0">#REF!</definedName>
    <definedName name="_B" localSheetId="1">#REF!</definedName>
    <definedName name="_B">#REF!</definedName>
    <definedName name="_B___0">#REF!</definedName>
    <definedName name="_C">#REF!</definedName>
    <definedName name="_C___0">#REF!</definedName>
    <definedName name="_Common_Size_Income_Statement" function="1" xlm="1">[1]Model!#REF!</definedName>
    <definedName name="_ent1">[2]Inputs!$J$17</definedName>
    <definedName name="_ent10">[2]Inputs!$J$476</definedName>
    <definedName name="_ent11">[2]Inputs!$J$527</definedName>
    <definedName name="_ent12">[2]Inputs!$J$578</definedName>
    <definedName name="_ent13">[2]Inputs!$J$629</definedName>
    <definedName name="_ent14">[2]Inputs!$J$680</definedName>
    <definedName name="_ent15">[2]Inputs!$J$731</definedName>
    <definedName name="_ent2">[2]Inputs!$J$68</definedName>
    <definedName name="_ent3">[2]Inputs!$J$119</definedName>
    <definedName name="_ent4">[2]Inputs!$J$170</definedName>
    <definedName name="_ent5">[2]Inputs!$J$221</definedName>
    <definedName name="_ent6">[2]Inputs!$J$272</definedName>
    <definedName name="_ent7">[2]Inputs!$J$323</definedName>
    <definedName name="_ent8">[2]Inputs!$J$374</definedName>
    <definedName name="_ent9">[2]Inputs!$J$425</definedName>
    <definedName name="_eps1">[2]Inputs!$P$42</definedName>
    <definedName name="_eps10">[2]Inputs!$P$501</definedName>
    <definedName name="_eps11">[2]Inputs!$P$552</definedName>
    <definedName name="_eps12">[2]Inputs!$P$603</definedName>
    <definedName name="_eps13">[2]Inputs!$P$654</definedName>
    <definedName name="_eps14">[2]Inputs!$P$705</definedName>
    <definedName name="_eps15">[2]Inputs!$P$756</definedName>
    <definedName name="_eps2">[2]Inputs!$P$93</definedName>
    <definedName name="_eps3">[2]Inputs!$P$144</definedName>
    <definedName name="_eps4">[2]Inputs!$P$195</definedName>
    <definedName name="_eps5">[2]Inputs!$P$246</definedName>
    <definedName name="_eps6">[2]Inputs!$P$297</definedName>
    <definedName name="_eps7">[2]Inputs!$P$348</definedName>
    <definedName name="_eps8">[2]Inputs!$P$399</definedName>
    <definedName name="_eps9">[2]Inputs!$P$450</definedName>
    <definedName name="_Fill" localSheetId="1" hidden="1">[3]FxdChg!#REF!</definedName>
    <definedName name="_Fill" hidden="1">[3]FxdChg!#REF!</definedName>
    <definedName name="_fye1">[2]Inputs!$E$12</definedName>
    <definedName name="_fye10">[2]Inputs!$E$471</definedName>
    <definedName name="_fye11">[2]Inputs!$E$522</definedName>
    <definedName name="_fye12">[2]Inputs!$E$573</definedName>
    <definedName name="_fye13">[2]Inputs!$E$624</definedName>
    <definedName name="_fye14">[2]Inputs!$E$675</definedName>
    <definedName name="_fye15">[2]Inputs!$E$726</definedName>
    <definedName name="_fye2">[2]Inputs!$E$63</definedName>
    <definedName name="_fye3">[2]Inputs!$E$114</definedName>
    <definedName name="_fye4">[2]Inputs!$E$165</definedName>
    <definedName name="_fye5">[2]Inputs!$E$216</definedName>
    <definedName name="_fye6">[2]Inputs!$E$267</definedName>
    <definedName name="_fye7">[2]Inputs!$E$318</definedName>
    <definedName name="_fye8">[2]Inputs!$E$369</definedName>
    <definedName name="_fye9">[2]Inputs!$E$420</definedName>
    <definedName name="_GEI_Returns" localSheetId="1">[1]Model!#REF!</definedName>
    <definedName name="_GEI_Returns">[1]Model!#REF!</definedName>
    <definedName name="_L" localSheetId="1">#REF!</definedName>
    <definedName name="_L">#REF!</definedName>
    <definedName name="_L___0" localSheetId="1">#REF!</definedName>
    <definedName name="_L___0">#REF!</definedName>
    <definedName name="_mv1">[2]Inputs!$J$16</definedName>
    <definedName name="_mv10">[2]Inputs!$J$475</definedName>
    <definedName name="_mv11">[2]Inputs!$J$526</definedName>
    <definedName name="_mv12">[2]Inputs!$J$577</definedName>
    <definedName name="_mv13">[2]Inputs!$J$628</definedName>
    <definedName name="_mv14">[2]Inputs!$J$679</definedName>
    <definedName name="_mv15">[2]Inputs!$J$730</definedName>
    <definedName name="_mv2">[2]Inputs!$J$67</definedName>
    <definedName name="_mv3">[2]Inputs!$J$118</definedName>
    <definedName name="_mv4">[2]Inputs!$J$169</definedName>
    <definedName name="_mv5">[2]Inputs!$J$220</definedName>
    <definedName name="_mv6">[2]Inputs!$J$271</definedName>
    <definedName name="_mv7">[2]Inputs!$J$322</definedName>
    <definedName name="_mv8">[2]Inputs!$J$373</definedName>
    <definedName name="_mv9">[2]Inputs!$J$424</definedName>
    <definedName name="_Order1" hidden="1">0</definedName>
    <definedName name="_Order2" hidden="1">0</definedName>
    <definedName name="_P">#REF!</definedName>
    <definedName name="_P___0">#REF!</definedName>
    <definedName name="_Returns" function="1" xlm="1">[1]Model!#REF!</definedName>
    <definedName name="_Table2_Out" localSheetId="1" hidden="1">#REF!</definedName>
    <definedName name="_Table2_Out" hidden="1">#REF!</definedName>
    <definedName name="_xleta.AND" hidden="1" xlm="1">#NAME?</definedName>
    <definedName name="_xleta.SUM" hidden="1" xlm="1">#NAME?</definedName>
    <definedName name="_xleta.T" hidden="1" xlm="1">#NAME?</definedName>
    <definedName name="_Y" localSheetId="1">#REF!</definedName>
    <definedName name="_Y">#REF!</definedName>
    <definedName name="_Y___0" localSheetId="1">#REF!</definedName>
    <definedName name="_Y___0">#REF!</definedName>
    <definedName name="Aa_Recovery" localSheetId="1">#REF!</definedName>
    <definedName name="Aa_Recovery">#REF!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ccrued_Comp_Sales" localSheetId="1">'[4]Tanning Assumptions'!#REF!</definedName>
    <definedName name="Accrued_Comp_Sales">'[4]Tanning Assumptions'!#REF!</definedName>
    <definedName name="acq" localSheetId="1">#REF!</definedName>
    <definedName name="acq">#REF!</definedName>
    <definedName name="acquiror" localSheetId="1">#REF!</definedName>
    <definedName name="acquiror">#REF!</definedName>
    <definedName name="AdSalesCash" localSheetId="1">#REF!</definedName>
    <definedName name="AdSalesCash">#REF!</definedName>
    <definedName name="AdSalesTrade">#REF!</definedName>
    <definedName name="AdSalesWebsite">#REF!</definedName>
    <definedName name="AICORR">#REF!</definedName>
    <definedName name="AllBH">#REF!</definedName>
    <definedName name="allProjects">#REF!</definedName>
    <definedName name="amort" localSheetId="1">[5]Inputs!#REF!</definedName>
    <definedName name="amort">[5]Inputs!#REF!</definedName>
    <definedName name="AP_Sales" localSheetId="1">'[4]Tanning Assumptions'!#REF!</definedName>
    <definedName name="AP_Sales">'[4]Tanning Assumptions'!#REF!</definedName>
    <definedName name="AR_Other_Sales" localSheetId="1">'[4]Tanning Assumptions'!#REF!</definedName>
    <definedName name="AR_Other_Sales">'[4]Tanning Assumptions'!#REF!</definedName>
    <definedName name="AR_Trade_Sales" localSheetId="1">'[4]Tanning Assumptions'!#REF!</definedName>
    <definedName name="AR_Trade_Sales">'[4]Tanning Assumptions'!#REF!</definedName>
    <definedName name="As_Of_Date">[6]Selections!$C$2</definedName>
    <definedName name="asdfa" localSheetId="1">#REF!</definedName>
    <definedName name="asdfa">#REF!</definedName>
    <definedName name="AsOfDate">'[7]AUM YTD 2000'!$W$1</definedName>
    <definedName name="AssetPur" function="1" xlm="1">[1]Model!#REF!</definedName>
    <definedName name="ASSUMPTIONS" localSheetId="1">#REF!</definedName>
    <definedName name="ASSUMPTIONS">#REF!</definedName>
    <definedName name="B_S" localSheetId="1">#REF!</definedName>
    <definedName name="B_S">#REF!</definedName>
    <definedName name="Baa_Recovery" localSheetId="1">#REF!</definedName>
    <definedName name="Baa_Recovery">#REF!</definedName>
    <definedName name="bal">#REF!</definedName>
    <definedName name="banner2">[8]CONTROL!$D$10</definedName>
    <definedName name="banner2___0">[8]CONTROL!$D$10</definedName>
    <definedName name="Base_Case" localSheetId="1">#REF!</definedName>
    <definedName name="Base_Case">#REF!</definedName>
    <definedName name="Billable" localSheetId="1">#REF!</definedName>
    <definedName name="Billable">#REF!</definedName>
    <definedName name="BillableHeadcount" localSheetId="1">#REF!</definedName>
    <definedName name="BillableHeadcount">#REF!</definedName>
    <definedName name="body">#REF!</definedName>
    <definedName name="BREAK_EVEN">#REF!</definedName>
    <definedName name="BREAK_EVEN___0">#REF!</definedName>
    <definedName name="Broadwing__Inc__Cincinnati_Bell">#REF!</definedName>
    <definedName name="brob">#REF!</definedName>
    <definedName name="bs">[5]Inputs!#REF!</definedName>
    <definedName name="case" localSheetId="1">#REF!</definedName>
    <definedName name="case">#REF!</definedName>
    <definedName name="case1">[9]CONTROL!$A$12</definedName>
    <definedName name="case2">[9]CONTROL!$A$13</definedName>
    <definedName name="case3">[9]CONTROL!$A$14</definedName>
    <definedName name="CASH_FLOW" localSheetId="1">#REF!</definedName>
    <definedName name="CASH_FLOW">#REF!</definedName>
    <definedName name="Cash_Sales" localSheetId="1">'[4]Tanning Assumptions'!#REF!</definedName>
    <definedName name="Cash_Sales">'[4]Tanning Assumptions'!#REF!</definedName>
    <definedName name="CASHBUDGET" localSheetId="1">#REF!</definedName>
    <definedName name="CASHBUDGET">#REF!</definedName>
    <definedName name="CASHBUDGET___0" localSheetId="1">#REF!</definedName>
    <definedName name="CASHBUDGET___0">#REF!</definedName>
    <definedName name="CASHFLOWS_MONTH" localSheetId="1">#REF!</definedName>
    <definedName name="CASHFLOWS_MONTH">#REF!</definedName>
    <definedName name="CASHFLOWS_MONTH___0">#REF!</definedName>
    <definedName name="CASHFLOWS_YEARS">#REF!</definedName>
    <definedName name="CASHFLOWS_YEARS___0">#REF!</definedName>
    <definedName name="cashint">#REF!</definedName>
    <definedName name="cashint___0">#REF!</definedName>
    <definedName name="CBHC">#REF!</definedName>
    <definedName name="cfl">#REF!</definedName>
    <definedName name="ChartDataRange">#REF!</definedName>
    <definedName name="CINC">#REF!</definedName>
    <definedName name="CIQWBGuid" localSheetId="1" hidden="1">"29fc81c4-de8e-4627-9c24-1799dc1c32f9"</definedName>
    <definedName name="CIQWBGuid" hidden="1">"fe0dfdb4-206b-4e5b-a01c-c2e94030ead8"</definedName>
    <definedName name="CIQWBInfo" hidden="1">"{ ""CIQVersion"":""9.45.614.5792"" }"</definedName>
    <definedName name="circ" localSheetId="1">[5]Inputs!#REF!</definedName>
    <definedName name="circ">[5]Inputs!#REF!</definedName>
    <definedName name="CircRev" localSheetId="1">#REF!</definedName>
    <definedName name="CircRev">#REF!</definedName>
    <definedName name="Class_3_Agg_Cash" localSheetId="1">[10]Revolver!#REF!</definedName>
    <definedName name="Class_3_Agg_Cash">[10]Revolver!#REF!</definedName>
    <definedName name="Class_3_Amt_BET" localSheetId="1">[10]Revolver!#REF!</definedName>
    <definedName name="Class_3_Amt_BET">[10]Revolver!#REF!</definedName>
    <definedName name="Class_A_Interest" localSheetId="1">#REF!</definedName>
    <definedName name="Class_A_Interest">#REF!</definedName>
    <definedName name="Class_A_Principal" localSheetId="1">#REF!</definedName>
    <definedName name="Class_A_Principal">#REF!</definedName>
    <definedName name="Class_B_Interest" localSheetId="1">#REF!</definedName>
    <definedName name="Class_B_Interest">#REF!</definedName>
    <definedName name="Class_B_Principal">#REF!</definedName>
    <definedName name="Class_C_Payment">#REF!</definedName>
    <definedName name="ClassABC">'[6]Debt Structure'!$AN$7</definedName>
    <definedName name="ClassABCD">'[6]Debt Structure'!$AN$8</definedName>
    <definedName name="ClassABCDE">'[6]Debt Structure'!$AN$9</definedName>
    <definedName name="Clients" localSheetId="1">#REF!</definedName>
    <definedName name="Clients">#REF!</definedName>
    <definedName name="closing_date" localSheetId="1">#REF!</definedName>
    <definedName name="closing_date">#REF!</definedName>
    <definedName name="closingttmrevenue" localSheetId="1">#REF!</definedName>
    <definedName name="closingttmrevenue">#REF!</definedName>
    <definedName name="CMBSIG">#REF!</definedName>
    <definedName name="Column_Lookup">'[11]MASTER DRIVER'!$C$5:$D$29</definedName>
    <definedName name="COMBINED_J_W__3_111403_JUP_IND_PROFORMA_List" localSheetId="1">#REF!</definedName>
    <definedName name="COMBINED_J_W__3_111403_JUP_IND_PROFORMA_List">#REF!</definedName>
    <definedName name="company">[12]CONTROL!$D$7</definedName>
    <definedName name="company___0">[8]CONTROL!$D$7</definedName>
    <definedName name="cons" localSheetId="1">#REF!</definedName>
    <definedName name="cons">#REF!</definedName>
    <definedName name="consultants" localSheetId="1">#REF!</definedName>
    <definedName name="consultants">#REF!</definedName>
    <definedName name="contrib2" localSheetId="1" hidden="1">{"page1",#N/A,FALSE,"Temp";"page2",#N/A,FALSE,"Temp";"page3",#N/A,FALSE,"Temp";"page4",#N/A,FALSE,"Temp";"page5",#N/A,FALSE,"Temp";"page6",#N/A,FALSE,"Temp"}</definedName>
    <definedName name="contrib2" hidden="1">{"page1",#N/A,FALSE,"Temp";"page2",#N/A,FALSE,"Temp";"page3",#N/A,FALSE,"Temp";"page4",#N/A,FALSE,"Temp";"page5",#N/A,FALSE,"Temp";"page6",#N/A,FALSE,"Temp"}</definedName>
    <definedName name="contrib3" localSheetId="1" hidden="1">{"page1",#N/A,FALSE,"Temp";"page2",#N/A,FALSE,"Temp";"page3",#N/A,FALSE,"Temp";"page4",#N/A,FALSE,"Temp";"page5",#N/A,FALSE,"Temp";"page6",#N/A,FALSE,"Temp"}</definedName>
    <definedName name="contrib3" hidden="1">{"page1",#N/A,FALSE,"Temp";"page2",#N/A,FALSE,"Temp";"page3",#N/A,FALSE,"Temp";"page4",#N/A,FALSE,"Temp";"page5",#N/A,FALSE,"Temp";"page6",#N/A,FALSE,"Temp"}</definedName>
    <definedName name="convertamt">#REF!</definedName>
    <definedName name="convertamt___0">#REF!</definedName>
    <definedName name="convertper">#REF!</definedName>
    <definedName name="convertper___0">#REF!</definedName>
    <definedName name="CorpName">'[13]MASTER DRIVERS'!$A$1</definedName>
    <definedName name="COSTREPORT" localSheetId="1">#REF!</definedName>
    <definedName name="COSTREPORT">#REF!</definedName>
    <definedName name="COSTREPORT___0" localSheetId="1">#REF!</definedName>
    <definedName name="COSTREPORT___0">#REF!</definedName>
    <definedName name="counter" localSheetId="1">'[14]Portfolio Input'!#REF!</definedName>
    <definedName name="counter">'[14]Portfolio Input'!#REF!</definedName>
    <definedName name="counter2" localSheetId="1">'[14]Portfolio Input'!#REF!</definedName>
    <definedName name="counter2">'[14]Portfolio Input'!#REF!</definedName>
    <definedName name="Coupon">[15]Inputs!$J$30</definedName>
    <definedName name="CSEnd" localSheetId="1">#REF!</definedName>
    <definedName name="CSEnd">#REF!</definedName>
    <definedName name="CSHO" localSheetId="1">#REF!</definedName>
    <definedName name="CSHO">#REF!</definedName>
    <definedName name="CSHPRI" localSheetId="1">#REF!</definedName>
    <definedName name="CSHPRI">#REF!</definedName>
    <definedName name="current1">[2]Inputs!$E$21</definedName>
    <definedName name="current10">[2]Inputs!$E$480</definedName>
    <definedName name="current11">[2]Inputs!$E$531</definedName>
    <definedName name="current12">[2]Inputs!$E$582</definedName>
    <definedName name="current13">[2]Inputs!$E$633</definedName>
    <definedName name="current14">[2]Inputs!$E$684</definedName>
    <definedName name="current15">[2]Inputs!$E$735</definedName>
    <definedName name="current2">[2]Inputs!$E$72</definedName>
    <definedName name="current3">[2]Inputs!$E$123</definedName>
    <definedName name="current4">[2]Inputs!$E$174</definedName>
    <definedName name="current5">[2]Inputs!$E$225</definedName>
    <definedName name="current6">[2]Inputs!$E$276</definedName>
    <definedName name="current7">[2]Inputs!$E$327</definedName>
    <definedName name="current8">[2]Inputs!$E$378</definedName>
    <definedName name="current9">[2]Inputs!$E$429</definedName>
    <definedName name="CustomPubSales" localSheetId="1">#REF!</definedName>
    <definedName name="CustomPubSales">#REF!</definedName>
    <definedName name="Date" localSheetId="1">[16]Comps!#REF!</definedName>
    <definedName name="Date">[16]Comps!#REF!</definedName>
    <definedName name="Date_OC1">OFFSET([6]OCTrends!$B$2,0,0,COUNTA([6]OCTrends!$B$1:$B$65536)-1)</definedName>
    <definedName name="Date_OC2">OFFSET([6]OCTrends!$G$2,0,0,COUNTA([6]OCTrends!$G$1:$G$65536)-1)</definedName>
    <definedName name="Date_OC3">OFFSET([6]OCTrends!$L$2,0,0,COUNTA([6]OCTrends!$L$1:$L$65536)-1)</definedName>
    <definedName name="debtsched" localSheetId="1">[5]Inputs!#REF!</definedName>
    <definedName name="debtsched">[5]Inputs!#REF!</definedName>
    <definedName name="decconsultants" localSheetId="1">#REF!</definedName>
    <definedName name="decconsultants">#REF!</definedName>
    <definedName name="decemberemployees" localSheetId="1">#REF!</definedName>
    <definedName name="decemberemployees">#REF!</definedName>
    <definedName name="decemployees" localSheetId="1">#REF!</definedName>
    <definedName name="decemployees">#REF!</definedName>
    <definedName name="default">#REF!</definedName>
    <definedName name="Default_Scenario">#REF!</definedName>
    <definedName name="Default_Table">#REF!</definedName>
    <definedName name="Default_Timing">#REF!</definedName>
    <definedName name="depsched">[5]Inputs!#REF!</definedName>
    <definedName name="DivActual">OFFSET([6]DivTrends!$C$2,0,0,COUNTA([6]DivTrends!$C$1:$C$65536)-1)</definedName>
    <definedName name="DivCovenant">OFFSET([6]DivTrends!$D$2,0,0,COUNTA([6]DivTrends!$D$1:$D$65536)-1)</definedName>
    <definedName name="DivDate">OFFSET([6]DivTrends!$B$2,0,0,COUNTA([6]DivTrends!$B$1:$B$65536)-1)</definedName>
    <definedName name="Diversity">'[7]Actual vs Covenant'!$P$41:$Q$48</definedName>
    <definedName name="DiversityScore" localSheetId="1">#REF!</definedName>
    <definedName name="DiversityScore">#REF!</definedName>
    <definedName name="earnout" localSheetId="1">#REF!</definedName>
    <definedName name="earnout">#REF!</definedName>
    <definedName name="earnout___0" localSheetId="1">#REF!</definedName>
    <definedName name="earnout___0">#REF!</definedName>
    <definedName name="EBIT" localSheetId="1">#REF!</definedName>
    <definedName name="EBIT">#REF!</definedName>
    <definedName name="EBITDA" localSheetId="1">#REF!</definedName>
    <definedName name="EBITDA">#REF!</definedName>
    <definedName name="ebitda1">[2]Inputs!$P$46</definedName>
    <definedName name="ebitda10">[2]Inputs!$P$505</definedName>
    <definedName name="ebitda11">[2]Inputs!$P$556</definedName>
    <definedName name="ebitda12">[2]Inputs!$P$607</definedName>
    <definedName name="ebitda13">[2]Inputs!$P$658</definedName>
    <definedName name="ebitda14">[2]Inputs!$P$709</definedName>
    <definedName name="ebitda15">[2]Inputs!$P$760</definedName>
    <definedName name="ebitda2">[2]Inputs!$P$97</definedName>
    <definedName name="ebitda3">[2]Inputs!$P$148</definedName>
    <definedName name="ebitda4">[2]Inputs!$P$199</definedName>
    <definedName name="ebitda5">[2]Inputs!$P$250</definedName>
    <definedName name="ebitda6">[2]Inputs!$P$301</definedName>
    <definedName name="ebitda7">[2]Inputs!$P$352</definedName>
    <definedName name="ebitda8">[2]Inputs!$P$403</definedName>
    <definedName name="ebitda9">[2]Inputs!$P$454</definedName>
    <definedName name="effective_date" localSheetId="1">#REF!</definedName>
    <definedName name="effective_date">#REF!</definedName>
    <definedName name="ELC1_Top3">[7]TOP10!$D$3</definedName>
    <definedName name="ELC1_Top4">[7]TOP10!$D$8</definedName>
    <definedName name="ELC1FitchRatingChartData">[7]ELC1!$G$2:$H$11</definedName>
    <definedName name="ELC1FitchRatingChartSerial1">[7]ELC1!$H$2:$H$11</definedName>
    <definedName name="ELC1FitchRatingChartXScale">[7]ELC1!$G$2:$G$11</definedName>
    <definedName name="ELC1MoodyRatingChartData">[7]ELC1!$A$2:$B$14</definedName>
    <definedName name="ELC1MoodyRatingChartSerial1">[7]ELC1!$B$2:$B$14</definedName>
    <definedName name="ELC1MoodyRatingChartXScale">[7]ELC1!$A$2:$A$14</definedName>
    <definedName name="ELC1SPRatingChartData">[7]ELC1!$D$2:$E$14</definedName>
    <definedName name="ELC1SPRatingChartSerial1">[7]ELC1!$E$2:$E$14</definedName>
    <definedName name="ELC1SPRatingChartXScale">[7]ELC1!$D$2:$D$14</definedName>
    <definedName name="ELC2_Top3">[7]TOP10!$G$3</definedName>
    <definedName name="ELC2_Top4">[7]TOP10!$G$8</definedName>
    <definedName name="ELC2FitchRatingChartData">[7]ELC2!$G$2:$H$12</definedName>
    <definedName name="ELC2FitchRatingChartSerial1">[7]ELC2!$H$2:$H$12</definedName>
    <definedName name="ELC2FitchRatingChartXScale">[7]ELC2!$G$2:$G$12</definedName>
    <definedName name="ELC2MoodyRatingChartData">[7]ELC2!$A$2:$B$15</definedName>
    <definedName name="ELC2MoodyRatingChartSerial1">[7]ELC2!$B$2:$B$15</definedName>
    <definedName name="ELC2MoodyRatingChartXScale">[7]ELC2!$A$2:$A$15</definedName>
    <definedName name="ELC2SPRatingChartData">[7]ELC2!$D$2:$E$15</definedName>
    <definedName name="ELC2SPRatingChartSerial1">[7]ELC2!$E$2:$E$15</definedName>
    <definedName name="ELC2SPRatingChartXScale">[7]ELC2!$D$2:$D$15</definedName>
    <definedName name="ELC3_Top3">[7]TOP10!$J$3</definedName>
    <definedName name="ELC3_Top4">[7]TOP10!$J$8</definedName>
    <definedName name="ELC3FitchRatingChartData">[7]ELC3!$G$2:$H$14</definedName>
    <definedName name="ELC3FitchRatingChartSerial1">[7]ELC3!$H$2:$H$14</definedName>
    <definedName name="ELC3FitchRatingChartXScale">[7]ELC3!$G$2:$G$14</definedName>
    <definedName name="ELC3MoodyRatingChartData">[7]ELC3!$A$2:$B$15</definedName>
    <definedName name="ELC3MoodyRatingChartSerial1">[7]ELC3!$B$2:$B$15</definedName>
    <definedName name="ELC3MoodyRatingChartXScale">[7]ELC3!$A$2:$A$15</definedName>
    <definedName name="ELC3SPRatingChartData">[7]ELC3!$D$2:$E$16</definedName>
    <definedName name="ELC3SPRatingChartSerial1">[7]ELC3!$E$2:$E$16</definedName>
    <definedName name="ELC3SPRatingChartXScale">[7]ELC3!$D$2:$D$16</definedName>
    <definedName name="ELC4_Top3">[7]TOP10!$M$3</definedName>
    <definedName name="ELC4_Top4">[7]TOP10!$M$8</definedName>
    <definedName name="ELC4FitchRatingChartData">[7]ELC4!$G$2:$H$8</definedName>
    <definedName name="ELC4FitchRatingChartSerial1">[7]ELC4!$H$2:$H$8</definedName>
    <definedName name="ELC4FitchRatingChartXScale">[7]ELC4!$G$2:$G$8</definedName>
    <definedName name="ELC4MoodyRatingChartData">[7]ELC4!$A$2:$B$13</definedName>
    <definedName name="ELC4MoodyRatingChartSerial1">[7]ELC4!$B$2:$B$13</definedName>
    <definedName name="ELC4MoodyRatingChartXScale">[7]ELC4!$A$2:$A$13</definedName>
    <definedName name="ELC4SPRatingChartData">[7]ELC4!$D$2:$E$14</definedName>
    <definedName name="ELC4SPRatingChartSerial1">[7]ELC4!$E$2:$E$14</definedName>
    <definedName name="ELC4SPRatingChartXScale">[7]ELC4!$D$2:$D$14</definedName>
    <definedName name="ELC5_Top3">[7]TOP10!$P$3</definedName>
    <definedName name="ELC5_Top4">[7]TOP10!$P$8</definedName>
    <definedName name="ELC5FitchRatingChartData">[7]ELC5!$G$2:$H$9</definedName>
    <definedName name="ELC5FitchRatingChartSerial1">[7]ELC5!$H$2:$H$9</definedName>
    <definedName name="ELC5FitchRatingChartXScale">[7]ELC5!$G$2:$G$9</definedName>
    <definedName name="ELC5MoodyRatingChartData">[7]ELC5!$A$2:$B$14</definedName>
    <definedName name="ELC5MoodyRatingChartSerial1">[7]ELC5!$B$2:$B$14</definedName>
    <definedName name="ELC5MoodyRatingChartXScale">[7]ELC5!$A$2:$A$14</definedName>
    <definedName name="ELC5SPRatingChartData">[7]ELC5!$D$2:$E$14</definedName>
    <definedName name="ELC5SPRatingChartSerial1">[7]ELC5!$E$2:$E$14</definedName>
    <definedName name="ELC5SPRatingChartXScale">[7]ELC5!$D$2:$D$14</definedName>
    <definedName name="employees" localSheetId="1">#REF!</definedName>
    <definedName name="employees">#REF!</definedName>
    <definedName name="EndDay">[6]Selections!$R$3</definedName>
    <definedName name="EndMonth">[6]Selections!$R$2</definedName>
    <definedName name="EndYear">[6]Selections!$R$1</definedName>
    <definedName name="ePrint" localSheetId="1">[17]Consolidated!#REF!</definedName>
    <definedName name="ePrint">[17]Consolidated!#REF!</definedName>
    <definedName name="EQUITY">'[9]S&amp;U'!$E$12</definedName>
    <definedName name="equityamt" localSheetId="1">#REF!</definedName>
    <definedName name="equityamt">#REF!</definedName>
    <definedName name="equityamt___0" localSheetId="1">#REF!</definedName>
    <definedName name="equityamt___0">#REF!</definedName>
    <definedName name="equityper" localSheetId="1">#REF!</definedName>
    <definedName name="equityper">#REF!</definedName>
    <definedName name="equityper___0">#REF!</definedName>
    <definedName name="ev.Calculation" hidden="1">-4105</definedName>
    <definedName name="ev.Initialized" hidden="1">FALSE</definedName>
    <definedName name="exe">#REF!</definedName>
    <definedName name="fianal">[18]Preliminary!$A$1:$D$65</definedName>
    <definedName name="filename">[6]Selections!$U$2</definedName>
    <definedName name="Final_Number" localSheetId="1">#REF!</definedName>
    <definedName name="Final_Number">#REF!</definedName>
    <definedName name="FinanceRev" localSheetId="1">#REF!</definedName>
    <definedName name="FinanceRev">#REF!</definedName>
    <definedName name="FinanceRev2" localSheetId="1">#REF!</definedName>
    <definedName name="FinanceRev2">#REF!</definedName>
    <definedName name="firstHourDate">#REF!</definedName>
    <definedName name="firstProject">#REF!</definedName>
    <definedName name="Flat_Swap">#REF!</definedName>
    <definedName name="FSoPacific" localSheetId="1" hidden="1">{"BS",#N/A,FALSE,"USA"}</definedName>
    <definedName name="FSoPacific" hidden="1">{"BS",#N/A,FALSE,"USA"}</definedName>
    <definedName name="Fund">[6]Selections!$A$1</definedName>
    <definedName name="Fwd_Curve" localSheetId="1">#REF!</definedName>
    <definedName name="Fwd_Curve">#REF!</definedName>
    <definedName name="FYEMarker" localSheetId="1">#REF!</definedName>
    <definedName name="FYEMarker">#REF!</definedName>
    <definedName name="FYEMonth" localSheetId="1">#REF!</definedName>
    <definedName name="FYEMonth">#REF!</definedName>
    <definedName name="G_A_SUMMARY">#REF!</definedName>
    <definedName name="group_quarterly">#REF!</definedName>
    <definedName name="Header1">[19]_01_05_v_Wicks_xls__01_05_v_Wic!$N$1</definedName>
    <definedName name="high1">[2]Inputs!$E$23</definedName>
    <definedName name="high10">[2]Inputs!$E$482</definedName>
    <definedName name="high11">[2]Inputs!$E$533</definedName>
    <definedName name="high12">[2]Inputs!$E$584</definedName>
    <definedName name="high13">[2]Inputs!$E$635</definedName>
    <definedName name="high14">[2]Inputs!$E$686</definedName>
    <definedName name="high15">[2]Inputs!$E$737</definedName>
    <definedName name="high2">[2]Inputs!$E$74</definedName>
    <definedName name="high3">[2]Inputs!$E$125</definedName>
    <definedName name="high4">[2]Inputs!$E$176</definedName>
    <definedName name="high5">[2]Inputs!$E$227</definedName>
    <definedName name="high6">[2]Inputs!$E$278</definedName>
    <definedName name="high7">[2]Inputs!$E$329</definedName>
    <definedName name="high8">[2]Inputs!$E$380</definedName>
    <definedName name="high9">[2]Inputs!$E$431</definedName>
    <definedName name="hl" localSheetId="1">'[20]LBO Summary'!#REF!</definedName>
    <definedName name="hl">'[20]LBO Summary'!#REF!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IC1Actual">OFFSET([6]ICTrends!$C$2,0,0,COUNTA([6]ICTrends!$C$1:$C$65536)-1)</definedName>
    <definedName name="IC1ChartTitle">[6]ICTrends!$W$1</definedName>
    <definedName name="IC1Covenant">OFFSET([6]ICTrends!$D$2,0,0,COUNTA([6]ICTrends!$D$1:$D$65536)-1)</definedName>
    <definedName name="IC1Date">OFFSET([6]ICTrends!$B$2,0,0,COUNTA([6]ICTrends!$B$1:$B$65536)-1)</definedName>
    <definedName name="IC2Actual">OFFSET([6]ICTrends!$H$2,0,0,COUNTA([6]ICTrends!$H$1:$H$65536)-1)</definedName>
    <definedName name="IC2Covenant">OFFSET([6]ICTrends!$I$2,0,0,COUNTA([6]ICTrends!$I$1:$I$65536)-1)</definedName>
    <definedName name="IC2Date">OFFSET([6]ICTrends!$G$2,0,0,COUNTA([6]ICTrends!$G$1:$G$65536)-1)</definedName>
    <definedName name="IC3Actual">OFFSET([6]ICTrends!$M$2,0,0,COUNTA([6]ICTrends!$M$1:$M$65536)-1)</definedName>
    <definedName name="IC3Covenant">OFFSET([6]ICTrends!$N$2,0,0,COUNTA([6]ICTrends!$N$1:$N$65536)-1)</definedName>
    <definedName name="IC3Date">OFFSET([6]ICTrends!$L$2,0,0,COUNTA([6]ICTrends!$L$1:$L$65536)-1)</definedName>
    <definedName name="IC4Actual">OFFSET([6]ICTrends!$R$2,0,0,COUNTA([6]ICTrends!$R$1:$R$65536)-1)</definedName>
    <definedName name="IC4Covenant">OFFSET([6]ICTrends!$S$2,0,0,COUNTA([6]ICTrends!$S$1:$S$65536)-1)</definedName>
    <definedName name="IC4Date">OFFSET([6]ICTrends!$Q$2,0,0,COUNTA([6]ICTrends!$Q$1:$Q$65536)-1)</definedName>
    <definedName name="inc" localSheetId="1">#REF!</definedName>
    <definedName name="inc">#REF!</definedName>
    <definedName name="incsyntog">#REF!</definedName>
    <definedName name="incsyntog___0">#REF!</definedName>
    <definedName name="inputs">#REF!</definedName>
    <definedName name="IQ_AE_BR" hidden="1">"c10"</definedName>
    <definedName name="IQ_AP_BR" hidden="1">"c34"</definedName>
    <definedName name="IQ_AR_BR" hidden="1">"c41"</definedName>
    <definedName name="IQ_ASSET_WRITEDOWN_BR" hidden="1">"c50"</definedName>
    <definedName name="IQ_ASSET_WRITEDOWN_CF_BR" hidden="1">"c53"</definedName>
    <definedName name="IQ_AVG_PRICE_TARGET" hidden="1">"c82"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CAPEX_BR" hidden="1">"c111"</definedName>
    <definedName name="IQ_CH">110000</definedName>
    <definedName name="IQ_CHANGE_AP_BR" hidden="1">"c135"</definedName>
    <definedName name="IQ_CHANGE_AR_BR" hidden="1">"c142"</definedName>
    <definedName name="IQ_CHANGE_OTHER_NET_OPER_ASSETS_BR" hidden="1">"c3595"</definedName>
    <definedName name="IQ_CHANGE_OTHER_WORK_CAP_BR" hidden="1">"c154"</definedName>
    <definedName name="IQ_COMMERCIAL_DOM" hidden="1">"c177"</definedName>
    <definedName name="IQ_COMMERCIAL_MORT" hidden="1">"c179"</definedName>
    <definedName name="IQ_COMMON_APIC_BR" hidden="1">"c185"</definedName>
    <definedName name="IQ_COMMON_ISSUED_BR" hidden="1">"c199"</definedName>
    <definedName name="IQ_COMMON_REP_BR" hidden="1">"c208"</definedName>
    <definedName name="IQ_CONV_RATE" hidden="1">"c2192"</definedName>
    <definedName name="IQ_CQ">5000</definedName>
    <definedName name="IQ_CURRENCY_GAIN_BR" hidden="1">"c236"</definedName>
    <definedName name="IQ_CURRENT_PORT_DEBT_BR" hidden="1">"c1567"</definedName>
    <definedName name="IQ_CY">10000</definedName>
    <definedName name="IQ_DA_BR" hidden="1">"c248"</definedName>
    <definedName name="IQ_DA_CF_BR" hidden="1">"c251"</definedName>
    <definedName name="IQ_DA_SUPPL_BR" hidden="1">"c260"</definedName>
    <definedName name="IQ_DA_SUPPL_CF_BR" hidden="1">"c263"</definedName>
    <definedName name="IQ_DAILY">500000</definedName>
    <definedName name="IQ_DEF_AMORT_BR" hidden="1">"c278"</definedName>
    <definedName name="IQ_DEF_CHARGES_BR" hidden="1">"c288"</definedName>
    <definedName name="IQ_DEF_CHARGES_LT_BR" hidden="1">"c294"</definedName>
    <definedName name="IQ_DEF_TAX_ASSET_LT_BR" hidden="1">"c304"</definedName>
    <definedName name="IQ_DEF_TAX_LIAB_LT_BR" hidden="1">"c315"</definedName>
    <definedName name="IQ_DNTM" hidden="1">700000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"IQ_EBIT_GROWTH_1"</definedName>
    <definedName name="IQ_EBIT_GROWTH_2" hidden="1">"IQ_EBIT_GROWTH_2"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"IQ_EBITDA_GROWTH_1"</definedName>
    <definedName name="IQ_EBITDA_GROWTH_2" hidden="1">"IQ_EBITDA_GROWTH_2"</definedName>
    <definedName name="IQ_EBT_BR" hidden="1">"c378"</definedName>
    <definedName name="IQ_EBT_EXCL_BR" hidden="1">"c381"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"IQ_EPS_EST_1"</definedName>
    <definedName name="IQ_EST_EPS_SURPRISE" hidden="1">"c1635"</definedName>
    <definedName name="IQ_EV_OVER_REVENUE_EST" hidden="1">"IQ_EV_OVER_REVENUE_EST"</definedName>
    <definedName name="IQ_EV_OVER_REVENUE_EST_1" hidden="1">"IQ_EV_OVER_REVENUE_EST_1"</definedName>
    <definedName name="IQ_EXTRA_ACC_ITEMS_BR" hidden="1">"c412"</definedName>
    <definedName name="IQ_FH">100000</definedName>
    <definedName name="IQ_FQ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1" hidden="1">"LTM"</definedName>
    <definedName name="IQ_FY">1000</definedName>
    <definedName name="IQ_FY_DATE" hidden="1">"IQ_FY_DATE"</definedName>
    <definedName name="IQ_GAIN_ASSETS_BR" hidden="1">"c454"</definedName>
    <definedName name="IQ_GAIN_ASSETS_CF_BR" hidden="1">"c457"</definedName>
    <definedName name="IQ_GAIN_ASSETS_REV_BR" hidden="1">"c474"</definedName>
    <definedName name="IQ_GAIN_INVEST_BR" hidden="1">"c1464"</definedName>
    <definedName name="IQ_GAIN_INVEST_CF_BR" hidden="1">"c482"</definedName>
    <definedName name="IQ_GAIN_INVEST_REV_BR" hidden="1">"c496"</definedName>
    <definedName name="IQ_GW_AMORT_BR" hidden="1">"c532"</definedName>
    <definedName name="IQ_GW_INTAN_AMORT_BR" hidden="1">"c1470"</definedName>
    <definedName name="IQ_GW_INTAN_AMORT_CF_BR" hidden="1">"c1473"</definedName>
    <definedName name="IQ_INC_EQUITY_BR" hidden="1">"c550"</definedName>
    <definedName name="IQ_INS_SETTLE_BR" hidden="1">"c572"</definedName>
    <definedName name="IQ_INT_EXP_BR" hidden="1">"c586"</definedName>
    <definedName name="IQ_INT_INC_BR" hidden="1">"c593"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VEST_LOANS_CF_BR" hidden="1">"c630"</definedName>
    <definedName name="IQ_INVEST_SECURITY_CF_BR" hidden="1">"c639"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TEST" hidden="1">"1"</definedName>
    <definedName name="IQ_LATESTK" hidden="1">1000</definedName>
    <definedName name="IQ_LATESTKFR" hidden="1">"50"</definedName>
    <definedName name="IQ_LATESTQ" hidden="1">500</definedName>
    <definedName name="IQ_LATESTQFR" hidden="1">"100"</definedName>
    <definedName name="IQ_LEGAL_SETTLE_BR" hidden="1">"c649"</definedName>
    <definedName name="IQ_LOANS_CF_BR" hidden="1">"c661"</definedName>
    <definedName name="IQ_LT_DEBT_BR" hidden="1">"c676"</definedName>
    <definedName name="IQ_LT_DEBT_ISSUED_BR" hidden="1">"c683"</definedName>
    <definedName name="IQ_LT_DEBT_REPAID_BR" hidden="1">"c691"</definedName>
    <definedName name="IQ_LT_INVEST_BR" hidden="1">"c698"</definedName>
    <definedName name="IQ_LTM">2000</definedName>
    <definedName name="IQ_LTM_DATE" hidden="1">"IQ_LTM_DATE"</definedName>
    <definedName name="IQ_LTMMONTH" hidden="1">120000</definedName>
    <definedName name="IQ_MERGER_BR" hidden="1">"c715"</definedName>
    <definedName name="IQ_MERGER_RESTRUCTURE_BR" hidden="1">"c721"</definedName>
    <definedName name="IQ_MINORITY_INTEREST_BR" hidden="1">"c729"</definedName>
    <definedName name="IQ_MONTH">15000</definedName>
    <definedName name="IQ_MTD" hidden="1">800000</definedName>
    <definedName name="IQ_NAMES_REVISION_DATE_" localSheetId="1" hidden="1">44297.3725</definedName>
    <definedName name="IQ_NAMES_REVISION_DATE_" hidden="1">44229.1709606481</definedName>
    <definedName name="IQ_NET_DEBT_ISSUED_BR" hidden="1">"c753"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"IQ_NET_INC_GROWTH_1"</definedName>
    <definedName name="IQ_NET_INC_GROWTH_2" hidden="1">"IQ_NET_INC_GROWTH_2"</definedName>
    <definedName name="IQ_NET_INT_INC_BR" hidden="1">"c765"</definedName>
    <definedName name="IQ_NTM">6000</definedName>
    <definedName name="IQ_OG_TOTAL_OIL_PRODUCTON" hidden="1">"c2059"</definedName>
    <definedName name="IQ_OPER_INC_BR" hidden="1">"c850"</definedName>
    <definedName name="IQ_OTHER_ASSETS_BR" hidden="1">"c862"</definedName>
    <definedName name="IQ_OTHER_CA_SUPPL_BR" hidden="1">"c871"</definedName>
    <definedName name="IQ_OTHER_CL_SUPPL_BR" hidden="1">"c880"</definedName>
    <definedName name="IQ_OTHER_EQUITY_BR" hidden="1">"c888"</definedName>
    <definedName name="IQ_OTHER_FINANCE_ACT_BR" hidden="1">"c895"</definedName>
    <definedName name="IQ_OTHER_FINANCE_ACT_SUPPL_BR" hidden="1">"c901"</definedName>
    <definedName name="IQ_OTHER_INTAN_BR" hidden="1">"c909"</definedName>
    <definedName name="IQ_OTHER_INVEST_ACT_BR" hidden="1">"c918"</definedName>
    <definedName name="IQ_OTHER_INVEST_ACT_SUPPL_BR" hidden="1">"c924"</definedName>
    <definedName name="IQ_OTHER_LIAB_BR" hidden="1">"c932"</definedName>
    <definedName name="IQ_OTHER_LIAB_LT_BR" hidden="1">"c937"</definedName>
    <definedName name="IQ_OTHER_LT_ASSETS_BR" hidden="1">"c948"</definedName>
    <definedName name="IQ_OTHER_NON_OPER_EXP_BR" hidden="1">"c957"</definedName>
    <definedName name="IQ_OTHER_NON_OPER_EXP_SUPPL_BR" hidden="1">"c962"</definedName>
    <definedName name="IQ_OTHER_OPER_ACT_BR" hidden="1">"c985"</definedName>
    <definedName name="IQ_OTHER_OPER_BR" hidden="1">"c990"</definedName>
    <definedName name="IQ_OTHER_OPER_SUPPL_BR" hidden="1">"c994"</definedName>
    <definedName name="IQ_OTHER_OPER_TOT_BR" hidden="1">"c1000"</definedName>
    <definedName name="IQ_OTHER_REV_BR" hidden="1">"c1011"</definedName>
    <definedName name="IQ_OTHER_REV_SUPPL_BR" hidden="1">"c1016"</definedName>
    <definedName name="IQ_OTHER_UNUSUAL_BR" hidden="1">"c1561"</definedName>
    <definedName name="IQ_OTHER_UNUSUAL_SUPPL_BR" hidden="1">"c1496"</definedName>
    <definedName name="IQ_PC_WRITTEN" hidden="1">"c1027"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REF_ISSUED_BR" hidden="1">"c1047"</definedName>
    <definedName name="IQ_PREF_OTHER_BR" hidden="1">"c1055"</definedName>
    <definedName name="IQ_PREF_REP_BR" hidden="1">"c1062"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"IQ_PRICE_OVER_EPS_EST"</definedName>
    <definedName name="IQ_PRICE_OVER_EPS_EST_1" hidden="1">"IQ_PRICE_OVER_EPS_EST_1"</definedName>
    <definedName name="IQ_PRICEDATETIME" hidden="1">"IQ_PRICEDATETIME"</definedName>
    <definedName name="IQ_QTD" hidden="1">750000</definedName>
    <definedName name="IQ_RESIDENTIAL_LOANS" hidden="1">"c1102"</definedName>
    <definedName name="IQ_RESTRUCTURE_BR" hidden="1">"c1106"</definedName>
    <definedName name="IQ_RETURN_ASSETS_BROK" hidden="1">"c1115"</definedName>
    <definedName name="IQ_RETURN_EQUITY_BROK" hidden="1">"c1120"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SALE_INTAN_CF_BR" hidden="1">"c1133"</definedName>
    <definedName name="IQ_SALE_PPE_CF_BR" hidden="1">"c1139"</definedName>
    <definedName name="IQ_SALE_REAL_ESTATE_CF_BR" hidden="1">"c1145"</definedName>
    <definedName name="IQ_SHAREOUTSTANDING" hidden="1">"c1347"</definedName>
    <definedName name="IQ_SPECIAL_DIV_CF_BR" hidden="1">"c1171"</definedName>
    <definedName name="IQ_ST_DEBT_BR" hidden="1">"c1178"</definedName>
    <definedName name="IQ_ST_DEBT_ISSUED_BR" hidden="1">"c1183"</definedName>
    <definedName name="IQ_ST_DEBT_REPAID_BR" hidden="1">"c1191"</definedName>
    <definedName name="IQ_TODAY" hidden="1">0</definedName>
    <definedName name="IQ_TOTAL_AR_BR" hidden="1">"c1231"</definedName>
    <definedName name="IQ_TOTAL_DEBT_ISSUED_BR" hidden="1">"c1253"</definedName>
    <definedName name="IQ_TOTAL_DEBT_REPAID_BR" hidden="1">"c1260"</definedName>
    <definedName name="IQ_TOTAL_LIAB_BR" hidden="1">"c1278"</definedName>
    <definedName name="IQ_TOTAL_OPER_EXP_BR" hidden="1">"c1284"</definedName>
    <definedName name="IQ_TOTAL_PENSION_OBLIGATION" hidden="1">"c1292"</definedName>
    <definedName name="IQ_TOTAL_REV_BR" hidden="1">"c1303"</definedName>
    <definedName name="IQ_TREASURY_OTHER_EQUITY_BR" hidden="1">"c1314"</definedName>
    <definedName name="IQ_UNEARN_REV_CURRENT_BR" hidden="1">"c1324"</definedName>
    <definedName name="IQ_WEEK">50000</definedName>
    <definedName name="IQ_YTD">3000</definedName>
    <definedName name="IQ_YTDMONTH" hidden="1">130000</definedName>
    <definedName name="IsColHidden" hidden="1">FALSE</definedName>
    <definedName name="IsLTMColHidden" hidden="1">FALSE</definedName>
    <definedName name="Item">#REF!</definedName>
    <definedName name="K2_WBEVMODE" hidden="1">-1</definedName>
    <definedName name="lastCol">#REF!</definedName>
    <definedName name="latest1">[2]Inputs!$E$13</definedName>
    <definedName name="latest10">[2]Inputs!$E$472</definedName>
    <definedName name="latest11">[2]Inputs!$E$523</definedName>
    <definedName name="latest12">[2]Inputs!$E$574</definedName>
    <definedName name="latest13">[2]Inputs!$E$625</definedName>
    <definedName name="latest14">[2]Inputs!$E$676</definedName>
    <definedName name="latest15">[2]Inputs!$E$727</definedName>
    <definedName name="latest2">[2]Inputs!$E$64</definedName>
    <definedName name="latest3">[2]Inputs!$E$115</definedName>
    <definedName name="latest4">[2]Inputs!$E$166</definedName>
    <definedName name="latest5">[2]Inputs!$E$217</definedName>
    <definedName name="latest6">[2]Inputs!$E$268</definedName>
    <definedName name="latest7">[2]Inputs!$E$319</definedName>
    <definedName name="latest8">[2]Inputs!$E$370</definedName>
    <definedName name="latest9">[2]Inputs!$E$421</definedName>
    <definedName name="LBO" localSheetId="1">'[9]S&amp;U'!#REF!</definedName>
    <definedName name="LBO">'[9]S&amp;U'!#REF!</definedName>
    <definedName name="left" localSheetId="1">#REF!</definedName>
    <definedName name="left">#REF!</definedName>
    <definedName name="lett" localSheetId="1">#REF!</definedName>
    <definedName name="lett">#REF!</definedName>
    <definedName name="LIBOR">[21]Portfolio!$E$2</definedName>
    <definedName name="Libor_Assumptions" localSheetId="1">#REF!</definedName>
    <definedName name="Libor_Assumptions">#REF!</definedName>
    <definedName name="Libor_Curve" localSheetId="1">#REF!</definedName>
    <definedName name="Libor_Curve">#REF!</definedName>
    <definedName name="Libor_Down" localSheetId="1">#REF!</definedName>
    <definedName name="Libor_Down">#REF!</definedName>
    <definedName name="Libor_Down_Up">#REF!</definedName>
    <definedName name="LIBOR_Minus_1SD">[10]Revolver!#REF!</definedName>
    <definedName name="Libor_Minus_2SD">[10]Revolver!#REF!</definedName>
    <definedName name="Libor_Plus_0SD">[10]Revolver!#REF!</definedName>
    <definedName name="Libor_Plus_1SD">[10]Revolver!#REF!</definedName>
    <definedName name="Libor_Plus_2SD">[10]Revolver!#REF!</definedName>
    <definedName name="Libor_Scenario" localSheetId="1">#REF!</definedName>
    <definedName name="Libor_Scenario">#REF!</definedName>
    <definedName name="Libor_Up" localSheetId="1">#REF!</definedName>
    <definedName name="Libor_Up">#REF!</definedName>
    <definedName name="longterm" localSheetId="1">[5]Inputs!#REF!</definedName>
    <definedName name="longterm">[5]Inputs!#REF!</definedName>
    <definedName name="LTM_DATE" localSheetId="1">#REF!</definedName>
    <definedName name="LTM_DATE">#REF!</definedName>
    <definedName name="Marketable_securities" localSheetId="1">'[22]Fly-by-night - problem 5'!#REF!</definedName>
    <definedName name="Marketable_securities">'[22]Fly-by-night - problem 5'!#REF!</definedName>
    <definedName name="MaxMarkDate">[7]SaleData!$M$3</definedName>
    <definedName name="mcs03g.ReqArray" localSheetId="1">{"Price","ICTG","TS131","D","0","0","H"}</definedName>
    <definedName name="mcs03g.ReqArray">{"Price","ICTG","TS131","D","0","0","H"}</definedName>
    <definedName name="mcs03g.ReqArray___0">#N/A</definedName>
    <definedName name="mcs03g.ReqArray___12">#N/A</definedName>
    <definedName name="mcs03g.ReqArray___2">#N/A</definedName>
    <definedName name="MKVALM" localSheetId="1">#REF!</definedName>
    <definedName name="MKVALM">#REF!</definedName>
    <definedName name="MONTHLYSALES" localSheetId="1">#REF!</definedName>
    <definedName name="MONTHLYSALES">#REF!</definedName>
    <definedName name="MONTHLYSALES___0" localSheetId="1">#REF!</definedName>
    <definedName name="MONTHLYSALES___0">#REF!</definedName>
    <definedName name="moodys">#REF!</definedName>
    <definedName name="mu">'[23]LBO Summary'!$G$130</definedName>
    <definedName name="Name">[5]Info!$C$8</definedName>
    <definedName name="name1">[2]Inputs!$E$10</definedName>
    <definedName name="name10">[2]Inputs!$E$469</definedName>
    <definedName name="name11">[2]Inputs!$E$520</definedName>
    <definedName name="name12">[2]Inputs!$E$571</definedName>
    <definedName name="name13">[2]Inputs!$E$622</definedName>
    <definedName name="name14">[2]Inputs!$E$673</definedName>
    <definedName name="name15">[2]Inputs!$E$724</definedName>
    <definedName name="name2">[2]Inputs!$E$61</definedName>
    <definedName name="name3">[2]Inputs!$E$112</definedName>
    <definedName name="name4">[2]Inputs!$E$163</definedName>
    <definedName name="name5">[2]Inputs!$E$214</definedName>
    <definedName name="name6">[2]Inputs!$E$265</definedName>
    <definedName name="name7">[2]Inputs!$E$316</definedName>
    <definedName name="name8">[2]Inputs!$E$367</definedName>
    <definedName name="name9">[2]Inputs!$E$418</definedName>
    <definedName name="NDY" localSheetId="1">#REF!</definedName>
    <definedName name="NDY">#REF!</definedName>
    <definedName name="NDYWGT" localSheetId="1">#REF!</definedName>
    <definedName name="NDYWGT">#REF!</definedName>
    <definedName name="OC1Actual">OFFSET([6]OCTrends!$C$2,0,0,COUNTA([6]OCTrends!$C$1:$C$65536)-1)</definedName>
    <definedName name="OC1ChartTitle">[6]OCTrends!$W$1</definedName>
    <definedName name="OC1Covenant">OFFSET([6]OCTrends!$D$2,0,0,COUNTA([6]OCTrends!$D$1:$D$65536)-1)</definedName>
    <definedName name="OC1Date">OFFSET([6]OCTrends!$B$2,0,0,COUNTA([6]OCTrends!$B$1:$B$65536)-1)</definedName>
    <definedName name="OC2Actual">OFFSET([6]OCTrends!$H$2,0,0,COUNTA([6]OCTrends!$H$1:$H$65536)-1)</definedName>
    <definedName name="OC2Covenant">OFFSET([6]OCTrends!$I$2,0,0,COUNTA([6]OCTrends!$I$1:$I$65536)-1)</definedName>
    <definedName name="OC2Date">OFFSET([6]OCTrends!$G$2,0,0,COUNTA([6]OCTrends!$G$1:$G$65536)-1)</definedName>
    <definedName name="OC3Actual">OFFSET([6]OCTrends!$M$2,0,0,COUNTA([6]OCTrends!$M$1:$M$65536)-1)</definedName>
    <definedName name="OC3Covenant">OFFSET([6]OCTrends!$N$2,0,0,COUNTA([6]OCTrends!$N$1:$N$65536)-1)</definedName>
    <definedName name="OC3Date">OFFSET([6]OCTrends!$L$2,0,0,COUNTA([6]OCTrends!$L$1:$L$65536)-1)</definedName>
    <definedName name="OC4Actual">OFFSET([6]OCTrends!$R$2,0,0,COUNTA([6]OCTrends!$R$1:$R$65536)-1)</definedName>
    <definedName name="OC4Covenant">OFFSET([6]OCTrends!$S$2,0,0,COUNTA([6]OCTrends!$S$1:$S$65536)-1)</definedName>
    <definedName name="OC4Date">OFFSET([6]OCTrends!$Q$2,0,0,COUNTA([6]OCTrends!$Q$1:$Q$65536)-1)</definedName>
    <definedName name="Order" localSheetId="1">#REF!</definedName>
    <definedName name="Order">#REF!</definedName>
    <definedName name="Other_assets" localSheetId="1">'[22]Fly-by-night - problem 5'!#REF!</definedName>
    <definedName name="Other_assets">'[22]Fly-by-night - problem 5'!#REF!</definedName>
    <definedName name="Other_current_liabilities_Sales" localSheetId="1">'[4]Tanning Assumptions'!#REF!</definedName>
    <definedName name="Other_current_liabilities_Sales">'[4]Tanning Assumptions'!#REF!</definedName>
    <definedName name="Other_long_term_liabilities" localSheetId="1">'[4]Tanning Assumptions'!#REF!</definedName>
    <definedName name="Other_long_term_liabilities">'[4]Tanning Assumptions'!#REF!</definedName>
    <definedName name="OtherRev" localSheetId="1">#REF!</definedName>
    <definedName name="OtherRev">#REF!</definedName>
    <definedName name="P_L" localSheetId="1">#REF!</definedName>
    <definedName name="P_L">#REF!</definedName>
    <definedName name="PCV">[6]Calcs!$B$1</definedName>
    <definedName name="Percentage" localSheetId="1">#REF!</definedName>
    <definedName name="Percentage">#REF!</definedName>
    <definedName name="Period" localSheetId="1">#REF!</definedName>
    <definedName name="Period">#REF!</definedName>
    <definedName name="Period1" localSheetId="1">#REF!</definedName>
    <definedName name="Period1">#REF!</definedName>
    <definedName name="Period2">#REF!</definedName>
    <definedName name="Period3">#REF!</definedName>
    <definedName name="Period4">#REF!</definedName>
    <definedName name="Period5">#REF!</definedName>
    <definedName name="Period6">#REF!</definedName>
    <definedName name="Period7">#REF!</definedName>
    <definedName name="Period8">#REF!</definedName>
    <definedName name="PERSONAL_FINANCIAL">#REF!</definedName>
    <definedName name="PERSONAL_FINANCIAL___0">#REF!</definedName>
    <definedName name="PFLTM">'[24]VeCTOR Import'!#REF!</definedName>
    <definedName name="pik">'[9]S&amp;U'!#REF!</definedName>
    <definedName name="portion1">[2]Inputs!$E$14</definedName>
    <definedName name="portion10">[2]Inputs!$E$473</definedName>
    <definedName name="portion11">[2]Inputs!$E$524</definedName>
    <definedName name="portion12">[2]Inputs!$E$575</definedName>
    <definedName name="portion13">[2]Inputs!$E$626</definedName>
    <definedName name="portion14">[2]Inputs!$E$677</definedName>
    <definedName name="portion15">[2]Inputs!$E$728</definedName>
    <definedName name="portion2">[2]Inputs!$E$65</definedName>
    <definedName name="portion3">[2]Inputs!$E$116</definedName>
    <definedName name="portion4">[2]Inputs!$E$167</definedName>
    <definedName name="portion5">[2]Inputs!$E$218</definedName>
    <definedName name="portion6">[2]Inputs!$E$269</definedName>
    <definedName name="portion7">[2]Inputs!$E$320</definedName>
    <definedName name="portion8">[2]Inputs!$E$371</definedName>
    <definedName name="portion9">[2]Inputs!$E$422</definedName>
    <definedName name="PP_E_Sales" localSheetId="1">'[4]Tanning Assumptions'!#REF!</definedName>
    <definedName name="PP_E_Sales">'[4]Tanning Assumptions'!#REF!</definedName>
    <definedName name="prefbamt" localSheetId="1">#REF!</definedName>
    <definedName name="prefbamt">#REF!</definedName>
    <definedName name="prefbamt___0" localSheetId="1">#REF!</definedName>
    <definedName name="prefbamt___0">#REF!</definedName>
    <definedName name="prefbper" localSheetId="1">#REF!</definedName>
    <definedName name="prefbper">#REF!</definedName>
    <definedName name="prefbper___0">#REF!</definedName>
    <definedName name="Preliminary">#REF!</definedName>
    <definedName name="Prepaids_Sales">'[4]Tanning Assumptions'!#REF!</definedName>
    <definedName name="PRICES" localSheetId="1">#REF!</definedName>
    <definedName name="PRICES">#REF!</definedName>
    <definedName name="PRICES___0" localSheetId="1">#REF!</definedName>
    <definedName name="PRICES___0">#REF!</definedName>
    <definedName name="_xlnm.Print_Area" localSheetId="1">#REF!</definedName>
    <definedName name="_xlnm.Print_Area">#REF!</definedName>
    <definedName name="_xlnm.Print_Titles" localSheetId="1">#REF!</definedName>
    <definedName name="_xlnm.Print_Titles">#REF!</definedName>
    <definedName name="project">[12]CONTROL!$D$8</definedName>
    <definedName name="project___0">[8]CONTROL!$D$8</definedName>
    <definedName name="ProjList" localSheetId="1">#REF!</definedName>
    <definedName name="ProjList">#REF!</definedName>
    <definedName name="PublicCompany" localSheetId="1">#REF!</definedName>
    <definedName name="PublicCompany">#REF!</definedName>
    <definedName name="purchase">[25]TRANSACTION!$Q$2</definedName>
    <definedName name="PURCHASE_PRICE">[26]Sheet5:D!$A$1:$H$23</definedName>
    <definedName name="qryWSO_Positions_ByFunds_CrossTab" localSheetId="1">#REF!</definedName>
    <definedName name="qryWSO_Positions_ByFunds_CrossTab">#REF!</definedName>
    <definedName name="quarterly" localSheetId="1">#REF!</definedName>
    <definedName name="quarterly">#REF!</definedName>
    <definedName name="rate" localSheetId="1">#REF!</definedName>
    <definedName name="rate">#REF!</definedName>
    <definedName name="RateTable" localSheetId="1">[27]MASTER!#REF!</definedName>
    <definedName name="RateTable">[27]MASTER!#REF!</definedName>
    <definedName name="Rating">'[7]Actual vs Covenant'!$P$11:$Q$18</definedName>
    <definedName name="RatingFactors" localSheetId="1">#REF!</definedName>
    <definedName name="RatingFactors">#REF!</definedName>
    <definedName name="RATIOS" localSheetId="1">#REF!</definedName>
    <definedName name="RATIOS">#REF!</definedName>
    <definedName name="RATIOS___0" localSheetId="1">#REF!</definedName>
    <definedName name="RATIOS___0">#REF!</definedName>
    <definedName name="recovery">#REF!</definedName>
    <definedName name="refi">'[28]OBS - REFI'!$AP$5</definedName>
    <definedName name="REPORT" localSheetId="1">#REF!</definedName>
    <definedName name="REPORT">#REF!</definedName>
    <definedName name="REPORT___0" localSheetId="1">#REF!</definedName>
    <definedName name="REPORT___0">#REF!</definedName>
    <definedName name="ReprintRev" localSheetId="1">#REF!</definedName>
    <definedName name="ReprintRev">#REF!</definedName>
    <definedName name="ret">#REF!</definedName>
    <definedName name="rhl">'[20]LBO Summary'!#REF!</definedName>
    <definedName name="RoyaltyRev" localSheetId="1">#REF!</definedName>
    <definedName name="RoyaltyRev">#REF!</definedName>
    <definedName name="rptData" localSheetId="1">#REF!</definedName>
    <definedName name="rptData">#REF!</definedName>
    <definedName name="rr" localSheetId="1">'[20]LBO Summary'!#REF!</definedName>
    <definedName name="rr">'[20]LBO Summary'!#REF!</definedName>
    <definedName name="s" localSheetId="1">#REF!</definedName>
    <definedName name="s">#REF!</definedName>
    <definedName name="s.outstand" localSheetId="1">[5]Inputs!#REF!</definedName>
    <definedName name="s.outstand">[5]Inputs!#REF!</definedName>
    <definedName name="SALES" localSheetId="1">#REF!</definedName>
    <definedName name="SALES">#REF!</definedName>
    <definedName name="SALES___0" localSheetId="1">#REF!</definedName>
    <definedName name="SALES___0">#REF!</definedName>
    <definedName name="sales1">[2]Inputs!$P$29</definedName>
    <definedName name="sales10">[2]Inputs!$P$488</definedName>
    <definedName name="sales11">[2]Inputs!$P$539</definedName>
    <definedName name="sales12">[2]Inputs!$P$590</definedName>
    <definedName name="sales13">[2]Inputs!$P$641</definedName>
    <definedName name="sales14">[2]Inputs!$P$692</definedName>
    <definedName name="sales15">[2]Inputs!$P$743</definedName>
    <definedName name="sales2">[2]Inputs!$P$80</definedName>
    <definedName name="sales3">[2]Inputs!$P$131</definedName>
    <definedName name="sales4">[2]Inputs!$P$182</definedName>
    <definedName name="sales5">[2]Inputs!$P$233</definedName>
    <definedName name="sales6">[2]Inputs!$P$284</definedName>
    <definedName name="sales7">[2]Inputs!$P$335</definedName>
    <definedName name="sales8">[2]Inputs!$P$386</definedName>
    <definedName name="sales9">[2]Inputs!$P$437</definedName>
    <definedName name="scen" localSheetId="1">#REF!</definedName>
    <definedName name="scen">#REF!</definedName>
    <definedName name="Scenario_11" localSheetId="1">#REF!</definedName>
    <definedName name="Scenario_11">#REF!</definedName>
    <definedName name="Scenario_12" localSheetId="1">#REF!</definedName>
    <definedName name="Scenario_12">#REF!</definedName>
    <definedName name="Scenario_13">#REF!</definedName>
    <definedName name="Scenario_14">#REF!</definedName>
    <definedName name="Scenario_15">#REF!</definedName>
    <definedName name="Scenario_16">#REF!</definedName>
    <definedName name="Scenario_17">#REF!</definedName>
    <definedName name="Scenario_18">#REF!</definedName>
    <definedName name="Scenario_19">#REF!</definedName>
    <definedName name="Scenario_20">#REF!</definedName>
    <definedName name="Scenario_21">#REF!</definedName>
    <definedName name="Scenario_22">#REF!</definedName>
    <definedName name="Scenario_23">#REF!</definedName>
    <definedName name="Scenario_24">#REF!</definedName>
    <definedName name="Scenario_25">#REF!</definedName>
    <definedName name="Scenario_26">#REF!</definedName>
    <definedName name="Scenario_27">#REF!</definedName>
    <definedName name="Scenario_28">#REF!</definedName>
    <definedName name="Scenario_31">#REF!</definedName>
    <definedName name="Scenario_32">#REF!</definedName>
    <definedName name="Scenario_33">#REF!</definedName>
    <definedName name="Scenario_34">#REF!</definedName>
    <definedName name="Scenario_35">#REF!</definedName>
    <definedName name="Scenario_36">#REF!</definedName>
    <definedName name="Scenario_37">#REF!</definedName>
    <definedName name="Scenario_38">#REF!</definedName>
    <definedName name="Scenario_39">#REF!</definedName>
    <definedName name="Scenario_41">#REF!</definedName>
    <definedName name="Scenario_42">#REF!</definedName>
    <definedName name="Scenario_43">#REF!</definedName>
    <definedName name="Scenario_44">#REF!</definedName>
    <definedName name="Scenario_51">#REF!</definedName>
    <definedName name="Scenario_52">#REF!</definedName>
    <definedName name="Scenario_53">#REF!</definedName>
    <definedName name="Section">#REF!</definedName>
    <definedName name="SENSITIVITY">#REF!</definedName>
    <definedName name="SENSITIVITY___0">#REF!</definedName>
    <definedName name="sh.equity">[5]Inputs!#REF!</definedName>
    <definedName name="sl">'[20]LBO Summary'!#REF!</definedName>
    <definedName name="snapshotdate" localSheetId="1">#REF!</definedName>
    <definedName name="snapshotdate">#REF!</definedName>
    <definedName name="sort_range" localSheetId="1">#REF!</definedName>
    <definedName name="sort_range">#REF!</definedName>
    <definedName name="sponsor">'[9]S&amp;U'!$J$21</definedName>
    <definedName name="Start" localSheetId="1">#REF!</definedName>
    <definedName name="Start">#REF!</definedName>
    <definedName name="Start_Date">[6]Selections!$C$1</definedName>
    <definedName name="StartDay">[6]Selections!$P$3</definedName>
    <definedName name="StartMonth">[6]Selections!$P$2</definedName>
    <definedName name="StartRefresh" localSheetId="1">'[14]Portfolio Input'!#REF!</definedName>
    <definedName name="StartRefresh">'[14]Portfolio Input'!#REF!</definedName>
    <definedName name="StartYear">[6]Selections!$P$1</definedName>
    <definedName name="Strip_Amount" localSheetId="1">#REF!</definedName>
    <definedName name="Strip_Amount">#REF!</definedName>
    <definedName name="Strip_PV" localSheetId="1">#REF!</definedName>
    <definedName name="Strip_PV">#REF!</definedName>
    <definedName name="stub" localSheetId="1">#REF!</definedName>
    <definedName name="stub">#REF!</definedName>
    <definedName name="stubmonths">'[29]D&amp;A'!$C$5</definedName>
    <definedName name="sub" localSheetId="1">'[20]LBO Summary'!#REF!</definedName>
    <definedName name="sub">'[20]LBO Summary'!#REF!</definedName>
    <definedName name="subdebtamount">[15]Inputs!$J$26</definedName>
    <definedName name="subdebtdate">[15]Inputs!$J$28</definedName>
    <definedName name="Subhead1">[19]_01_05_v_Wicks_xls__01_05_v_Wic!$N$2</definedName>
    <definedName name="subHeading" localSheetId="1">#REF!</definedName>
    <definedName name="subHeading">#REF!</definedName>
    <definedName name="summary" localSheetId="1">#REF!</definedName>
    <definedName name="summary">#REF!</definedName>
    <definedName name="support" localSheetId="1">#REF!</definedName>
    <definedName name="support">#REF!</definedName>
    <definedName name="sweep___9" localSheetId="1">[30]COVS_ACTUAL!#REF!</definedName>
    <definedName name="sweep___9">[30]COVS_ACTUAL!#REF!</definedName>
    <definedName name="target" localSheetId="1">#REF!</definedName>
    <definedName name="target">#REF!</definedName>
    <definedName name="tax" localSheetId="1">[31]ISCF!#REF!</definedName>
    <definedName name="tax">[31]ISCF!#REF!</definedName>
    <definedName name="Taxes_Receivable_Sales" localSheetId="1">'[4]Tanning Assumptions'!#REF!</definedName>
    <definedName name="Taxes_Receivable_Sales">'[4]Tanning Assumptions'!#REF!</definedName>
    <definedName name="Test" localSheetId="1">#REF!</definedName>
    <definedName name="Test">#REF!</definedName>
    <definedName name="tgt" localSheetId="1">#REF!</definedName>
    <definedName name="tgt">#REF!</definedName>
    <definedName name="ticker1">[2]Inputs!$E$11</definedName>
    <definedName name="ticker10">[2]Inputs!$E$470</definedName>
    <definedName name="ticker11">[2]Inputs!$E$521</definedName>
    <definedName name="ticker12">[2]Inputs!$E$572</definedName>
    <definedName name="ticker13">[2]Inputs!$E$623</definedName>
    <definedName name="ticker14">[2]Inputs!$E$674</definedName>
    <definedName name="ticker15">[2]Inputs!$E$725</definedName>
    <definedName name="ticker2">[2]Inputs!$E$62</definedName>
    <definedName name="ticker3">[2]Inputs!$E$113</definedName>
    <definedName name="ticker4">[2]Inputs!$E$164</definedName>
    <definedName name="ticker5">[2]Inputs!$E$215</definedName>
    <definedName name="ticker6">[2]Inputs!$E$266</definedName>
    <definedName name="ticker7">[2]Inputs!$E$317</definedName>
    <definedName name="ticker8">[2]Inputs!$E$368</definedName>
    <definedName name="ticker9">[2]Inputs!$E$419</definedName>
    <definedName name="TimeEnd">[6]Selections!$L$3</definedName>
    <definedName name="TimeStart">[6]Selections!$L$2</definedName>
    <definedName name="title">[28]SUM!$A$2</definedName>
    <definedName name="today" localSheetId="1">#REF!</definedName>
    <definedName name="today">#REF!</definedName>
    <definedName name="top" localSheetId="1">#REF!</definedName>
    <definedName name="top">#REF!</definedName>
    <definedName name="TopIC">'[7]Actual vs Covenant'!$P$31:$Q$38</definedName>
    <definedName name="TopOC">'[7]Actual vs Covenant'!$P$21:$Q$28</definedName>
    <definedName name="TOTAL" localSheetId="1">#REF!</definedName>
    <definedName name="TOTAL">#REF!</definedName>
    <definedName name="TOTAL___0" localSheetId="1">#REF!</definedName>
    <definedName name="TOTAL___0">#REF!</definedName>
    <definedName name="Total_Europe" localSheetId="1">#REF!</definedName>
    <definedName name="Total_Europe">#REF!</definedName>
    <definedName name="TotalRev">#REF!</definedName>
    <definedName name="TradedCash">[6]Principal!$G$5</definedName>
    <definedName name="trigger">[8]OBS!$U$5</definedName>
    <definedName name="TRYN_Top3">[7]TOP10!$S$3</definedName>
    <definedName name="TRYN_Top4">[7]TOP10!$S$8</definedName>
    <definedName name="TryonFitchRatingChartData">[7]TRYN!$G$2:$H$9</definedName>
    <definedName name="TryonFitchRatingChartSerial1">[7]TRYN!$H$2:$H$9</definedName>
    <definedName name="TryonFitchRatingChartXScale">[7]TRYN!$G$2:$G$9</definedName>
    <definedName name="TryonMoodyRatingChartData">[7]TRYN!$A$2:$B$15</definedName>
    <definedName name="TryonMoodyRatingChartSerial1">[7]TRYN!$B$2:$B$15</definedName>
    <definedName name="TryonMoodyRatingChartXScale">[7]TRYN!$A$2:$A$15</definedName>
    <definedName name="TryonSPRatingChartData">[7]TRYN!$D$2:$E$15</definedName>
    <definedName name="TryonSPRatingChartSerial1">[7]TRYN!$E$2:$E$15</definedName>
    <definedName name="TryonSPRatingChartXScale">[7]TRYN!$D$2:$D$15</definedName>
    <definedName name="units">'[9]S&amp;U'!$K$2</definedName>
    <definedName name="version">[28]SUM!$AE$2</definedName>
    <definedName name="version___0">[8]CONTROL!$D$9</definedName>
    <definedName name="WACActual">OFFSET([6]WACTrends!$C$2,0,0,COUNTA([6]WACTrends!$C$1:$C$65536)-1)</definedName>
    <definedName name="WACCovenant">OFFSET([6]WACTrends!$D$2,0,0,COUNTA([6]WACTrends!$D$1:$D$65536)-1)</definedName>
    <definedName name="WACDate">OFFSET([6]WACTrends!$B$2,0,0,COUNTA([6]WACTrends!$B$1:$B$65536)-1)</definedName>
    <definedName name="WALActual">OFFSET([6]WALTrends!$C$2,0,0,COUNTA([6]WALTrends!$C$1:$C$65536)-1)</definedName>
    <definedName name="WALCovenant">OFFSET([6]WALTrends!$D$2,0,0,COUNTA([6]WALTrends!$D$1:$D$65536)-1)</definedName>
    <definedName name="WALDate">OFFSET([6]WALTrends!$B$2,0,0,COUNTA([6]WALTrends!$B$1:$B$65536)-1)</definedName>
    <definedName name="WARFActual">OFFSET([6]WARFTrends!$C$2,0,0,COUNTA([6]WARFTrends!$C$1:$C$65536)-1)</definedName>
    <definedName name="WARFCovenant">OFFSET([6]WARFTrends!$D$2,0,0,COUNTA([6]WARFTrends!$D$1:$D$65536)-1)</definedName>
    <definedName name="WARFDate">OFFSET([6]WARFTrends!$B$2,0,0,COUNTA([6]WARFTrends!$B$1:$B$65536)-1)</definedName>
    <definedName name="WARFFitchActual">OFFSET([6]WARFFitchTrends!$C$2,0,0,COUNTA([6]WARFFitchTrends!$C$1:$C$65536)-1)</definedName>
    <definedName name="WARFFitchCovenant">OFFSET([6]WARFFitchTrends!$D$2,0,0,COUNTA([6]WARFFitchTrends!$D$1:$D$65536)-1)</definedName>
    <definedName name="WARFFitchDate">OFFSET([6]WARFFitchTrends!$B$2,0,0,COUNTA([6]WARFFitchTrends!$B$1:$B$65536)-1)</definedName>
    <definedName name="warrants">[15]Inputs!$O$13</definedName>
    <definedName name="WASActual">OFFSET([6]WASTrends!$C$2,0,0,COUNTA([6]WASTrends!$C$1:$C$65536)-1)</definedName>
    <definedName name="WASCovenant">OFFSET([6]WASTrends!$D$2,0,0,COUNTA([6]WASTrends!$D$1:$D$65536)-1)</definedName>
    <definedName name="WASDate">OFFSET([6]WASTrends!$B$2,0,0,COUNTA([6]WASTrends!$B$1:$B$65536)-1)</definedName>
    <definedName name="WBMIN" localSheetId="1">'[14]Portfolio Input'!#REF!</definedName>
    <definedName name="WBMIN">'[14]Portfolio Input'!#REF!</definedName>
    <definedName name="WHAT_IF" localSheetId="1">#REF!</definedName>
    <definedName name="WHAT_IF">#REF!</definedName>
    <definedName name="WHAT_IF___0" localSheetId="1">#REF!</definedName>
    <definedName name="WHAT_IF___0">#REF!</definedName>
    <definedName name="whec">[28]WHEC!$AX$2</definedName>
    <definedName name="wicksequity">[15]Inputs!$E$35</definedName>
    <definedName name="WORKING_CAPITAL" localSheetId="1">#REF!</definedName>
    <definedName name="WORKING_CAPITAL">#REF!</definedName>
    <definedName name="WORKING_CAPITAL___0" localSheetId="1">#REF!</definedName>
    <definedName name="WORKING_CAPITAL___0">#REF!</definedName>
    <definedName name="wrn.Alloutput." localSheetId="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CGIC._.PLICO._.Statutory._.Results." localSheetId="1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IS." localSheetId="1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rossroads." localSheetId="1" hidden="1">{#N/A,#N/A,FALSE,"RENT ROLL";#N/A,#N/A,FALSE,"CAM";#N/A,#N/A,FALSE,"TAXES";#N/A,#N/A,FALSE,"INSURANCE";#N/A,#N/A,FALSE,"HVAC";#N/A,#N/A,FALSE,"MARKETING"}</definedName>
    <definedName name="wrn.crossroads." hidden="1">{#N/A,#N/A,FALSE,"RENT ROLL";#N/A,#N/A,FALSE,"CAM";#N/A,#N/A,FALSE,"TAXES";#N/A,#N/A,FALSE,"INSURANCE";#N/A,#N/A,FALSE,"HVAC";#N/A,#N/A,FALSE,"MARKETING"}</definedName>
    <definedName name="wrn.crossroads2" localSheetId="1" hidden="1">{#N/A,#N/A,FALSE,"RENT ROLL";#N/A,#N/A,FALSE,"CAM";#N/A,#N/A,FALSE,"TAXES";#N/A,#N/A,FALSE,"INSURANCE";#N/A,#N/A,FALSE,"HVAC";#N/A,#N/A,FALSE,"MARKETING"}</definedName>
    <definedName name="wrn.crossroads2" hidden="1">{#N/A,#N/A,FALSE,"RENT ROLL";#N/A,#N/A,FALSE,"CAM";#N/A,#N/A,FALSE,"TAXES";#N/A,#N/A,FALSE,"INSURANCE";#N/A,#N/A,FALSE,"HVAC";#N/A,#N/A,FALSE,"MARKETING"}</definedName>
    <definedName name="wrn.dcf." localSheetId="1" hidden="1">{"mgmt forecast",#N/A,FALSE,"Mgmt Forecast";"dcf table",#N/A,FALSE,"Mgmt Forecast";"sensitivity",#N/A,FALSE,"Mgmt Forecast";"table inputs",#N/A,FALSE,"Mgmt Forecast";"calculations",#N/A,FALSE,"Mgmt Forecast"}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print._.graphs." localSheetId="1" hidden="1">{"cap_structure",#N/A,FALSE,"Graph-Mkt Cap";"price",#N/A,FALSE,"Graph-Price";"ebit",#N/A,FALSE,"Graph-EBITDA";"ebitda",#N/A,FALSE,"Graph-EBITDA"}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localSheetId="1" hidden="1">{"inputs raw data",#N/A,TRUE,"INPUT"}</definedName>
    <definedName name="wrn.print._.raw._.data._.entry." hidden="1">{"inputs raw data",#N/A,TRUE,"INPUT"}</definedName>
    <definedName name="wrn.print._.summary._.sheets." localSheetId="1" hidden="1">{"summary1",#N/A,TRUE,"Comps";"summary2",#N/A,TRUE,"Comps";"summary3",#N/A,TRUE,"Comps"}</definedName>
    <definedName name="wrn.print._.summary._.sheets." hidden="1">{"summary1",#N/A,TRUE,"Comps";"summary2",#N/A,TRUE,"Comps";"summary3",#N/A,TRUE,"Comps"}</definedName>
    <definedName name="wrn.quick." localSheetId="1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Sales._.Activity." localSheetId="1" hidden="1">{#N/A,#N/A,FALSE,"Integration Systems"}</definedName>
    <definedName name="wrn.Sales._.Activity." hidden="1">{#N/A,#N/A,FALSE,"Integration Systems"}</definedName>
    <definedName name="wrn.Summary." localSheetId="1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Summary.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UHCO._.Statutory._.Results." localSheetId="1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" hidden="1">{#N/A,#N/A,FALSE,"UHCO Statutory Info ----&gt;";#N/A,#N/A,FALSE,"UHCO Source_Use";#N/A,#N/A,FALSE,"UHCO_Debt Paydown";#N/A,#N/A,FALSE,"Union Bankers";#N/A,#N/A,FALSE,"Penn Life";#N/A,#N/A,FALSE,"Constitution"}</definedName>
    <definedName name="wrn.Weekly._.Inventory._.Report." localSheetId="1" hidden="1">{#N/A,#N/A,FALSE,"Combo"}</definedName>
    <definedName name="wrn.Weekly._.Inventory._.Report." hidden="1">{#N/A,#N/A,FALSE,"Combo"}</definedName>
    <definedName name="wvu.inputs._.raw._.data." localSheetId="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localSheetId="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localSheetId="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localSheetId="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zip" localSheetId="1">#REF!</definedName>
    <definedName name="zip">#REF!</definedName>
  </definedNames>
  <calcPr calcId="191029"/>
  <customWorkbookViews>
    <customWorkbookView name="Crisil GR&amp;A - Personal View" guid="{46EB06C9-2753-4B8D-B228-9BDD8DF82F27}" mergeInterval="0" personalView="1" maximized="1" xWindow="-8" yWindow="-8" windowWidth="1296" windowHeight="1000" activeSheetId="1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2" i="8" l="1"/>
  <c r="D61" i="8"/>
  <c r="D60" i="8"/>
  <c r="D59" i="8"/>
  <c r="D62" i="8" s="1"/>
  <c r="D54" i="8"/>
  <c r="D53" i="8"/>
  <c r="D52" i="8"/>
  <c r="L191" i="6"/>
  <c r="L107" i="6" s="1"/>
  <c r="E191" i="6"/>
  <c r="E335" i="6" s="1"/>
  <c r="E336" i="6" s="1"/>
  <c r="D191" i="6"/>
  <c r="C191" i="6"/>
  <c r="C38" i="8"/>
  <c r="C40" i="8" s="1"/>
  <c r="C41" i="8" s="1"/>
  <c r="C30" i="8"/>
  <c r="C28" i="8"/>
  <c r="C26" i="8"/>
  <c r="I3" i="8"/>
  <c r="I4" i="8"/>
  <c r="C9" i="8"/>
  <c r="C47" i="8"/>
  <c r="L124" i="12"/>
  <c r="L123" i="12"/>
  <c r="L122" i="12"/>
  <c r="L121" i="12"/>
  <c r="L120" i="12"/>
  <c r="E120" i="12"/>
  <c r="E121" i="12"/>
  <c r="E122" i="12"/>
  <c r="E123" i="12"/>
  <c r="E124" i="12"/>
  <c r="D124" i="12"/>
  <c r="D123" i="12"/>
  <c r="D122" i="12"/>
  <c r="D121" i="12"/>
  <c r="D120" i="12"/>
  <c r="F106" i="12"/>
  <c r="F105" i="12"/>
  <c r="F104" i="12"/>
  <c r="F103" i="12"/>
  <c r="F102" i="12"/>
  <c r="L107" i="12"/>
  <c r="H107" i="12"/>
  <c r="E107" i="12"/>
  <c r="D107" i="12"/>
  <c r="C107" i="12"/>
  <c r="L97" i="12"/>
  <c r="L96" i="12"/>
  <c r="L95" i="12"/>
  <c r="E97" i="12"/>
  <c r="E96" i="12"/>
  <c r="E95" i="12"/>
  <c r="D97" i="12"/>
  <c r="D96" i="12"/>
  <c r="D95" i="12"/>
  <c r="L84" i="12"/>
  <c r="H84" i="12"/>
  <c r="E84" i="12"/>
  <c r="D84" i="12"/>
  <c r="C84" i="12"/>
  <c r="F83" i="12"/>
  <c r="F82" i="12"/>
  <c r="F81" i="12"/>
  <c r="L76" i="12"/>
  <c r="L75" i="12"/>
  <c r="L71" i="12"/>
  <c r="L70" i="12"/>
  <c r="L69" i="12"/>
  <c r="L68" i="12"/>
  <c r="L67" i="12"/>
  <c r="L66" i="12"/>
  <c r="E66" i="12"/>
  <c r="E67" i="12"/>
  <c r="E68" i="12"/>
  <c r="E69" i="12"/>
  <c r="E70" i="12"/>
  <c r="E71" i="12"/>
  <c r="E75" i="12"/>
  <c r="E76" i="12"/>
  <c r="D76" i="12"/>
  <c r="D75" i="12"/>
  <c r="D71" i="12"/>
  <c r="D70" i="12"/>
  <c r="D69" i="12"/>
  <c r="D68" i="12"/>
  <c r="D67" i="12"/>
  <c r="D66" i="12"/>
  <c r="F44" i="12"/>
  <c r="F43" i="12"/>
  <c r="F39" i="12"/>
  <c r="F38" i="12"/>
  <c r="F37" i="12"/>
  <c r="F36" i="12"/>
  <c r="F35" i="12"/>
  <c r="F34" i="12"/>
  <c r="G46" i="12"/>
  <c r="L45" i="12"/>
  <c r="H45" i="12"/>
  <c r="E45" i="12"/>
  <c r="D45" i="12"/>
  <c r="C45" i="12"/>
  <c r="L28" i="12"/>
  <c r="L27" i="12"/>
  <c r="L26" i="12"/>
  <c r="L25" i="12"/>
  <c r="F12" i="12"/>
  <c r="F11" i="12"/>
  <c r="F10" i="12"/>
  <c r="F9" i="12"/>
  <c r="B3" i="13"/>
  <c r="B2" i="13"/>
  <c r="F3" i="12"/>
  <c r="B3" i="12"/>
  <c r="B2" i="12"/>
  <c r="L364" i="6"/>
  <c r="L363" i="6"/>
  <c r="L353" i="6"/>
  <c r="L312" i="6"/>
  <c r="L309" i="6"/>
  <c r="H332" i="6"/>
  <c r="H331" i="6"/>
  <c r="H330" i="6"/>
  <c r="H329" i="6"/>
  <c r="H328" i="6"/>
  <c r="H327" i="6"/>
  <c r="H326" i="6"/>
  <c r="H325" i="6"/>
  <c r="H324" i="6"/>
  <c r="H323" i="6"/>
  <c r="H322" i="6"/>
  <c r="H321" i="6"/>
  <c r="H320" i="6"/>
  <c r="H319" i="6"/>
  <c r="H318" i="6"/>
  <c r="H317" i="6"/>
  <c r="H316" i="6"/>
  <c r="H315" i="6"/>
  <c r="H311" i="6"/>
  <c r="H308" i="6"/>
  <c r="L349" i="6"/>
  <c r="L341" i="6"/>
  <c r="L340" i="6"/>
  <c r="L339" i="6"/>
  <c r="L335" i="6"/>
  <c r="L334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1" i="6"/>
  <c r="L308" i="6"/>
  <c r="E312" i="6"/>
  <c r="D312" i="6"/>
  <c r="D309" i="6"/>
  <c r="E309" i="6"/>
  <c r="D308" i="6"/>
  <c r="E308" i="6"/>
  <c r="F308" i="6"/>
  <c r="D311" i="6"/>
  <c r="E311" i="6"/>
  <c r="F311" i="6"/>
  <c r="D313" i="6"/>
  <c r="E313" i="6"/>
  <c r="F313" i="6"/>
  <c r="D315" i="6"/>
  <c r="E315" i="6"/>
  <c r="F315" i="6"/>
  <c r="D316" i="6"/>
  <c r="E316" i="6"/>
  <c r="F316" i="6"/>
  <c r="D317" i="6"/>
  <c r="E317" i="6"/>
  <c r="F317" i="6"/>
  <c r="D318" i="6"/>
  <c r="E318" i="6"/>
  <c r="F318" i="6"/>
  <c r="D319" i="6"/>
  <c r="E319" i="6"/>
  <c r="F319" i="6"/>
  <c r="D320" i="6"/>
  <c r="D363" i="6" s="1"/>
  <c r="E320" i="6"/>
  <c r="E363" i="6" s="1"/>
  <c r="F320" i="6"/>
  <c r="F363" i="6" s="1"/>
  <c r="D321" i="6"/>
  <c r="E321" i="6"/>
  <c r="F321" i="6"/>
  <c r="D322" i="6"/>
  <c r="E322" i="6"/>
  <c r="F322" i="6"/>
  <c r="D323" i="6"/>
  <c r="E323" i="6"/>
  <c r="F323" i="6"/>
  <c r="D324" i="6"/>
  <c r="E324" i="6"/>
  <c r="F324" i="6"/>
  <c r="D325" i="6"/>
  <c r="E325" i="6"/>
  <c r="F325" i="6"/>
  <c r="D326" i="6"/>
  <c r="E326" i="6"/>
  <c r="F326" i="6"/>
  <c r="D327" i="6"/>
  <c r="E327" i="6"/>
  <c r="F327" i="6"/>
  <c r="D328" i="6"/>
  <c r="E328" i="6"/>
  <c r="F328" i="6"/>
  <c r="D329" i="6"/>
  <c r="E329" i="6"/>
  <c r="F329" i="6"/>
  <c r="D330" i="6"/>
  <c r="E330" i="6"/>
  <c r="F330" i="6"/>
  <c r="D331" i="6"/>
  <c r="E331" i="6"/>
  <c r="F331" i="6"/>
  <c r="D332" i="6"/>
  <c r="E332" i="6"/>
  <c r="F332" i="6"/>
  <c r="D334" i="6"/>
  <c r="D344" i="6" s="1"/>
  <c r="E334" i="6"/>
  <c r="E344" i="6" s="1"/>
  <c r="F334" i="6"/>
  <c r="F344" i="6" s="1"/>
  <c r="D339" i="6"/>
  <c r="E339" i="6"/>
  <c r="F339" i="6"/>
  <c r="D340" i="6"/>
  <c r="E340" i="6"/>
  <c r="F340" i="6"/>
  <c r="D341" i="6"/>
  <c r="E341" i="6"/>
  <c r="F341" i="6"/>
  <c r="D349" i="6"/>
  <c r="E349" i="6"/>
  <c r="F349" i="6"/>
  <c r="D351" i="6"/>
  <c r="E351" i="6"/>
  <c r="D353" i="6"/>
  <c r="E353" i="6"/>
  <c r="F353" i="6"/>
  <c r="D361" i="6"/>
  <c r="E361" i="6"/>
  <c r="D364" i="6"/>
  <c r="E364" i="6"/>
  <c r="F364" i="6"/>
  <c r="C351" i="6"/>
  <c r="C349" i="6"/>
  <c r="C340" i="6"/>
  <c r="C339" i="6"/>
  <c r="C334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1" i="6"/>
  <c r="C308" i="6"/>
  <c r="L299" i="6"/>
  <c r="L301" i="6" s="1"/>
  <c r="L297" i="6"/>
  <c r="L296" i="6"/>
  <c r="L295" i="6"/>
  <c r="L293" i="6"/>
  <c r="L294" i="6" s="1"/>
  <c r="L292" i="6"/>
  <c r="D292" i="6"/>
  <c r="E292" i="6"/>
  <c r="F292" i="6"/>
  <c r="D293" i="6"/>
  <c r="E293" i="6"/>
  <c r="F293" i="6"/>
  <c r="D294" i="6"/>
  <c r="E294" i="6"/>
  <c r="F294" i="6"/>
  <c r="D295" i="6"/>
  <c r="E295" i="6"/>
  <c r="F295" i="6"/>
  <c r="D296" i="6"/>
  <c r="E296" i="6"/>
  <c r="F296" i="6"/>
  <c r="D297" i="6"/>
  <c r="E297" i="6"/>
  <c r="F297" i="6"/>
  <c r="D299" i="6"/>
  <c r="E299" i="6"/>
  <c r="F299" i="6"/>
  <c r="D301" i="6"/>
  <c r="E301" i="6"/>
  <c r="F301" i="6"/>
  <c r="C299" i="6"/>
  <c r="C297" i="6"/>
  <c r="C296" i="6"/>
  <c r="C295" i="6"/>
  <c r="C293" i="6"/>
  <c r="C292" i="6"/>
  <c r="F287" i="6"/>
  <c r="F286" i="6"/>
  <c r="L288" i="6"/>
  <c r="L286" i="6"/>
  <c r="L287" i="6"/>
  <c r="H286" i="6"/>
  <c r="H288" i="6"/>
  <c r="H287" i="6"/>
  <c r="E288" i="6"/>
  <c r="E286" i="6"/>
  <c r="E287" i="6"/>
  <c r="D288" i="6"/>
  <c r="D286" i="6"/>
  <c r="D287" i="6"/>
  <c r="C288" i="6"/>
  <c r="C286" i="6"/>
  <c r="C287" i="6"/>
  <c r="L242" i="6"/>
  <c r="L239" i="6"/>
  <c r="F202" i="6"/>
  <c r="F191" i="6"/>
  <c r="F184" i="6"/>
  <c r="F183" i="6"/>
  <c r="F179" i="6"/>
  <c r="F178" i="6"/>
  <c r="F167" i="6"/>
  <c r="F168" i="6"/>
  <c r="F169" i="6"/>
  <c r="L166" i="6"/>
  <c r="E166" i="6"/>
  <c r="D166" i="6"/>
  <c r="C166" i="6"/>
  <c r="F166" i="6"/>
  <c r="L163" i="6"/>
  <c r="L162" i="6"/>
  <c r="L161" i="6"/>
  <c r="L160" i="6"/>
  <c r="L159" i="6"/>
  <c r="L158" i="6"/>
  <c r="L157" i="6"/>
  <c r="L156" i="6"/>
  <c r="L155" i="6"/>
  <c r="F149" i="6"/>
  <c r="F147" i="6"/>
  <c r="F146" i="6"/>
  <c r="F144" i="6"/>
  <c r="F143" i="6"/>
  <c r="F142" i="6"/>
  <c r="F141" i="6"/>
  <c r="F140" i="6"/>
  <c r="F138" i="6"/>
  <c r="F137" i="6"/>
  <c r="F136" i="6"/>
  <c r="F134" i="6"/>
  <c r="F133" i="6"/>
  <c r="F132" i="6"/>
  <c r="L152" i="6"/>
  <c r="L149" i="6"/>
  <c r="L146" i="6"/>
  <c r="L132" i="6"/>
  <c r="H152" i="6"/>
  <c r="H149" i="6"/>
  <c r="H146" i="6"/>
  <c r="H143" i="6"/>
  <c r="H132" i="6"/>
  <c r="E152" i="6"/>
  <c r="E146" i="6"/>
  <c r="E143" i="6"/>
  <c r="E132" i="6"/>
  <c r="D152" i="6"/>
  <c r="D146" i="6"/>
  <c r="D143" i="6"/>
  <c r="D132" i="6"/>
  <c r="C152" i="6"/>
  <c r="C146" i="6"/>
  <c r="C143" i="6"/>
  <c r="C140" i="6"/>
  <c r="C132" i="6"/>
  <c r="F123" i="6"/>
  <c r="L124" i="6"/>
  <c r="L119" i="6"/>
  <c r="L117" i="6"/>
  <c r="H117" i="6"/>
  <c r="F117" i="6"/>
  <c r="E117" i="6"/>
  <c r="D117" i="6"/>
  <c r="C117" i="6"/>
  <c r="E107" i="6"/>
  <c r="L106" i="6"/>
  <c r="H106" i="6"/>
  <c r="F106" i="6"/>
  <c r="E106" i="6"/>
  <c r="D106" i="6"/>
  <c r="C106" i="6"/>
  <c r="D64" i="6"/>
  <c r="E64" i="6"/>
  <c r="H64" i="6"/>
  <c r="L64" i="6"/>
  <c r="D65" i="6"/>
  <c r="E65" i="6"/>
  <c r="H65" i="6"/>
  <c r="L65" i="6"/>
  <c r="D66" i="6"/>
  <c r="E66" i="6"/>
  <c r="H66" i="6"/>
  <c r="L66" i="6"/>
  <c r="D67" i="6"/>
  <c r="E67" i="6"/>
  <c r="H67" i="6"/>
  <c r="L67" i="6"/>
  <c r="H70" i="6"/>
  <c r="L70" i="6"/>
  <c r="D71" i="6"/>
  <c r="E71" i="6"/>
  <c r="H71" i="6"/>
  <c r="L71" i="6"/>
  <c r="D72" i="6"/>
  <c r="E72" i="6"/>
  <c r="H72" i="6"/>
  <c r="L72" i="6"/>
  <c r="H74" i="6"/>
  <c r="L74" i="6"/>
  <c r="D75" i="6"/>
  <c r="E75" i="6"/>
  <c r="H75" i="6"/>
  <c r="L75" i="6"/>
  <c r="D76" i="6"/>
  <c r="E76" i="6"/>
  <c r="H76" i="6"/>
  <c r="L76" i="6"/>
  <c r="D77" i="6"/>
  <c r="E77" i="6"/>
  <c r="H77" i="6"/>
  <c r="L77" i="6"/>
  <c r="D78" i="6"/>
  <c r="E78" i="6"/>
  <c r="H78" i="6"/>
  <c r="L78" i="6"/>
  <c r="D79" i="6"/>
  <c r="E79" i="6"/>
  <c r="H79" i="6"/>
  <c r="L79" i="6"/>
  <c r="D80" i="6"/>
  <c r="E80" i="6"/>
  <c r="H80" i="6"/>
  <c r="L80" i="6"/>
  <c r="H82" i="6"/>
  <c r="L82" i="6"/>
  <c r="D83" i="6"/>
  <c r="E83" i="6"/>
  <c r="H83" i="6"/>
  <c r="L83" i="6"/>
  <c r="D84" i="6"/>
  <c r="E84" i="6"/>
  <c r="H84" i="6"/>
  <c r="L84" i="6"/>
  <c r="D85" i="6"/>
  <c r="E85" i="6"/>
  <c r="H85" i="6"/>
  <c r="L85" i="6"/>
  <c r="D86" i="6"/>
  <c r="E86" i="6"/>
  <c r="H86" i="6"/>
  <c r="L86" i="6"/>
  <c r="D87" i="6"/>
  <c r="E87" i="6"/>
  <c r="H87" i="6"/>
  <c r="L87" i="6"/>
  <c r="D88" i="6"/>
  <c r="E88" i="6"/>
  <c r="H88" i="6"/>
  <c r="L88" i="6"/>
  <c r="D89" i="6"/>
  <c r="E89" i="6"/>
  <c r="H89" i="6"/>
  <c r="L89" i="6"/>
  <c r="D90" i="6"/>
  <c r="E90" i="6"/>
  <c r="H90" i="6"/>
  <c r="L90" i="6"/>
  <c r="D91" i="6"/>
  <c r="E91" i="6"/>
  <c r="H91" i="6"/>
  <c r="L91" i="6"/>
  <c r="D92" i="6"/>
  <c r="E92" i="6"/>
  <c r="H92" i="6"/>
  <c r="L92" i="6"/>
  <c r="D93" i="6"/>
  <c r="E93" i="6"/>
  <c r="H93" i="6"/>
  <c r="L93" i="6"/>
  <c r="D94" i="6"/>
  <c r="E94" i="6"/>
  <c r="H94" i="6"/>
  <c r="L94" i="6"/>
  <c r="D95" i="6"/>
  <c r="E95" i="6"/>
  <c r="H95" i="6"/>
  <c r="L95" i="6"/>
  <c r="D96" i="6"/>
  <c r="E96" i="6"/>
  <c r="H96" i="6"/>
  <c r="L96" i="6"/>
  <c r="D97" i="6"/>
  <c r="E97" i="6"/>
  <c r="H97" i="6"/>
  <c r="L97" i="6"/>
  <c r="D98" i="6"/>
  <c r="E98" i="6"/>
  <c r="H98" i="6"/>
  <c r="L98" i="6"/>
  <c r="D99" i="6"/>
  <c r="E99" i="6"/>
  <c r="F99" i="6"/>
  <c r="H99" i="6"/>
  <c r="L99" i="6"/>
  <c r="D100" i="6"/>
  <c r="E100" i="6"/>
  <c r="H100" i="6"/>
  <c r="L100" i="6"/>
  <c r="D102" i="6"/>
  <c r="E102" i="6"/>
  <c r="H102" i="6"/>
  <c r="L102" i="6"/>
  <c r="D103" i="6"/>
  <c r="E103" i="6"/>
  <c r="H103" i="6"/>
  <c r="L103" i="6"/>
  <c r="C103" i="6"/>
  <c r="C102" i="6"/>
  <c r="C71" i="6"/>
  <c r="C72" i="6"/>
  <c r="C75" i="6"/>
  <c r="C76" i="6"/>
  <c r="C77" i="6"/>
  <c r="C78" i="6"/>
  <c r="C79" i="6"/>
  <c r="C80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67" i="6"/>
  <c r="C66" i="6"/>
  <c r="C65" i="6"/>
  <c r="F56" i="6"/>
  <c r="F58" i="6"/>
  <c r="F55" i="6"/>
  <c r="F52" i="6"/>
  <c r="F103" i="6" s="1"/>
  <c r="F51" i="6"/>
  <c r="F102" i="6" s="1"/>
  <c r="F11" i="6"/>
  <c r="F12" i="6"/>
  <c r="F13" i="6"/>
  <c r="F10" i="6"/>
  <c r="F7" i="6"/>
  <c r="F3" i="6"/>
  <c r="C23" i="6"/>
  <c r="C74" i="6" s="1"/>
  <c r="C31" i="6"/>
  <c r="C82" i="6" s="1"/>
  <c r="E31" i="6"/>
  <c r="D31" i="6"/>
  <c r="D82" i="6" s="1"/>
  <c r="E23" i="6"/>
  <c r="D23" i="6"/>
  <c r="D74" i="6" s="1"/>
  <c r="D19" i="6"/>
  <c r="D70" i="6" s="1"/>
  <c r="E19" i="6"/>
  <c r="C19" i="6"/>
  <c r="C70" i="6" s="1"/>
  <c r="L8" i="6"/>
  <c r="F107" i="6" l="1"/>
  <c r="F335" i="6"/>
  <c r="F336" i="6" s="1"/>
  <c r="D335" i="6"/>
  <c r="D336" i="6" s="1"/>
  <c r="D107" i="6"/>
  <c r="C335" i="6"/>
  <c r="C107" i="6"/>
  <c r="D35" i="8"/>
  <c r="D37" i="8"/>
  <c r="D36" i="8"/>
  <c r="D39" i="8"/>
  <c r="D30" i="8"/>
  <c r="D28" i="8"/>
  <c r="D26" i="8"/>
  <c r="D23" i="8"/>
  <c r="D12" i="8"/>
  <c r="D18" i="8"/>
  <c r="D17" i="8"/>
  <c r="D11" i="8"/>
  <c r="D22" i="8"/>
  <c r="D16" i="8"/>
  <c r="D13" i="8"/>
  <c r="D10" i="8"/>
  <c r="D9" i="8" s="1"/>
  <c r="D46" i="8"/>
  <c r="D45" i="8"/>
  <c r="L108" i="12"/>
  <c r="L115" i="12"/>
  <c r="L112" i="12"/>
  <c r="L111" i="12"/>
  <c r="L113" i="12"/>
  <c r="L114" i="12"/>
  <c r="L125" i="12"/>
  <c r="H108" i="12"/>
  <c r="H113" i="12"/>
  <c r="H112" i="12"/>
  <c r="H111" i="12"/>
  <c r="H115" i="12"/>
  <c r="H114" i="12"/>
  <c r="E108" i="12"/>
  <c r="E112" i="12"/>
  <c r="E114" i="12"/>
  <c r="E113" i="12"/>
  <c r="E115" i="12"/>
  <c r="E111" i="12"/>
  <c r="E116" i="12" s="1"/>
  <c r="E125" i="12"/>
  <c r="D108" i="12"/>
  <c r="D115" i="12"/>
  <c r="D113" i="12"/>
  <c r="D112" i="12"/>
  <c r="D111" i="12"/>
  <c r="D125" i="12"/>
  <c r="D114" i="12"/>
  <c r="C108" i="12"/>
  <c r="C114" i="12"/>
  <c r="C112" i="12"/>
  <c r="C115" i="12"/>
  <c r="C111" i="12"/>
  <c r="C116" i="12" s="1"/>
  <c r="C113" i="12"/>
  <c r="E98" i="12"/>
  <c r="D98" i="12"/>
  <c r="F107" i="12"/>
  <c r="L98" i="12"/>
  <c r="L85" i="12"/>
  <c r="L90" i="12"/>
  <c r="L89" i="12"/>
  <c r="L88" i="12"/>
  <c r="L91" i="12" s="1"/>
  <c r="H85" i="12"/>
  <c r="H90" i="12"/>
  <c r="H89" i="12"/>
  <c r="H88" i="12"/>
  <c r="H91" i="12" s="1"/>
  <c r="E85" i="12"/>
  <c r="E90" i="12"/>
  <c r="E89" i="12"/>
  <c r="E88" i="12"/>
  <c r="D85" i="12"/>
  <c r="D90" i="12"/>
  <c r="D89" i="12"/>
  <c r="D88" i="12"/>
  <c r="C85" i="12"/>
  <c r="C89" i="12"/>
  <c r="C90" i="12"/>
  <c r="C88" i="12"/>
  <c r="C91" i="12" s="1"/>
  <c r="F84" i="12"/>
  <c r="L46" i="12"/>
  <c r="L60" i="12"/>
  <c r="L55" i="12"/>
  <c r="L53" i="12"/>
  <c r="L51" i="12"/>
  <c r="L77" i="12"/>
  <c r="L54" i="12"/>
  <c r="L50" i="12"/>
  <c r="L52" i="12"/>
  <c r="L59" i="12"/>
  <c r="H46" i="12"/>
  <c r="H51" i="12"/>
  <c r="H55" i="12"/>
  <c r="H53" i="12"/>
  <c r="H50" i="12"/>
  <c r="H60" i="12"/>
  <c r="H54" i="12"/>
  <c r="H59" i="12"/>
  <c r="H52" i="12"/>
  <c r="E46" i="12"/>
  <c r="E60" i="12"/>
  <c r="E77" i="12"/>
  <c r="E52" i="12"/>
  <c r="E54" i="12"/>
  <c r="E59" i="12"/>
  <c r="E55" i="12"/>
  <c r="E53" i="12"/>
  <c r="E51" i="12"/>
  <c r="E50" i="12"/>
  <c r="D46" i="12"/>
  <c r="D77" i="12"/>
  <c r="D60" i="12"/>
  <c r="D59" i="12"/>
  <c r="D55" i="12"/>
  <c r="D54" i="12"/>
  <c r="D53" i="12"/>
  <c r="D52" i="12"/>
  <c r="D51" i="12"/>
  <c r="D50" i="12"/>
  <c r="C46" i="12"/>
  <c r="C51" i="12"/>
  <c r="C52" i="12"/>
  <c r="C53" i="12"/>
  <c r="C54" i="12"/>
  <c r="C55" i="12"/>
  <c r="C59" i="12"/>
  <c r="C60" i="12"/>
  <c r="C50" i="12"/>
  <c r="F45" i="12"/>
  <c r="H313" i="6"/>
  <c r="L344" i="6"/>
  <c r="L336" i="6"/>
  <c r="L313" i="6"/>
  <c r="D356" i="6"/>
  <c r="D347" i="6"/>
  <c r="D359" i="6" s="1"/>
  <c r="E356" i="6"/>
  <c r="E347" i="6"/>
  <c r="E359" i="6" s="1"/>
  <c r="F356" i="6"/>
  <c r="F347" i="6"/>
  <c r="F359" i="6" s="1"/>
  <c r="E343" i="6"/>
  <c r="E366" i="6"/>
  <c r="F65" i="6"/>
  <c r="F66" i="6"/>
  <c r="F67" i="6"/>
  <c r="F64" i="6"/>
  <c r="F87" i="6"/>
  <c r="F88" i="6"/>
  <c r="F89" i="6"/>
  <c r="F90" i="6"/>
  <c r="F96" i="6"/>
  <c r="F98" i="6"/>
  <c r="F83" i="6"/>
  <c r="F84" i="6"/>
  <c r="F85" i="6"/>
  <c r="F86" i="6"/>
  <c r="F93" i="6"/>
  <c r="F91" i="6"/>
  <c r="F97" i="6"/>
  <c r="F94" i="6"/>
  <c r="F95" i="6"/>
  <c r="F100" i="6"/>
  <c r="F71" i="6"/>
  <c r="F72" i="6"/>
  <c r="F75" i="6"/>
  <c r="F76" i="6"/>
  <c r="F77" i="6"/>
  <c r="F78" i="6"/>
  <c r="F79" i="6"/>
  <c r="F80" i="6"/>
  <c r="F92" i="6"/>
  <c r="F31" i="6"/>
  <c r="F82" i="6" s="1"/>
  <c r="E82" i="6"/>
  <c r="F23" i="6"/>
  <c r="F74" i="6" s="1"/>
  <c r="E74" i="6"/>
  <c r="F19" i="6"/>
  <c r="F70" i="6" s="1"/>
  <c r="E70" i="6"/>
  <c r="F9" i="6"/>
  <c r="F63" i="6" s="1"/>
  <c r="F343" i="6" l="1"/>
  <c r="F366" i="6"/>
  <c r="D343" i="6"/>
  <c r="D366" i="6"/>
  <c r="D38" i="8"/>
  <c r="D40" i="8" s="1"/>
  <c r="L116" i="12"/>
  <c r="H116" i="12"/>
  <c r="D116" i="12"/>
  <c r="F108" i="12"/>
  <c r="F115" i="12"/>
  <c r="F114" i="12"/>
  <c r="F113" i="12"/>
  <c r="F112" i="12"/>
  <c r="F111" i="12"/>
  <c r="D91" i="12"/>
  <c r="D61" i="12"/>
  <c r="E91" i="12"/>
  <c r="C61" i="12"/>
  <c r="F85" i="12"/>
  <c r="F90" i="12"/>
  <c r="F89" i="12"/>
  <c r="F88" i="12"/>
  <c r="E61" i="12"/>
  <c r="L61" i="12"/>
  <c r="H61" i="12"/>
  <c r="F46" i="12"/>
  <c r="F60" i="12"/>
  <c r="F59" i="12"/>
  <c r="F55" i="12"/>
  <c r="F54" i="12"/>
  <c r="F53" i="12"/>
  <c r="F52" i="12"/>
  <c r="F51" i="12"/>
  <c r="F50" i="12"/>
  <c r="L356" i="6"/>
  <c r="L347" i="6"/>
  <c r="L359" i="6" s="1"/>
  <c r="L343" i="6"/>
  <c r="L366" i="6"/>
  <c r="E355" i="6"/>
  <c r="E346" i="6"/>
  <c r="E358" i="6" s="1"/>
  <c r="L9" i="6"/>
  <c r="H9" i="6"/>
  <c r="F355" i="6" l="1"/>
  <c r="F346" i="6"/>
  <c r="F358" i="6" s="1"/>
  <c r="D355" i="6"/>
  <c r="D346" i="6"/>
  <c r="D358" i="6" s="1"/>
  <c r="F116" i="12"/>
  <c r="F91" i="12"/>
  <c r="F61" i="12"/>
  <c r="L346" i="6"/>
  <c r="L358" i="6" s="1"/>
  <c r="L355" i="6"/>
  <c r="L15" i="6"/>
  <c r="L54" i="6" s="1"/>
  <c r="L63" i="6"/>
  <c r="H15" i="6"/>
  <c r="H63" i="6"/>
  <c r="H16" i="6"/>
  <c r="H54" i="6"/>
  <c r="L16" i="6"/>
  <c r="L112" i="6"/>
  <c r="L113" i="6"/>
  <c r="H113" i="6"/>
  <c r="H112" i="6"/>
  <c r="D47" i="8" l="1"/>
  <c r="L57" i="6" l="1"/>
  <c r="H57" i="6"/>
  <c r="H59" i="6" s="1"/>
  <c r="C15" i="8"/>
  <c r="C48" i="8" s="1"/>
  <c r="L13" i="12"/>
  <c r="H13" i="12"/>
  <c r="E25" i="12"/>
  <c r="E26" i="12"/>
  <c r="E27" i="12"/>
  <c r="E28" i="12"/>
  <c r="D26" i="12"/>
  <c r="D27" i="12"/>
  <c r="D28" i="12"/>
  <c r="L29" i="12" l="1"/>
  <c r="L110" i="6"/>
  <c r="L59" i="6"/>
  <c r="H110" i="6"/>
  <c r="D13" i="12"/>
  <c r="E13" i="12"/>
  <c r="C13" i="12"/>
  <c r="D247" i="6"/>
  <c r="E247" i="6"/>
  <c r="D248" i="6"/>
  <c r="E248" i="6"/>
  <c r="D251" i="6"/>
  <c r="E251" i="6"/>
  <c r="D252" i="6"/>
  <c r="E252" i="6"/>
  <c r="D255" i="6"/>
  <c r="E255" i="6"/>
  <c r="D256" i="6"/>
  <c r="E256" i="6"/>
  <c r="D261" i="6"/>
  <c r="E261" i="6"/>
  <c r="D265" i="6"/>
  <c r="E265" i="6"/>
  <c r="D228" i="6"/>
  <c r="D298" i="6" s="1"/>
  <c r="E228" i="6"/>
  <c r="E298" i="6" s="1"/>
  <c r="E254" i="6"/>
  <c r="E9" i="6"/>
  <c r="D9" i="6"/>
  <c r="E15" i="6" l="1"/>
  <c r="E54" i="6" s="1"/>
  <c r="E63" i="6"/>
  <c r="D15" i="6"/>
  <c r="D54" i="6" s="1"/>
  <c r="D63" i="6"/>
  <c r="F15" i="6"/>
  <c r="F54" i="6" s="1"/>
  <c r="F57" i="6" s="1"/>
  <c r="D254" i="6"/>
  <c r="E258" i="6"/>
  <c r="D258" i="6"/>
  <c r="D250" i="6"/>
  <c r="E257" i="6"/>
  <c r="D257" i="6"/>
  <c r="E238" i="6"/>
  <c r="E112" i="6"/>
  <c r="D238" i="6"/>
  <c r="E246" i="6"/>
  <c r="E250" i="6"/>
  <c r="D246" i="6"/>
  <c r="E113" i="6"/>
  <c r="D15" i="8"/>
  <c r="E29" i="12"/>
  <c r="D29" i="12"/>
  <c r="C19" i="12"/>
  <c r="C18" i="12"/>
  <c r="C20" i="12"/>
  <c r="E17" i="12"/>
  <c r="E18" i="12"/>
  <c r="E19" i="12"/>
  <c r="E20" i="12"/>
  <c r="D17" i="12"/>
  <c r="D19" i="12"/>
  <c r="D18" i="12"/>
  <c r="D20" i="12"/>
  <c r="D57" i="6"/>
  <c r="D110" i="6" s="1"/>
  <c r="E57" i="6"/>
  <c r="E110" i="6" s="1"/>
  <c r="D113" i="6"/>
  <c r="D112" i="6"/>
  <c r="C9" i="6"/>
  <c r="C15" i="6" s="1"/>
  <c r="C54" i="6" s="1"/>
  <c r="H115" i="6"/>
  <c r="H128" i="6"/>
  <c r="H130" i="6"/>
  <c r="H257" i="6"/>
  <c r="H154" i="6"/>
  <c r="H165" i="6"/>
  <c r="H206" i="6"/>
  <c r="H221" i="6"/>
  <c r="H235" i="6"/>
  <c r="H238" i="6"/>
  <c r="H246" i="6"/>
  <c r="H247" i="6"/>
  <c r="H248" i="6"/>
  <c r="H251" i="6"/>
  <c r="H252" i="6"/>
  <c r="H255" i="6"/>
  <c r="H256" i="6"/>
  <c r="H258" i="6"/>
  <c r="H261" i="6"/>
  <c r="H265" i="6"/>
  <c r="H291" i="6"/>
  <c r="H305" i="6"/>
  <c r="D25" i="12"/>
  <c r="G14" i="12"/>
  <c r="E239" i="6" l="1"/>
  <c r="F113" i="6"/>
  <c r="D21" i="12"/>
  <c r="E21" i="12"/>
  <c r="C64" i="6"/>
  <c r="C63" i="6"/>
  <c r="H250" i="6"/>
  <c r="H289" i="6"/>
  <c r="H254" i="6"/>
  <c r="H116" i="6"/>
  <c r="H118" i="6" s="1"/>
  <c r="H269" i="6"/>
  <c r="H127" i="6"/>
  <c r="E14" i="12"/>
  <c r="F112" i="6" l="1"/>
  <c r="H122" i="6"/>
  <c r="F13" i="12"/>
  <c r="L17" i="12"/>
  <c r="L20" i="12"/>
  <c r="L18" i="12"/>
  <c r="L19" i="12"/>
  <c r="H17" i="12"/>
  <c r="H18" i="12"/>
  <c r="H19" i="12"/>
  <c r="H20" i="12"/>
  <c r="C57" i="6"/>
  <c r="H264" i="6"/>
  <c r="H60" i="6"/>
  <c r="H120" i="6"/>
  <c r="C17" i="12"/>
  <c r="C21" i="12" s="1"/>
  <c r="C14" i="12"/>
  <c r="D14" i="12"/>
  <c r="L14" i="12"/>
  <c r="H14" i="12"/>
  <c r="F14" i="12" l="1"/>
  <c r="H270" i="6"/>
  <c r="H131" i="6"/>
  <c r="H125" i="6"/>
  <c r="H243" i="6" s="1"/>
  <c r="H241" i="6"/>
  <c r="H21" i="12"/>
  <c r="L21" i="12"/>
  <c r="F17" i="12"/>
  <c r="F20" i="12"/>
  <c r="F18" i="12"/>
  <c r="F19" i="12"/>
  <c r="H266" i="6"/>
  <c r="H268" i="6"/>
  <c r="H135" i="6" l="1"/>
  <c r="H245" i="6"/>
  <c r="F21" i="12"/>
  <c r="C55" i="8"/>
  <c r="C21" i="8"/>
  <c r="B269" i="6"/>
  <c r="L188" i="6"/>
  <c r="L195" i="6" s="1"/>
  <c r="L189" i="6"/>
  <c r="L196" i="6" s="1"/>
  <c r="L198" i="6"/>
  <c r="H139" i="6" l="1"/>
  <c r="H249" i="6"/>
  <c r="C25" i="8"/>
  <c r="C31" i="8" s="1"/>
  <c r="L197" i="6"/>
  <c r="L199" i="6" s="1"/>
  <c r="L269" i="6" s="1"/>
  <c r="H145" i="6" l="1"/>
  <c r="H253" i="6"/>
  <c r="C27" i="8"/>
  <c r="C29" i="8"/>
  <c r="E289" i="6"/>
  <c r="D289" i="6"/>
  <c r="L289" i="6"/>
  <c r="C289" i="6"/>
  <c r="B270" i="6"/>
  <c r="B268" i="6"/>
  <c r="H148" i="6" l="1"/>
  <c r="H259" i="6"/>
  <c r="E189" i="6"/>
  <c r="D189" i="6"/>
  <c r="C189" i="6"/>
  <c r="E188" i="6"/>
  <c r="D188" i="6"/>
  <c r="C188" i="6"/>
  <c r="C113" i="6"/>
  <c r="H262" i="6" l="1"/>
  <c r="H260" i="6"/>
  <c r="E116" i="6"/>
  <c r="E118" i="6" s="1"/>
  <c r="E241" i="6" l="1"/>
  <c r="E122" i="6"/>
  <c r="F289" i="6" l="1"/>
  <c r="L305" i="6"/>
  <c r="L291" i="6"/>
  <c r="L265" i="6"/>
  <c r="L261" i="6"/>
  <c r="L258" i="6"/>
  <c r="L256" i="6"/>
  <c r="L255" i="6"/>
  <c r="L252" i="6"/>
  <c r="L251" i="6"/>
  <c r="L248" i="6"/>
  <c r="L247" i="6"/>
  <c r="L238" i="6"/>
  <c r="L235" i="6"/>
  <c r="L228" i="6"/>
  <c r="L298" i="6" s="1"/>
  <c r="L221" i="6"/>
  <c r="L206" i="6"/>
  <c r="L185" i="6"/>
  <c r="L170" i="6"/>
  <c r="L171" i="6" s="1"/>
  <c r="L165" i="6"/>
  <c r="L154" i="6"/>
  <c r="L127" i="6"/>
  <c r="L246" i="6"/>
  <c r="L130" i="6"/>
  <c r="L115" i="6"/>
  <c r="B359" i="6"/>
  <c r="B358" i="6"/>
  <c r="B276" i="6"/>
  <c r="B275" i="6"/>
  <c r="C198" i="6"/>
  <c r="D198" i="6"/>
  <c r="E198" i="6"/>
  <c r="D196" i="6"/>
  <c r="C196" i="6"/>
  <c r="D195" i="6"/>
  <c r="C195" i="6"/>
  <c r="E196" i="6"/>
  <c r="E195" i="6"/>
  <c r="L180" i="6" l="1"/>
  <c r="L108" i="6" s="1"/>
  <c r="L128" i="6"/>
  <c r="L257" i="6"/>
  <c r="L190" i="6"/>
  <c r="L116" i="6"/>
  <c r="L250" i="6"/>
  <c r="L254" i="6"/>
  <c r="C197" i="6"/>
  <c r="E197" i="6"/>
  <c r="D197" i="6"/>
  <c r="E305" i="6"/>
  <c r="E291" i="6"/>
  <c r="E235" i="6"/>
  <c r="E221" i="6"/>
  <c r="E206" i="6"/>
  <c r="E180" i="6"/>
  <c r="E108" i="6" s="1"/>
  <c r="E170" i="6"/>
  <c r="E165" i="6"/>
  <c r="E159" i="6"/>
  <c r="E156" i="6"/>
  <c r="E154" i="6"/>
  <c r="E131" i="6"/>
  <c r="E130" i="6"/>
  <c r="E115" i="6"/>
  <c r="E16" i="6"/>
  <c r="L118" i="6" l="1"/>
  <c r="E223" i="6"/>
  <c r="E212" i="6"/>
  <c r="E276" i="6" s="1"/>
  <c r="E135" i="6"/>
  <c r="E245" i="6"/>
  <c r="D21" i="8"/>
  <c r="D25" i="8" s="1"/>
  <c r="D29" i="8" s="1"/>
  <c r="D55" i="8"/>
  <c r="E173" i="6"/>
  <c r="E175" i="6"/>
  <c r="L60" i="6"/>
  <c r="L203" i="6"/>
  <c r="L192" i="6"/>
  <c r="L229" i="6"/>
  <c r="L264" i="6"/>
  <c r="D199" i="6"/>
  <c r="E199" i="6"/>
  <c r="C199" i="6"/>
  <c r="C269" i="6" s="1"/>
  <c r="E160" i="6"/>
  <c r="E127" i="6"/>
  <c r="E128" i="6"/>
  <c r="E185" i="6"/>
  <c r="E162" i="6"/>
  <c r="E125" i="6"/>
  <c r="E243" i="6" s="1"/>
  <c r="E155" i="6"/>
  <c r="F198" i="6"/>
  <c r="C228" i="6"/>
  <c r="C298" i="6" s="1"/>
  <c r="E225" i="6" l="1"/>
  <c r="E217" i="6"/>
  <c r="E281" i="6" s="1"/>
  <c r="E226" i="6"/>
  <c r="E216" i="6"/>
  <c r="E280" i="6" s="1"/>
  <c r="L268" i="6"/>
  <c r="D269" i="6"/>
  <c r="L120" i="6"/>
  <c r="E249" i="6"/>
  <c r="E139" i="6"/>
  <c r="E163" i="6" s="1"/>
  <c r="E227" i="6" s="1"/>
  <c r="E174" i="6"/>
  <c r="E222" i="6"/>
  <c r="E224" i="6" s="1"/>
  <c r="E269" i="6"/>
  <c r="E211" i="6"/>
  <c r="E275" i="6" s="1"/>
  <c r="D27" i="8"/>
  <c r="L222" i="6"/>
  <c r="L219" i="6"/>
  <c r="L283" i="6" s="1"/>
  <c r="L266" i="6"/>
  <c r="L225" i="6"/>
  <c r="L230" i="6"/>
  <c r="L300" i="6" s="1"/>
  <c r="L302" i="6" s="1"/>
  <c r="E190" i="6"/>
  <c r="E171" i="6"/>
  <c r="E157" i="6"/>
  <c r="L131" i="6" l="1"/>
  <c r="L125" i="6"/>
  <c r="L243" i="6" s="1"/>
  <c r="L241" i="6"/>
  <c r="L122" i="6"/>
  <c r="E145" i="6"/>
  <c r="E253" i="6"/>
  <c r="E264" i="6"/>
  <c r="E209" i="6"/>
  <c r="E229" i="6"/>
  <c r="F16" i="6"/>
  <c r="L174" i="6"/>
  <c r="L175" i="6"/>
  <c r="L173" i="6"/>
  <c r="E203" i="6"/>
  <c r="E192" i="6"/>
  <c r="E59" i="6"/>
  <c r="E158" i="6"/>
  <c r="E120" i="6"/>
  <c r="C341" i="6"/>
  <c r="B308" i="6"/>
  <c r="B238" i="6"/>
  <c r="F59" i="6" l="1"/>
  <c r="L135" i="6"/>
  <c r="L245" i="6"/>
  <c r="E259" i="6"/>
  <c r="E230" i="6"/>
  <c r="E300" i="6" s="1"/>
  <c r="E302" i="6" s="1"/>
  <c r="E273" i="6"/>
  <c r="E231" i="6"/>
  <c r="E219" i="6"/>
  <c r="E283" i="6" s="1"/>
  <c r="E268" i="6"/>
  <c r="E208" i="6"/>
  <c r="E266" i="6"/>
  <c r="E60" i="6"/>
  <c r="E161" i="6"/>
  <c r="L226" i="6"/>
  <c r="E148" i="6" l="1"/>
  <c r="F110" i="6"/>
  <c r="F116" i="6"/>
  <c r="F118" i="6" s="1"/>
  <c r="L139" i="6"/>
  <c r="L249" i="6"/>
  <c r="E260" i="6"/>
  <c r="E232" i="6"/>
  <c r="E272" i="6"/>
  <c r="E214" i="6"/>
  <c r="E278" i="6" s="1"/>
  <c r="E270" i="6"/>
  <c r="B235" i="6"/>
  <c r="E262" i="6" l="1"/>
  <c r="L145" i="6"/>
  <c r="L253" i="6"/>
  <c r="B156" i="6"/>
  <c r="B155" i="6"/>
  <c r="L259" i="6" l="1"/>
  <c r="E8" i="6"/>
  <c r="C128" i="6"/>
  <c r="C127" i="6"/>
  <c r="D127" i="6"/>
  <c r="D128" i="6"/>
  <c r="C155" i="6"/>
  <c r="C174" i="6" s="1"/>
  <c r="C238" i="6"/>
  <c r="D239" i="6" s="1"/>
  <c r="D155" i="6"/>
  <c r="D8" i="6"/>
  <c r="L148" i="6" l="1"/>
  <c r="L260" i="6"/>
  <c r="F122" i="6"/>
  <c r="D174" i="6"/>
  <c r="D222" i="6"/>
  <c r="F127" i="6"/>
  <c r="F228" i="6"/>
  <c r="F298" i="6" s="1"/>
  <c r="D305" i="6"/>
  <c r="D291" i="6"/>
  <c r="D235" i="6"/>
  <c r="D221" i="6"/>
  <c r="D206" i="6"/>
  <c r="D185" i="6"/>
  <c r="D180" i="6"/>
  <c r="D108" i="6" s="1"/>
  <c r="D170" i="6"/>
  <c r="D165" i="6"/>
  <c r="D160" i="6"/>
  <c r="D225" i="6" s="1"/>
  <c r="D156" i="6"/>
  <c r="D154" i="6"/>
  <c r="D130" i="6"/>
  <c r="D115" i="6"/>
  <c r="L262" i="6" l="1"/>
  <c r="D173" i="6"/>
  <c r="D175" i="6"/>
  <c r="D16" i="6"/>
  <c r="F155" i="6"/>
  <c r="F174" i="6" s="1"/>
  <c r="F238" i="6"/>
  <c r="D190" i="6"/>
  <c r="D171" i="6"/>
  <c r="D162" i="6"/>
  <c r="D226" i="6" s="1"/>
  <c r="D264" i="6" l="1"/>
  <c r="D229" i="6"/>
  <c r="D192" i="6"/>
  <c r="D203" i="6"/>
  <c r="D157" i="6"/>
  <c r="D116" i="6"/>
  <c r="D118" i="6" s="1"/>
  <c r="D241" i="6" l="1"/>
  <c r="D230" i="6"/>
  <c r="D300" i="6" s="1"/>
  <c r="D302" i="6" s="1"/>
  <c r="D266" i="6"/>
  <c r="D219" i="6"/>
  <c r="D283" i="6" s="1"/>
  <c r="D268" i="6"/>
  <c r="E124" i="6"/>
  <c r="E242" i="6" s="1"/>
  <c r="D125" i="6"/>
  <c r="D243" i="6" s="1"/>
  <c r="D131" i="6"/>
  <c r="D159" i="6"/>
  <c r="D208" i="6" s="1"/>
  <c r="D120" i="6"/>
  <c r="E119" i="6"/>
  <c r="D59" i="6"/>
  <c r="D122" i="6"/>
  <c r="D158" i="6"/>
  <c r="D245" i="6" l="1"/>
  <c r="D270" i="6"/>
  <c r="D214" i="6"/>
  <c r="D278" i="6" s="1"/>
  <c r="D232" i="6"/>
  <c r="D272" i="6"/>
  <c r="D216" i="6"/>
  <c r="D280" i="6" s="1"/>
  <c r="D217" i="6"/>
  <c r="D281" i="6" s="1"/>
  <c r="D223" i="6"/>
  <c r="D212" i="6"/>
  <c r="D276" i="6" s="1"/>
  <c r="D211" i="6"/>
  <c r="D275" i="6" s="1"/>
  <c r="D209" i="6"/>
  <c r="D135" i="6"/>
  <c r="D161" i="6"/>
  <c r="D60" i="6"/>
  <c r="B227" i="6"/>
  <c r="B226" i="6"/>
  <c r="B225" i="6"/>
  <c r="C156" i="6"/>
  <c r="C254" i="6"/>
  <c r="C162" i="6"/>
  <c r="C226" i="6" s="1"/>
  <c r="C16" i="6"/>
  <c r="B366" i="6"/>
  <c r="B364" i="6"/>
  <c r="B363" i="6"/>
  <c r="B361" i="6"/>
  <c r="B356" i="6"/>
  <c r="B355" i="6"/>
  <c r="B351" i="6"/>
  <c r="B336" i="6"/>
  <c r="B335" i="6"/>
  <c r="B334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3" i="6"/>
  <c r="B312" i="6"/>
  <c r="B311" i="6"/>
  <c r="F305" i="6"/>
  <c r="C305" i="6"/>
  <c r="F291" i="6"/>
  <c r="C291" i="6"/>
  <c r="B283" i="6"/>
  <c r="B281" i="6"/>
  <c r="B280" i="6"/>
  <c r="B278" i="6"/>
  <c r="B273" i="6"/>
  <c r="B272" i="6"/>
  <c r="B266" i="6"/>
  <c r="B265" i="6"/>
  <c r="B264" i="6"/>
  <c r="B262" i="6"/>
  <c r="C261" i="6"/>
  <c r="B261" i="6"/>
  <c r="B260" i="6"/>
  <c r="B259" i="6"/>
  <c r="B258" i="6"/>
  <c r="B257" i="6"/>
  <c r="C256" i="6"/>
  <c r="B256" i="6"/>
  <c r="C255" i="6"/>
  <c r="B255" i="6"/>
  <c r="B254" i="6"/>
  <c r="B253" i="6"/>
  <c r="C252" i="6"/>
  <c r="B252" i="6"/>
  <c r="C251" i="6"/>
  <c r="B251" i="6"/>
  <c r="B250" i="6"/>
  <c r="B249" i="6"/>
  <c r="C248" i="6"/>
  <c r="B248" i="6"/>
  <c r="C247" i="6"/>
  <c r="B247" i="6"/>
  <c r="B246" i="6"/>
  <c r="B245" i="6"/>
  <c r="B243" i="6"/>
  <c r="B242" i="6"/>
  <c r="B241" i="6"/>
  <c r="F235" i="6"/>
  <c r="C235" i="6"/>
  <c r="F221" i="6"/>
  <c r="C221" i="6"/>
  <c r="F206" i="6"/>
  <c r="C206" i="6"/>
  <c r="C185" i="6"/>
  <c r="C170" i="6"/>
  <c r="F165" i="6"/>
  <c r="C165" i="6"/>
  <c r="C160" i="6"/>
  <c r="C225" i="6" s="1"/>
  <c r="C222" i="6"/>
  <c r="F154" i="6"/>
  <c r="C154" i="6"/>
  <c r="F130" i="6"/>
  <c r="C130" i="6"/>
  <c r="C242" i="6"/>
  <c r="F115" i="6"/>
  <c r="C115" i="6"/>
  <c r="F156" i="6"/>
  <c r="D224" i="6" l="1"/>
  <c r="D231" i="6"/>
  <c r="D273" i="6"/>
  <c r="D249" i="6"/>
  <c r="L212" i="6"/>
  <c r="L276" i="6" s="1"/>
  <c r="L217" i="6"/>
  <c r="L281" i="6" s="1"/>
  <c r="L223" i="6"/>
  <c r="L208" i="6"/>
  <c r="L211" i="6"/>
  <c r="L275" i="6" s="1"/>
  <c r="L209" i="6"/>
  <c r="L216" i="6"/>
  <c r="L280" i="6" s="1"/>
  <c r="C175" i="6"/>
  <c r="C173" i="6"/>
  <c r="F173" i="6"/>
  <c r="F175" i="6"/>
  <c r="C112" i="6"/>
  <c r="C171" i="6"/>
  <c r="C265" i="6"/>
  <c r="C250" i="6"/>
  <c r="F185" i="6"/>
  <c r="F222" i="6"/>
  <c r="C258" i="6"/>
  <c r="C257" i="6"/>
  <c r="F265" i="6"/>
  <c r="C180" i="6"/>
  <c r="C108" i="6" s="1"/>
  <c r="F170" i="6"/>
  <c r="L231" i="6" l="1"/>
  <c r="L273" i="6"/>
  <c r="L272" i="6"/>
  <c r="L232" i="6"/>
  <c r="L224" i="6"/>
  <c r="C110" i="6"/>
  <c r="C246" i="6"/>
  <c r="F128" i="6"/>
  <c r="F171" i="6"/>
  <c r="C190" i="6"/>
  <c r="L227" i="6" l="1"/>
  <c r="C229" i="6"/>
  <c r="C192" i="6"/>
  <c r="F125" i="6"/>
  <c r="D139" i="6"/>
  <c r="C59" i="6"/>
  <c r="C203" i="6"/>
  <c r="C264" i="6"/>
  <c r="F288" i="6"/>
  <c r="F248" i="6"/>
  <c r="F160" i="6"/>
  <c r="F261" i="6"/>
  <c r="F255" i="6"/>
  <c r="C157" i="6"/>
  <c r="C116" i="6"/>
  <c r="F251" i="6"/>
  <c r="D253" i="6" l="1"/>
  <c r="C270" i="6"/>
  <c r="C118" i="6"/>
  <c r="C161" i="6"/>
  <c r="C344" i="6"/>
  <c r="C268" i="6"/>
  <c r="C60" i="6"/>
  <c r="C336" i="6"/>
  <c r="F246" i="6"/>
  <c r="D163" i="6"/>
  <c r="D227" i="6" s="1"/>
  <c r="D145" i="6"/>
  <c r="F257" i="6"/>
  <c r="F258" i="6"/>
  <c r="F241" i="6"/>
  <c r="F243" i="6"/>
  <c r="F159" i="6"/>
  <c r="F131" i="6"/>
  <c r="F225" i="6"/>
  <c r="C219" i="6"/>
  <c r="C283" i="6" s="1"/>
  <c r="C230" i="6"/>
  <c r="C300" i="6" s="1"/>
  <c r="C266" i="6"/>
  <c r="F252" i="6"/>
  <c r="F247" i="6"/>
  <c r="F256" i="6"/>
  <c r="F250" i="6"/>
  <c r="F162" i="6"/>
  <c r="F254" i="6"/>
  <c r="D259" i="6" l="1"/>
  <c r="F135" i="6"/>
  <c r="F216" i="6"/>
  <c r="F280" i="6" s="1"/>
  <c r="F217" i="6"/>
  <c r="F281" i="6" s="1"/>
  <c r="C120" i="6"/>
  <c r="C122" i="6"/>
  <c r="C158" i="6"/>
  <c r="D119" i="6"/>
  <c r="F60" i="6"/>
  <c r="C347" i="6"/>
  <c r="C343" i="6"/>
  <c r="F161" i="6"/>
  <c r="C366" i="6"/>
  <c r="F223" i="6"/>
  <c r="F245" i="6"/>
  <c r="F226" i="6"/>
  <c r="F157" i="6"/>
  <c r="F249" i="6" l="1"/>
  <c r="F139" i="6"/>
  <c r="D260" i="6"/>
  <c r="D148" i="6"/>
  <c r="C125" i="6"/>
  <c r="C243" i="6" s="1"/>
  <c r="D124" i="6"/>
  <c r="D242" i="6" s="1"/>
  <c r="C241" i="6"/>
  <c r="C159" i="6"/>
  <c r="C131" i="6"/>
  <c r="C346" i="6"/>
  <c r="F120" i="6"/>
  <c r="F224" i="6"/>
  <c r="F145" i="6" l="1"/>
  <c r="F253" i="6"/>
  <c r="F163" i="6"/>
  <c r="F227" i="6" s="1"/>
  <c r="D262" i="6"/>
  <c r="C211" i="6"/>
  <c r="C275" i="6" s="1"/>
  <c r="C223" i="6"/>
  <c r="C216" i="6"/>
  <c r="C280" i="6" s="1"/>
  <c r="C217" i="6"/>
  <c r="C281" i="6" s="1"/>
  <c r="C212" i="6"/>
  <c r="C276" i="6" s="1"/>
  <c r="C209" i="6"/>
  <c r="C208" i="6"/>
  <c r="C214" i="6"/>
  <c r="C278" i="6" s="1"/>
  <c r="C353" i="6"/>
  <c r="C358" i="6" s="1"/>
  <c r="C313" i="6"/>
  <c r="C245" i="6"/>
  <c r="C135" i="6"/>
  <c r="F158" i="6"/>
  <c r="F148" i="6" l="1"/>
  <c r="F259" i="6"/>
  <c r="C139" i="6"/>
  <c r="C249" i="6"/>
  <c r="C273" i="6"/>
  <c r="C231" i="6"/>
  <c r="C224" i="6"/>
  <c r="C232" i="6"/>
  <c r="C272" i="6"/>
  <c r="C363" i="6"/>
  <c r="C364" i="6"/>
  <c r="C361" i="6"/>
  <c r="C356" i="6"/>
  <c r="C359" i="6"/>
  <c r="C355" i="6"/>
  <c r="C294" i="6" l="1"/>
  <c r="C301" i="6"/>
  <c r="C302" i="6"/>
  <c r="C163" i="6"/>
  <c r="C227" i="6" s="1"/>
  <c r="C253" i="6"/>
  <c r="C145" i="6"/>
  <c r="F260" i="6"/>
  <c r="C259" i="6" l="1"/>
  <c r="F262" i="6"/>
  <c r="C148" i="6" l="1"/>
  <c r="C149" i="6" s="1"/>
  <c r="D149" i="6" s="1"/>
  <c r="E149" i="6" s="1"/>
  <c r="C260" i="6"/>
  <c r="C262" i="6" l="1"/>
  <c r="C151" i="6"/>
  <c r="D151" i="6" l="1"/>
  <c r="E151" i="6"/>
  <c r="E25" i="8" l="1"/>
  <c r="E27" i="8"/>
  <c r="L151" i="6" l="1"/>
  <c r="L201" i="6" s="1"/>
  <c r="F25" i="8"/>
  <c r="F27" i="8"/>
  <c r="L214" i="6" l="1"/>
  <c r="L278" i="6" s="1"/>
  <c r="L270" i="6"/>
  <c r="F201" i="6"/>
  <c r="F351" i="6" s="1"/>
  <c r="F361" i="6" s="1"/>
  <c r="L351" i="6"/>
  <c r="L361" i="6" s="1"/>
  <c r="F151" i="6"/>
  <c r="F188" i="6" l="1"/>
  <c r="F189" i="6"/>
  <c r="F196" i="6" s="1"/>
  <c r="F190" i="6" l="1"/>
  <c r="F195" i="6"/>
  <c r="F197" i="6" s="1"/>
  <c r="F180" i="6"/>
  <c r="F108" i="6" s="1"/>
  <c r="F212" i="6" l="1"/>
  <c r="F276" i="6" s="1"/>
  <c r="F199" i="6"/>
  <c r="F264" i="6"/>
  <c r="F209" i="6"/>
  <c r="F229" i="6"/>
  <c r="F192" i="6"/>
  <c r="F270" i="6" l="1"/>
  <c r="F214" i="6"/>
  <c r="F278" i="6" s="1"/>
  <c r="F269" i="6"/>
  <c r="F211" i="6"/>
  <c r="F275" i="6" s="1"/>
  <c r="F268" i="6"/>
  <c r="F208" i="6"/>
  <c r="F266" i="6"/>
  <c r="F230" i="6"/>
  <c r="F300" i="6" s="1"/>
  <c r="F302" i="6" s="1"/>
  <c r="F273" i="6"/>
  <c r="F231" i="6"/>
  <c r="F232" i="6" l="1"/>
  <c r="F272" i="6"/>
  <c r="F219" i="6" l="1"/>
  <c r="F283" i="6" s="1"/>
  <c r="F20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CRISIL</author>
    <author>Crisil Integral IQ</author>
  </authors>
  <commentList>
    <comment ref="B123" authorId="0" shapeId="0" xr:uid="{4CCB1D53-A6BF-4A27-92A0-089CA2392A1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Company reported
Def: Adjusted EBITDA for any period to be the sum of our consolidated net profit/(loss), finance costs (net), taxation expense, depreciation and amortization, impairment of plant and equipment, non-recurring write-offs and inventory write offs and (gain)/loss on the disposal of assets</t>
        </r>
      </text>
    </comment>
    <comment ref="B132" authorId="0" shapeId="0" xr:uid="{50E462DF-4E7A-45A7-8FE8-B54BF313019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company, includes:
* trade and other receivables
* inventories
* contract assets
* employee benefits
* contract liabilities
* trade and other payables
</t>
        </r>
      </text>
    </comment>
    <comment ref="C140" authorId="0" shapeId="0" xr:uid="{9C4BBC27-D6E2-4959-B4B5-3AF46CA9F3B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Proceeds from disposal of assets held for sale: 30.663
* Interest received: 0.736</t>
        </r>
      </text>
    </comment>
    <comment ref="D140" authorId="0" shapeId="0" xr:uid="{849FFF0F-CF48-48B2-9543-4E5E0DE2A9B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Interest received: 2.767</t>
        </r>
      </text>
    </comment>
    <comment ref="E140" authorId="0" shapeId="0" xr:uid="{65193D8D-055B-402F-AC2F-A0405016F50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Interest received: 2.550</t>
        </r>
      </text>
    </comment>
    <comment ref="H140" authorId="0" shapeId="0" xr:uid="{05C18231-6A2E-4D4C-8F18-F48A5EB1602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3M includes:
* Interest received: 0.932</t>
        </r>
      </text>
    </comment>
    <comment ref="J140" authorId="0" shapeId="0" xr:uid="{5D15DB20-68CC-4A3C-9BD0-CDC3CF03BB8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1H includes:
* Investments in exploration and evaluation assets: (601)
* Investments in financial assets at fair value through profit or loss: (429)
* Proceeds from Loans due from realted parties: 187
* Change in restricted cash: (517)</t>
        </r>
      </text>
    </comment>
    <comment ref="L140" authorId="0" shapeId="0" xr:uid="{BA39D5C2-8A74-4A46-BB32-0390D074166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3M includes:
* Interest received: 1.628</t>
        </r>
      </text>
    </comment>
    <comment ref="J144" authorId="1" shapeId="0" xr:uid="{99D3AF6F-9A2A-4426-97A7-6FD113EE91B4}">
      <text>
        <r>
          <rPr>
            <b/>
            <sz val="9"/>
            <color indexed="81"/>
            <rFont val="Tahoma"/>
            <charset val="1"/>
          </rPr>
          <t>Crisil Integral IQ:</t>
        </r>
        <r>
          <rPr>
            <sz val="9"/>
            <color indexed="81"/>
            <rFont val="Tahoma"/>
            <charset val="1"/>
          </rPr>
          <t xml:space="preserve">
1H includes:
*Repayment of other financial liabilities: (419)
*Distribution to shareholder: (467)</t>
        </r>
      </text>
    </comment>
    <comment ref="C146" authorId="0" shapeId="0" xr:uid="{0B34479F-CDAF-4A87-9702-C3C2C33DF1B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It is due to use of EBITDA instead of PBT to calculate CFO and other adjustments apart from working capital, majorly:
* Net benefit cost: (25.800)
* Other non-cash movements: 7.380
* Gain on disposal of property, plant and equipment : (19.764)
* Pension contributions paid: (9.000)
</t>
        </r>
      </text>
    </comment>
    <comment ref="D146" authorId="0" shapeId="0" xr:uid="{6320B05A-0645-4BDE-A38B-E2E4C48D99A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It is due to use of EBITDA instead of PBT to calculate CFO and other adjustments apart from working capital, majorly:
* Net benefit cost: (36.400)
* Other non-cash movements: (4.835)
* Pension contributions paid: (8.600)
</t>
        </r>
      </text>
    </comment>
    <comment ref="E146" authorId="0" shapeId="0" xr:uid="{21AE75CA-32D0-4E13-9842-DB531CF0E1A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It is due to use of EBITDA instead of PBT to calculate CFO and other adjustments apart from working capital, majorly:
* Net benefit cost: (19.800) 
* Other non-cash movements: (10.055)
* Pension contributions paid: (8.500)
</t>
        </r>
      </text>
    </comment>
    <comment ref="H146" authorId="0" shapeId="0" xr:uid="{FB3A36C2-ED40-49EE-AADA-6DA892363E9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It is due to use of EBITDA instead of PBT to calculate CFO and other adjustments apart from working capital, majorly:
* Net pension cost: (8.700)
* Other non-cash movements: (4.830)
* Pension contributions paid: (1.739)</t>
        </r>
      </text>
    </comment>
    <comment ref="J146" authorId="0" shapeId="0" xr:uid="{2DE1B252-D6CA-4B0F-93CB-21DBC0E6896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It is due to use of EBITDA instead of net profit to calculate CFO and other adjustments apart from working capital, majorly:
* Impairment/(recovery) of trade and loans receivable and other assets: 24
* Gain on disposal of property, plant and equipment, net: 12
* Foreign exchange (gain)/loss, net: 439
* Share in profits of joint ventures and associates: (1,288)
</t>
        </r>
      </text>
    </comment>
    <comment ref="L146" authorId="0" shapeId="0" xr:uid="{03B85855-1DB9-46FF-B998-AE04D994286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It is due to use of EBITDA instead of PBT to calculate CFO and other adjustments apart from working capital, majorly:
* Net pension cost: (7.800)
* Other non-cash movements: (4.268)
* Pension contributions paid: (1.657)</t>
        </r>
      </text>
    </comment>
    <comment ref="B166" authorId="0" shapeId="0" xr:uid="{D4B8F399-63FD-4465-A57B-7B61878A407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Property, plant and equipment
* Right-of-use assets</t>
        </r>
      </text>
    </comment>
    <comment ref="B168" authorId="0" shapeId="0" xr:uid="{CD75F597-1D74-4BB8-AF08-03A5F32D9A6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Trade and other receivables</t>
        </r>
      </text>
    </comment>
    <comment ref="B169" authorId="0" shapeId="0" xr:uid="{914F7EAB-1EAF-4F59-BF14-DE00F3EA865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Trade and other payables</t>
        </r>
      </text>
    </comment>
    <comment ref="B201" authorId="0" shapeId="0" xr:uid="{BAFBBDE2-34D0-4302-B6CA-D00812FA173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company excludes restricted casn and leases to calcualte net debt</t>
        </r>
      </text>
    </comment>
    <comment ref="L201" authorId="0" shapeId="0" xr:uid="{3440879A-4965-4016-B5CC-F19D1ACFA3F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calculated by following the approach of annual net debt i.e., excluding leases and restricted cash</t>
        </r>
      </text>
    </comment>
  </commentList>
</comments>
</file>

<file path=xl/sharedStrings.xml><?xml version="1.0" encoding="utf-8"?>
<sst xmlns="http://schemas.openxmlformats.org/spreadsheetml/2006/main" count="441" uniqueCount="236">
  <si>
    <t>Annual</t>
  </si>
  <si>
    <t>EBITDA</t>
  </si>
  <si>
    <t>Capex</t>
  </si>
  <si>
    <t>Working Capital</t>
  </si>
  <si>
    <t>Net Income</t>
  </si>
  <si>
    <t>EBITDA - Capex / Interest</t>
  </si>
  <si>
    <t>EBITDA/Interest</t>
  </si>
  <si>
    <t>Adjusted EBITDA</t>
  </si>
  <si>
    <t>Act</t>
  </si>
  <si>
    <t>Tangible fixed assets</t>
  </si>
  <si>
    <t>Inventory</t>
  </si>
  <si>
    <t xml:space="preserve">Operating profit </t>
  </si>
  <si>
    <t>% of revenues</t>
  </si>
  <si>
    <t xml:space="preserve">EBITDA </t>
  </si>
  <si>
    <t xml:space="preserve">Adj. EBITDA </t>
  </si>
  <si>
    <t>INCOME STATEMENT</t>
  </si>
  <si>
    <t>CASH FLOW</t>
  </si>
  <si>
    <t>Cash interest paid</t>
  </si>
  <si>
    <t xml:space="preserve">LTM </t>
  </si>
  <si>
    <t xml:space="preserve">Free cash flow </t>
  </si>
  <si>
    <t>Cash flow after financing activities</t>
  </si>
  <si>
    <t xml:space="preserve">BALANCE SHEET </t>
  </si>
  <si>
    <t>Net working capital</t>
  </si>
  <si>
    <t xml:space="preserve">Net debt </t>
  </si>
  <si>
    <t xml:space="preserve">Net change in cash </t>
  </si>
  <si>
    <t xml:space="preserve">Net cash from operations </t>
  </si>
  <si>
    <t>CREDIT RATIOS</t>
  </si>
  <si>
    <t>Equity (as reported on balance sheet)</t>
  </si>
  <si>
    <t xml:space="preserve">% growth </t>
  </si>
  <si>
    <t>% margin</t>
  </si>
  <si>
    <t xml:space="preserve">Gearing (Net debt / Equity) </t>
  </si>
  <si>
    <t>Gross Profit</t>
  </si>
  <si>
    <t>Gross Profit margin</t>
  </si>
  <si>
    <t>FY</t>
  </si>
  <si>
    <t>Cash and cash equivalents</t>
  </si>
  <si>
    <t>Total Debt</t>
  </si>
  <si>
    <t>Cash</t>
  </si>
  <si>
    <t>Net Debt</t>
  </si>
  <si>
    <t>Gross Leverage</t>
  </si>
  <si>
    <t xml:space="preserve">Net Leverage </t>
  </si>
  <si>
    <t>(USD millions)</t>
  </si>
  <si>
    <t>Summary Financials</t>
  </si>
  <si>
    <t xml:space="preserve">Debt  Breakdown </t>
  </si>
  <si>
    <t>Total Loans &amp; Borrows</t>
  </si>
  <si>
    <t>Equity</t>
  </si>
  <si>
    <t xml:space="preserve">Total Capitalisation </t>
  </si>
  <si>
    <t>Balancing figure</t>
  </si>
  <si>
    <t>check</t>
  </si>
  <si>
    <t>LTM</t>
  </si>
  <si>
    <t>Cash &amp; Equivalents</t>
  </si>
  <si>
    <t xml:space="preserve">% y-o-y growth </t>
  </si>
  <si>
    <t>Other financing activities</t>
  </si>
  <si>
    <t>LTM Adjusted EBITDA</t>
  </si>
  <si>
    <t>Short-term debt</t>
  </si>
  <si>
    <t>Long-term debt</t>
  </si>
  <si>
    <t>Net Capex</t>
  </si>
  <si>
    <t>Tax %  of PBT</t>
  </si>
  <si>
    <t>Working capital /sales</t>
  </si>
  <si>
    <t>Capex/sales</t>
  </si>
  <si>
    <t>Depreciation, depletion &amp; amortization</t>
  </si>
  <si>
    <t>Adjustment</t>
  </si>
  <si>
    <t>Capex sales</t>
  </si>
  <si>
    <t xml:space="preserve">WC SALES </t>
  </si>
  <si>
    <t>Taxes</t>
  </si>
  <si>
    <t>Purchase of intangible assets</t>
  </si>
  <si>
    <t>Disposals/ Acquistion, of subsidiaries, businesses</t>
  </si>
  <si>
    <t>Dividends</t>
  </si>
  <si>
    <t>Net Change in debt</t>
  </si>
  <si>
    <t xml:space="preserve">FX </t>
  </si>
  <si>
    <t>Trade accounts receivable</t>
  </si>
  <si>
    <t>Trade accounts payable</t>
  </si>
  <si>
    <t>Inventory Days</t>
  </si>
  <si>
    <t>Receivable Days</t>
  </si>
  <si>
    <t>Payable Days</t>
  </si>
  <si>
    <t>Lease Obligations</t>
  </si>
  <si>
    <t>Short-term</t>
  </si>
  <si>
    <t>Long-term</t>
  </si>
  <si>
    <t>Total Lease</t>
  </si>
  <si>
    <t>Net Leverage excluding lease obligations</t>
  </si>
  <si>
    <t>Net Leverage including lease obligations</t>
  </si>
  <si>
    <t xml:space="preserve">Revenues </t>
  </si>
  <si>
    <t>Adj. EBITDA</t>
  </si>
  <si>
    <t>Adj. EBITDA Margin</t>
  </si>
  <si>
    <t>% growth</t>
  </si>
  <si>
    <t>Key  Credit Metrics (USD Mn where applicable)</t>
  </si>
  <si>
    <t>USD millions</t>
  </si>
  <si>
    <t>Key  Credit Metrics (USD millions)</t>
  </si>
  <si>
    <t>Equity Issuance / Buyback</t>
  </si>
  <si>
    <t>LTM EBITDA</t>
  </si>
  <si>
    <t>Gross debt excluding leases</t>
  </si>
  <si>
    <t>Leases</t>
  </si>
  <si>
    <t>Current lease liabilities</t>
  </si>
  <si>
    <t>Non-current lease liabilities</t>
  </si>
  <si>
    <t>Leverage (USD)</t>
  </si>
  <si>
    <t>Finance costs</t>
  </si>
  <si>
    <t>Operating Profit For The Period</t>
  </si>
  <si>
    <t>check 1</t>
  </si>
  <si>
    <t>check 2</t>
  </si>
  <si>
    <t>Total debt (includes leases) + Equity</t>
  </si>
  <si>
    <t>Debt Including Lease obligations</t>
  </si>
  <si>
    <t>Debt excluding Lease obligations</t>
  </si>
  <si>
    <t>Net debt including leases</t>
  </si>
  <si>
    <t>Total debt including leases</t>
  </si>
  <si>
    <t>Total debt excluding leases</t>
  </si>
  <si>
    <t>Net debt excluding leases</t>
  </si>
  <si>
    <t>Gross debt including leases</t>
  </si>
  <si>
    <t>Leverage (AED)</t>
  </si>
  <si>
    <t>Gross Leverage excluding lease obligations</t>
  </si>
  <si>
    <t>Gross Leverage including lease obligations</t>
  </si>
  <si>
    <t>Total Revenue</t>
  </si>
  <si>
    <t>Cost of Sales:</t>
  </si>
  <si>
    <t>Finance income</t>
  </si>
  <si>
    <t>Profit before taxation</t>
  </si>
  <si>
    <t xml:space="preserve">Profit for the period </t>
  </si>
  <si>
    <t>Net Debt including leases</t>
  </si>
  <si>
    <t>Total Debt including leases</t>
  </si>
  <si>
    <t>Finance income as % of cash and cash equivalents</t>
  </si>
  <si>
    <t>s</t>
  </si>
  <si>
    <t>Sales of refined oil and gas products</t>
  </si>
  <si>
    <t>Sales of gas</t>
  </si>
  <si>
    <t>Sales of petrochemical products</t>
  </si>
  <si>
    <t>Gas processing and tolling fees</t>
  </si>
  <si>
    <t>Total</t>
  </si>
  <si>
    <t>Insurance</t>
  </si>
  <si>
    <t xml:space="preserve">Telecommunications Services of Trinidad and Tobago Limited </t>
  </si>
  <si>
    <t>Revenue from contracts with customers</t>
  </si>
  <si>
    <t>Qtr</t>
  </si>
  <si>
    <t>1Q</t>
  </si>
  <si>
    <t>2Q</t>
  </si>
  <si>
    <t>3Q</t>
  </si>
  <si>
    <t>4Q</t>
  </si>
  <si>
    <t>Equipment</t>
  </si>
  <si>
    <t>Commissions</t>
  </si>
  <si>
    <t>Out payments and other</t>
  </si>
  <si>
    <t>Other income</t>
  </si>
  <si>
    <t>Operating expenses</t>
  </si>
  <si>
    <t>Personnel costs</t>
  </si>
  <si>
    <t>Maintenance and repairs</t>
  </si>
  <si>
    <t>Other administrative expenses</t>
  </si>
  <si>
    <t>Depreciation and amortisation</t>
  </si>
  <si>
    <t>Salaries and related costs</t>
  </si>
  <si>
    <t>Post-employment benefits</t>
  </si>
  <si>
    <t>Fleet costs</t>
  </si>
  <si>
    <t>Motor vehicle rentals</t>
  </si>
  <si>
    <t>Maintenance hardware, software and office equipment</t>
  </si>
  <si>
    <t>Maintenance of premises</t>
  </si>
  <si>
    <t>Maintenance of plant</t>
  </si>
  <si>
    <t>IRU Maintenance and wet side capacity charges</t>
  </si>
  <si>
    <t>Contract services</t>
  </si>
  <si>
    <t>Rentals</t>
  </si>
  <si>
    <t>License fees</t>
  </si>
  <si>
    <t>Advertising</t>
  </si>
  <si>
    <t>Expected credit losses charge</t>
  </si>
  <si>
    <t>Stock write-off/provision for obsolescence</t>
  </si>
  <si>
    <t>Utility expenses</t>
  </si>
  <si>
    <t>Green fund levy</t>
  </si>
  <si>
    <t>Janitorial service</t>
  </si>
  <si>
    <t>Supplies and related expenses</t>
  </si>
  <si>
    <t>Audit fees</t>
  </si>
  <si>
    <t>Training and foreign travel</t>
  </si>
  <si>
    <t>Directors’ remuneration</t>
  </si>
  <si>
    <t>Rates and taxes</t>
  </si>
  <si>
    <t>Stationery</t>
  </si>
  <si>
    <t>Foreign exchange loss</t>
  </si>
  <si>
    <t>Miscellaneous</t>
  </si>
  <si>
    <t xml:space="preserve">Taxation expense </t>
  </si>
  <si>
    <t>Gain on disposal of assets</t>
  </si>
  <si>
    <t>As % of Revenues unless stated otherwise</t>
  </si>
  <si>
    <t>Finance costs as % of debt</t>
  </si>
  <si>
    <t>Other Investing activities</t>
  </si>
  <si>
    <t>Company reported net debt (excl. leases and restricted cash)</t>
  </si>
  <si>
    <t>Company reported net leverage (excl. leases and restricted cash)</t>
  </si>
  <si>
    <r>
      <t>(Trinidad and Tobago Dollars</t>
    </r>
    <r>
      <rPr>
        <b/>
        <sz val="10"/>
        <color rgb="FFFF0000"/>
        <rFont val="Calibri"/>
        <family val="2"/>
        <scheme val="minor"/>
      </rPr>
      <t xml:space="preserve"> millions</t>
    </r>
    <r>
      <rPr>
        <b/>
        <sz val="10"/>
        <rFont val="Calibri"/>
        <family val="2"/>
        <scheme val="minor"/>
      </rPr>
      <t>)</t>
    </r>
  </si>
  <si>
    <t>FX rate average - TTD /USD</t>
  </si>
  <si>
    <t>FX rate  - TTD / USD (as at end of period)</t>
  </si>
  <si>
    <t>USD to TTD (EOP)</t>
  </si>
  <si>
    <t xml:space="preserve">Revenue by product and service lines </t>
  </si>
  <si>
    <t>Consumer Mobile Services (including voice and data)</t>
  </si>
  <si>
    <t>Residential Services</t>
  </si>
  <si>
    <t>Business Sales Services</t>
  </si>
  <si>
    <t>Carrier Services</t>
  </si>
  <si>
    <t>Revenue by product and service line  (% Share)</t>
  </si>
  <si>
    <t>Revenue by product and service lines (% YoY Growth)</t>
  </si>
  <si>
    <t>Consumer Mobile Services voice</t>
  </si>
  <si>
    <t>Post-paid services</t>
  </si>
  <si>
    <t>Pre-paid services</t>
  </si>
  <si>
    <t xml:space="preserve">Roaming </t>
  </si>
  <si>
    <t>Interconnection</t>
  </si>
  <si>
    <t>Other mobile voice revenue</t>
  </si>
  <si>
    <t>Consumer Mobile Services data</t>
  </si>
  <si>
    <t>of which:</t>
  </si>
  <si>
    <t>Total Consumer Mobile Services revenue</t>
  </si>
  <si>
    <t>Consumer Mobile Services voice (% Share)</t>
  </si>
  <si>
    <t>Consumer Mobile Services voice (% YoY Growth)</t>
  </si>
  <si>
    <t>Residential Services revenue</t>
  </si>
  <si>
    <t>Home Security</t>
  </si>
  <si>
    <t>Fixed wireless (WTTx) (voice and data)</t>
  </si>
  <si>
    <t xml:space="preserve">Fiber-to-the-premises (Fiber Voice, Data and IPTV (FTTx)) </t>
  </si>
  <si>
    <t>Total Residential Services revenue</t>
  </si>
  <si>
    <t>Residential Services revenue (% Share)</t>
  </si>
  <si>
    <t>Residential Services revenue (% YoY Growth)</t>
  </si>
  <si>
    <t>Business Sales Services revenue</t>
  </si>
  <si>
    <t>Mobile voice services</t>
  </si>
  <si>
    <t>Mobile equipment</t>
  </si>
  <si>
    <t>Other Business Sales Services</t>
  </si>
  <si>
    <t>Security solutions</t>
  </si>
  <si>
    <t>Mobile data (post-paid)</t>
  </si>
  <si>
    <t>Total Business Sales Services revenue</t>
  </si>
  <si>
    <t>Business Sales Services revenue (% Share)</t>
  </si>
  <si>
    <t>Business Sales Services revenue  (% YoY Growth)</t>
  </si>
  <si>
    <t>Current interest-bearing loans and borrowings</t>
  </si>
  <si>
    <t>US$300,000,000 8.875% Senior Secured Notes due 2029</t>
  </si>
  <si>
    <t>TT$680,000,000 8.30% Senior Secured Notes due 2029</t>
  </si>
  <si>
    <t>TT$476,000,000 8.30% Senior Secured Notes due 2029</t>
  </si>
  <si>
    <t>TT $100,000,000 Commercial Paper</t>
  </si>
  <si>
    <t>TTD millions</t>
  </si>
  <si>
    <t>Non-current interest-bearing loans and borrowings</t>
  </si>
  <si>
    <t>Currency denomination of borrowings as of 1Q27</t>
  </si>
  <si>
    <t>1Q27</t>
  </si>
  <si>
    <t>Amount outstanding as on 1Q27</t>
  </si>
  <si>
    <t>US dollar</t>
  </si>
  <si>
    <t>TT dollar</t>
  </si>
  <si>
    <t>LTM FX rate average - TTD / USD</t>
  </si>
  <si>
    <t>Short-term deposits</t>
  </si>
  <si>
    <t>Liquidity table as of 1Q27</t>
  </si>
  <si>
    <t>Cash at bank and on hand</t>
  </si>
  <si>
    <t>Restricted cash</t>
  </si>
  <si>
    <t>Total cash at bank</t>
  </si>
  <si>
    <t>Less: Restricted cash</t>
  </si>
  <si>
    <t xml:space="preserve">Total cash and cash equivalents </t>
  </si>
  <si>
    <t>Cash and cash equivalents (excl. restriced cash)</t>
  </si>
  <si>
    <r>
      <t xml:space="preserve">Debt Maturity Profile of 1Q27
</t>
    </r>
    <r>
      <rPr>
        <b/>
        <sz val="10"/>
        <color rgb="FFFF0000"/>
        <rFont val="Calibri"/>
        <family val="2"/>
      </rPr>
      <t>(based on undiscounted payments)</t>
    </r>
  </si>
  <si>
    <t xml:space="preserve">Less than 1 year </t>
  </si>
  <si>
    <t>1 - 5 years</t>
  </si>
  <si>
    <t>More than 5 years</t>
  </si>
  <si>
    <r>
      <t xml:space="preserve">Lease Maturity Profile of 1Q27
</t>
    </r>
    <r>
      <rPr>
        <b/>
        <sz val="10"/>
        <color rgb="FFFF0000"/>
        <rFont val="Calibri"/>
        <family val="2"/>
      </rPr>
      <t>(based on undiscounted payments)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</si>
</sst>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#,##0.0_);\(#,##0.0\)"/>
    <numFmt numFmtId="166" formatCode="#0.0%_);\(#0.0%\)"/>
    <numFmt numFmtId="167" formatCode="#0.00\x"/>
    <numFmt numFmtId="168" formatCode="mmm\ yyyy"/>
    <numFmt numFmtId="169" formatCode="0.0%"/>
    <numFmt numFmtId="170" formatCode="_(* #,##0.0_);_(* \(#,##0.0\);_(* &quot;-&quot;??_);_(@_)"/>
    <numFmt numFmtId="171" formatCode="_(* #,##0.000_);_(* \(#,##0.000\);_(* &quot;-&quot;??_);_(@_)"/>
    <numFmt numFmtId="172" formatCode="_(* #,##0_);_(* \(#,##0\);_(* &quot;-&quot;??_);_(@_)"/>
    <numFmt numFmtId="173" formatCode="#,##0.0\ ;\(#,##0.0\)"/>
    <numFmt numFmtId="174" formatCode="&quot;$&quot;#,##0.00_)&quot;per share&quot;;\(&quot;$&quot;#,##0.00\)&quot; per share&quot;"/>
    <numFmt numFmtId="175" formatCode="0.0_)\%;\(0.0\)\%;0.0_)\%;@_)_%"/>
    <numFmt numFmtId="176" formatCode="#,##0.0_)_%;\(#,##0.0\)_%;0.0_)_%;@_)_%"/>
    <numFmt numFmtId="177" formatCode="#,##0.0_);\(#,##0.0\);#,##0.0_);@_)"/>
    <numFmt numFmtId="178" formatCode="&quot;$&quot;_(#,##0.00_);&quot;$&quot;\(#,##0.00\);&quot;$&quot;_(0.00_);@_)"/>
    <numFmt numFmtId="179" formatCode="&quot;$&quot;_(#,##0.00_);&quot;$&quot;\(#,##0.00\)"/>
    <numFmt numFmtId="180" formatCode="#,##0.00_);\(#,##0.00\);0.00_);@_)"/>
    <numFmt numFmtId="181" formatCode="\€_(#,##0.00_);\€\(#,##0.00\);\€_(0.00_);@_)"/>
    <numFmt numFmtId="182" formatCode="#,##0_)\x;\(#,##0\)\x;0_)\x;@_)_x"/>
    <numFmt numFmtId="183" formatCode="#,##0.0_)\x;\(#,##0.0\)\x"/>
    <numFmt numFmtId="184" formatCode="#,##0_)_x;\(#,##0\)_x;0_)_x;@_)_x"/>
    <numFmt numFmtId="185" formatCode="#,##0.0_)_x;\(#,##0.0\)_x"/>
    <numFmt numFmtId="186" formatCode="0.0_)\%;\(0.0\)\%"/>
    <numFmt numFmtId="187" formatCode="#,##0.0_)_%;\(#,##0.0\)_%"/>
    <numFmt numFmtId="188" formatCode="_(\£* #,##0_);_(\£* \(#,##0\);_(\£* &quot;-&quot;_);_(@_)"/>
    <numFmt numFmtId="189" formatCode="_(\£* #,##0.0_);_(\£* \(#,##0.0\);_(\£* &quot;-&quot;_);_(@_)"/>
    <numFmt numFmtId="190" formatCode="_(\£* #,##0.00_);_(\£* \(#,##0.00\);_(\£* &quot;-&quot;_);_(@_)"/>
    <numFmt numFmtId="191" formatCode="_(* #,##0\p_);_(* \(#,##0\p\);_(* &quot;-&quot;\ \p_);_(@_)"/>
    <numFmt numFmtId="192" formatCode="_(* #,##0.00\p_);_(* \(#,##0.00\p\);_(* &quot;-&quot;\ \p_);_(@_)"/>
    <numFmt numFmtId="193" formatCode="\£#,##0.00"/>
    <numFmt numFmtId="194" formatCode="&quot;$&quot;&quot; &quot;#,##0_);\(&quot;$&quot;&quot; &quot;#,##0\);\-_)"/>
    <numFmt numFmtId="195" formatCode="#,##0_);\(#,##0\);\-_)"/>
    <numFmt numFmtId="196" formatCode="&quot;$&quot;#,##0_);[Red]\(&quot;$&quot;#,##0\);&quot;-&quot;"/>
    <numFmt numFmtId="197" formatCode="[Blue]0.0%;[Blue]\-0.0%"/>
    <numFmt numFmtId="198" formatCode="\£#,##0_);\(\£#,##0\)"/>
    <numFmt numFmtId="199" formatCode="&quot;fl&quot;#,##0_);\(&quot;fl&quot;#,##0\)"/>
    <numFmt numFmtId="200" formatCode="&quot;$&quot;\ #,##0_);\(&quot;$&quot;\ #,##0\)"/>
    <numFmt numFmtId="201" formatCode="_(&quot;R$&quot;* #,##0.00_);_(&quot;R$&quot;* \(#,##0.00\);_(&quot;R$&quot;* &quot;-&quot;??_);_(@_)"/>
    <numFmt numFmtId="202" formatCode="0.0\x;[Red]\(0.0\x\)"/>
    <numFmt numFmtId="203" formatCode="#,##0.0_);\(#,##0.0\);&quot;—&quot;_)"/>
    <numFmt numFmtId="204" formatCode="&quot;$&quot;#,##0.0_);\(&quot;$&quot;#,##0.0\);&quot;—&quot;_)"/>
    <numFmt numFmtId="205" formatCode="0.000000000%"/>
    <numFmt numFmtId="206" formatCode="#,##0.0000"/>
    <numFmt numFmtId="207" formatCode="mm/dd/yy"/>
    <numFmt numFmtId="208" formatCode="&quot;$&quot;#,##0.00"/>
    <numFmt numFmtId="209" formatCode="_([$€-2]* #,##0.00_);_([$€-2]* \(#,##0.00\);_([$€-2]* &quot;-&quot;??_)"/>
    <numFmt numFmtId="210" formatCode="#&quot; mon&quot;"/>
    <numFmt numFmtId="211" formatCode="#,##0\ &quot;F&quot;;[Red]\-#,##0\ &quot;F&quot;"/>
    <numFmt numFmtId="212" formatCode="#,##0.00\ &quot;F&quot;;[Red]\-#,##0.00\ &quot;F&quot;"/>
    <numFmt numFmtId="213" formatCode="#,##0.0\x_)_);\(#,##0.0\x\)_);#,##0.0\x_)_);@_%_)"/>
    <numFmt numFmtId="214" formatCode="_(* #,##0.00\ ___);_(* \(#,##0.00\ __\);_(* &quot;-&quot;??_);_(@_)"/>
    <numFmt numFmtId="215" formatCode="0%\);[Red]\(0%"/>
    <numFmt numFmtId="216" formatCode="_(* #,##0\ ___);_(* \(#,##0\ __\);_(* &quot;-&quot;??_);_(@_)"/>
    <numFmt numFmtId="217" formatCode="_(* #,##0\ \x_);_(* \(#,##0\ \x\);_(* &quot;-&quot;??_);_(@_)"/>
    <numFmt numFmtId="218" formatCode="0%_);[Red]\(0%\)"/>
    <numFmt numFmtId="219" formatCode="_(* #,##0.0\ ___);_(* \(#,##0.0\ __\);_(* &quot;-&quot;??_);_(@_)"/>
    <numFmt numFmtId="220" formatCode="_(* #,##0.0\ \x_);_(* \(#,##0.0\ \x\);_(* &quot;-&quot;??_);_(@_)"/>
    <numFmt numFmtId="221" formatCode="#,##0&quot; F&quot;_);\(#,##0&quot; F&quot;\)"/>
    <numFmt numFmtId="222" formatCode="_(* #,##0.00_);_(* \(\ #,##0.00\ \);_(* &quot;&quot;??_);_(\ @_ \)"/>
    <numFmt numFmtId="223" formatCode="0.00_)"/>
    <numFmt numFmtId="224" formatCode="_(* #,##0.0_);_(* \(#,##0.0\);_(* &quot;-&quot;?_);_(@_)"/>
    <numFmt numFmtId="225" formatCode="0.00%\ &quot;Ramped&quot;\ "/>
    <numFmt numFmtId="226" formatCode="0.00%\ &quot;Ramped&quot;"/>
    <numFmt numFmtId="227" formatCode="0.0000"/>
    <numFmt numFmtId="228" formatCode="0.000"/>
    <numFmt numFmtId="229" formatCode="&quot;Diversity =&quot;\ #.0"/>
    <numFmt numFmtId="230" formatCode="&quot;Ratings Factor =&quot;\ #"/>
    <numFmt numFmtId="231" formatCode="&quot;Page &quot;0"/>
    <numFmt numFmtId="232" formatCode="&quot;\&quot;#,##0.00;[Red]\-&quot;\&quot;#,##0.00"/>
    <numFmt numFmtId="233" formatCode="0.0_%"/>
    <numFmt numFmtId="234" formatCode="_(0.0%;_(* \(0.0\)%"/>
    <numFmt numFmtId="235" formatCode="_(* #,##0.0000_);_(* \(#,##0.0000\);_(* &quot;-&quot;??_);_(@_)"/>
    <numFmt numFmtId="236" formatCode="0&quot; bps&quot;"/>
    <numFmt numFmtId="237" formatCode="&quot;WAS =&quot;\ #.00"/>
    <numFmt numFmtId="238" formatCode="&quot;Avg. Px.=&quot;#.00"/>
    <numFmt numFmtId="239" formatCode="&quot;WAL=&quot;#.00"/>
    <numFmt numFmtId="240" formatCode="#.00\ &quot;years&quot;"/>
    <numFmt numFmtId="241" formatCode="&quot;2nd Lien=&quot;#"/>
    <numFmt numFmtId="242" formatCode="&quot;WAPP=&quot;#.00"/>
    <numFmt numFmtId="243" formatCode="&quot;WAS=&quot;#.00"/>
    <numFmt numFmtId="244" formatCode="&quot;WAC=&quot;#.00"/>
    <numFmt numFmtId="245" formatCode="&quot;$&quot;#,##0.0_);\(&quot;$&quot;#,##0.0\)"/>
    <numFmt numFmtId="246" formatCode="#,###,;\(#,###,\)"/>
    <numFmt numFmtId="247" formatCode="000\-00\-0000"/>
    <numFmt numFmtId="248" formatCode="&quot;$&quot;#,##0.0000"/>
    <numFmt numFmtId="249" formatCode="&quot;$&quot;#,##0.000000"/>
    <numFmt numFmtId="250" formatCode="&quot;$&quot;#,##0.000"/>
    <numFmt numFmtId="251" formatCode="000000000"/>
    <numFmt numFmtId="252" formatCode="000"/>
    <numFmt numFmtId="253" formatCode="hh:mm\ AM/PM_)"/>
    <numFmt numFmtId="254" formatCode="#.0&quot;x&quot;"/>
    <numFmt numFmtId="255" formatCode="yyyy"/>
    <numFmt numFmtId="256" formatCode="\¥#,##0_);\(\¥#,##0\)"/>
    <numFmt numFmtId="257" formatCode="#0.0\x"/>
    <numFmt numFmtId="258" formatCode="0.0\x"/>
    <numFmt numFmtId="259" formatCode="0.0"/>
    <numFmt numFmtId="260" formatCode="#,##0.0000_);\(#,##0.0000\)"/>
    <numFmt numFmtId="261" formatCode="#,##0.0"/>
  </numFmts>
  <fonts count="1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9"/>
      <name val="Arial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8"/>
      <color indexed="8"/>
      <name val="Arial"/>
      <family val="2"/>
    </font>
    <font>
      <b/>
      <sz val="13"/>
      <color indexed="8"/>
      <name val="Verdana"/>
      <family val="2"/>
    </font>
    <font>
      <b/>
      <sz val="8"/>
      <name val="Arial"/>
      <family val="2"/>
    </font>
    <font>
      <u val="singleAccounting"/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12"/>
      <name val="Times New Roman"/>
      <family val="1"/>
    </font>
    <font>
      <i/>
      <sz val="10"/>
      <name val="Times New Roman"/>
      <family val="1"/>
    </font>
    <font>
      <sz val="9"/>
      <name val="Arial"/>
      <family val="2"/>
    </font>
    <font>
      <sz val="8"/>
      <name val="Times New Roman"/>
      <family val="1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0"/>
      <name val="Book Antiqua"/>
      <family val="1"/>
    </font>
    <font>
      <sz val="8"/>
      <name val="Times"/>
      <family val="1"/>
    </font>
    <font>
      <b/>
      <sz val="12"/>
      <name val="Times"/>
      <family val="1"/>
    </font>
    <font>
      <sz val="12"/>
      <name val="Arial"/>
      <family val="2"/>
    </font>
    <font>
      <sz val="10"/>
      <color indexed="8"/>
      <name val="Times New Roman"/>
      <family val="1"/>
    </font>
    <font>
      <sz val="8"/>
      <color indexed="12"/>
      <name val="Times"/>
      <family val="1"/>
    </font>
    <font>
      <sz val="8"/>
      <name val="Helv"/>
    </font>
    <font>
      <sz val="12"/>
      <name val="Times"/>
      <family val="1"/>
    </font>
    <font>
      <b/>
      <i/>
      <sz val="10"/>
      <name val="Arial"/>
      <family val="2"/>
    </font>
    <font>
      <b/>
      <i/>
      <sz val="12"/>
      <name val="Times New Roman"/>
      <family val="1"/>
    </font>
    <font>
      <b/>
      <u/>
      <sz val="8"/>
      <color indexed="8"/>
      <name val="Times New Roman"/>
      <family val="1"/>
    </font>
    <font>
      <b/>
      <sz val="9"/>
      <color indexed="8"/>
      <name val="Times New Roman"/>
      <family val="1"/>
    </font>
    <font>
      <i/>
      <sz val="8"/>
      <name val="Arial"/>
      <family val="2"/>
    </font>
    <font>
      <b/>
      <i/>
      <sz val="8"/>
      <name val="Arial"/>
      <family val="2"/>
    </font>
    <font>
      <b/>
      <sz val="8"/>
      <name val="Book Antiqua"/>
      <family val="1"/>
    </font>
    <font>
      <sz val="14"/>
      <name val="Arial"/>
      <family val="2"/>
    </font>
    <font>
      <sz val="8"/>
      <color indexed="12"/>
      <name val="Times New Roman"/>
      <family val="1"/>
    </font>
    <font>
      <b/>
      <sz val="14"/>
      <name val="Book Antiqua"/>
      <family val="1"/>
    </font>
    <font>
      <sz val="10"/>
      <name val="MS Serif"/>
      <family val="1"/>
    </font>
    <font>
      <sz val="10"/>
      <name val="MS Sans Serif"/>
      <family val="2"/>
    </font>
    <font>
      <sz val="12"/>
      <name val="Times New Roman"/>
      <family val="1"/>
    </font>
    <font>
      <u val="doubleAccounting"/>
      <sz val="10"/>
      <name val="Arial"/>
      <family val="2"/>
    </font>
    <font>
      <sz val="10"/>
      <color indexed="16"/>
      <name val="MS Serif"/>
      <family val="1"/>
    </font>
    <font>
      <b/>
      <i/>
      <sz val="9"/>
      <color indexed="4"/>
      <name val="Times New Roman"/>
      <family val="1"/>
    </font>
    <font>
      <sz val="7"/>
      <name val="Arial"/>
      <family val="2"/>
    </font>
    <font>
      <b/>
      <sz val="14"/>
      <name val="Arial"/>
      <family val="2"/>
    </font>
    <font>
      <u/>
      <sz val="8"/>
      <name val="Times New Roman"/>
      <family val="1"/>
    </font>
    <font>
      <b/>
      <sz val="12"/>
      <color indexed="9"/>
      <name val="Times"/>
      <family val="1"/>
    </font>
    <font>
      <b/>
      <i/>
      <sz val="18"/>
      <color indexed="4"/>
      <name val="Times New Roman"/>
      <family val="1"/>
    </font>
    <font>
      <b/>
      <sz val="12"/>
      <name val="Arial"/>
      <family val="2"/>
    </font>
    <font>
      <b/>
      <sz val="8"/>
      <name val="Palatino"/>
      <family val="1"/>
    </font>
    <font>
      <b/>
      <sz val="9"/>
      <name val="Arial"/>
      <family val="2"/>
    </font>
    <font>
      <b/>
      <sz val="8"/>
      <name val="MS Sans Serif"/>
      <family val="2"/>
    </font>
    <font>
      <b/>
      <i/>
      <sz val="10"/>
      <name val="Times New Roman"/>
      <family val="1"/>
    </font>
    <font>
      <b/>
      <sz val="10"/>
      <name val="Palatino"/>
      <family val="1"/>
    </font>
    <font>
      <sz val="8"/>
      <name val="Book Antiqua"/>
      <family val="1"/>
    </font>
    <font>
      <sz val="10"/>
      <name val="Geneva"/>
      <family val="2"/>
    </font>
    <font>
      <i/>
      <sz val="7"/>
      <name val="Book Antiqua"/>
      <family val="1"/>
    </font>
    <font>
      <sz val="8"/>
      <name val="Palatino"/>
      <family val="1"/>
    </font>
    <font>
      <b/>
      <i/>
      <sz val="16"/>
      <name val="Helv"/>
    </font>
    <font>
      <sz val="10"/>
      <color indexed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u/>
      <sz val="10"/>
      <color indexed="12"/>
      <name val="Times New Roman"/>
      <family val="1"/>
    </font>
    <font>
      <b/>
      <sz val="12"/>
      <name val="Times New Roman"/>
      <family val="1"/>
    </font>
    <font>
      <b/>
      <sz val="15"/>
      <name val="Times New Roman"/>
      <family val="1"/>
    </font>
    <font>
      <sz val="8"/>
      <color indexed="72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u/>
      <sz val="8"/>
      <name val="Book Antiqua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2"/>
      <name val="Arial MT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7"/>
      <color indexed="12"/>
      <name val="Arial"/>
      <family val="2"/>
    </font>
    <font>
      <sz val="8"/>
      <name val="Wingdings"/>
      <charset val="2"/>
    </font>
    <font>
      <sz val="9"/>
      <color indexed="8"/>
      <name val="Times New Roman"/>
      <family val="1"/>
    </font>
    <font>
      <sz val="8"/>
      <name val="MS Sans Serif"/>
      <family val="2"/>
    </font>
    <font>
      <b/>
      <sz val="8"/>
      <color indexed="10"/>
      <name val="Times New Roman"/>
      <family val="1"/>
    </font>
    <font>
      <b/>
      <sz val="8"/>
      <color indexed="8"/>
      <name val="Helv"/>
    </font>
    <font>
      <b/>
      <sz val="14"/>
      <color indexed="8"/>
      <name val="Times New Roman"/>
      <family val="1"/>
    </font>
    <font>
      <b/>
      <u/>
      <sz val="14"/>
      <name val="Book Antiqua"/>
      <family val="1"/>
    </font>
    <font>
      <b/>
      <sz val="10"/>
      <name val="Book Antiqua"/>
      <family val="1"/>
    </font>
    <font>
      <b/>
      <sz val="7"/>
      <name val="Arial"/>
      <family val="2"/>
    </font>
    <font>
      <b/>
      <sz val="7"/>
      <color indexed="12"/>
      <name val="Arial"/>
      <family val="2"/>
    </font>
    <font>
      <b/>
      <u/>
      <sz val="10"/>
      <name val="Book Antiqua"/>
      <family val="1"/>
    </font>
    <font>
      <b/>
      <sz val="8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6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rgb="FF0000FF"/>
      <name val="Calibri"/>
      <family val="2"/>
      <scheme val="minor"/>
    </font>
    <font>
      <i/>
      <sz val="8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8"/>
      <name val="Calibri"/>
      <family val="2"/>
      <scheme val="minor"/>
    </font>
    <font>
      <b/>
      <sz val="10"/>
      <name val="Calibri"/>
      <family val="2"/>
    </font>
    <font>
      <b/>
      <sz val="10"/>
      <color rgb="FF0000FF"/>
      <name val="Calibri"/>
      <family val="2"/>
    </font>
    <font>
      <sz val="10"/>
      <name val="Calibri"/>
      <family val="2"/>
    </font>
    <font>
      <sz val="10"/>
      <color rgb="FF0000FF"/>
      <name val="Calibri"/>
      <family val="2"/>
    </font>
    <font>
      <sz val="10"/>
      <color rgb="FF000000"/>
      <name val="Calibri"/>
      <family val="2"/>
    </font>
    <font>
      <i/>
      <sz val="8"/>
      <color rgb="FFFF0000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0"/>
      <color indexed="12"/>
      <name val="Calibri"/>
      <family val="2"/>
    </font>
    <font>
      <b/>
      <i/>
      <sz val="8"/>
      <color rgb="FFFF0000"/>
      <name val="Calibri"/>
      <family val="2"/>
      <scheme val="minor"/>
    </font>
    <font>
      <b/>
      <sz val="10"/>
      <color rgb="FFFF0000"/>
      <name val="Calibri"/>
      <family val="2"/>
    </font>
    <font>
      <i/>
      <sz val="10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0"/>
      <color rgb="FF0000FF"/>
      <name val="Calibri"/>
      <family val="2"/>
      <scheme val="minor"/>
    </font>
    <font>
      <i/>
      <sz val="10"/>
      <color theme="1"/>
      <name val="Calibri"/>
      <family val="2"/>
    </font>
    <font>
      <b/>
      <i/>
      <sz val="8"/>
      <color rgb="FFFF0000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lightGray">
        <fgColor indexed="15"/>
      </patternFill>
    </fill>
    <fill>
      <patternFill patternType="solid">
        <fgColor indexed="6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56"/>
        <bgColor indexed="64"/>
      </patternFill>
    </fill>
    <fill>
      <patternFill patternType="solid">
        <fgColor indexed="15"/>
        <bgColor indexed="64"/>
      </patternFill>
    </fill>
    <fill>
      <patternFill patternType="lightGray">
        <fgColor indexed="13"/>
      </patternFill>
    </fill>
    <fill>
      <patternFill patternType="solid">
        <fgColor rgb="FF4F81B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6" tint="0.79998168889431442"/>
        <bgColor indexed="64"/>
      </patternFill>
    </fill>
  </fills>
  <borders count="47">
    <border>
      <left/>
      <right/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4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thick">
        <color indexed="9"/>
      </left>
      <right style="thick">
        <color indexed="9"/>
      </right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03">
    <xf numFmtId="0" fontId="0" fillId="0" borderId="0"/>
    <xf numFmtId="173" fontId="28" fillId="0" borderId="0"/>
    <xf numFmtId="0" fontId="29" fillId="0" borderId="0">
      <alignment horizontal="right"/>
    </xf>
    <xf numFmtId="0" fontId="8" fillId="0" borderId="0"/>
    <xf numFmtId="174" fontId="24" fillId="0" borderId="0" applyFont="0" applyFill="0" applyBorder="0" applyAlignment="0"/>
    <xf numFmtId="175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8" fillId="0" borderId="0" applyNumberFormat="0" applyFill="0" applyBorder="0" applyAlignment="0" applyProtection="0">
      <alignment horizontal="left" wrapText="1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vertical="top"/>
    </xf>
    <xf numFmtId="0" fontId="8" fillId="0" borderId="0" applyNumberFormat="0" applyFill="0" applyBorder="0" applyAlignment="0" applyProtection="0">
      <alignment horizontal="left" wrapText="1"/>
    </xf>
    <xf numFmtId="0" fontId="8" fillId="0" borderId="0">
      <alignment vertical="top"/>
    </xf>
    <xf numFmtId="177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9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39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2" borderId="0" applyNumberFormat="0" applyFont="0" applyAlignment="0" applyProtection="0"/>
    <xf numFmtId="0" fontId="8" fillId="0" borderId="0" applyFont="0" applyFill="0" applyBorder="0" applyAlignment="0" applyProtection="0"/>
    <xf numFmtId="182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4" fontId="8" fillId="0" borderId="0" applyFont="0" applyFill="0" applyBorder="0" applyProtection="0">
      <alignment horizontal="right"/>
    </xf>
    <xf numFmtId="185" fontId="8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186" fontId="8" fillId="0" borderId="0" applyFont="0" applyFill="0" applyBorder="0" applyAlignment="0" applyProtection="0"/>
    <xf numFmtId="187" fontId="8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 applyFont="0" applyFill="0" applyBorder="0" applyAlignment="0" applyProtection="0"/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31" fillId="0" borderId="0" applyNumberFormat="0" applyFill="0" applyBorder="0" applyProtection="0">
      <alignment vertical="top"/>
    </xf>
    <xf numFmtId="0" fontId="31" fillId="0" borderId="0" applyNumberFormat="0" applyFill="0" applyBorder="0" applyProtection="0">
      <alignment vertical="top"/>
    </xf>
    <xf numFmtId="0" fontId="32" fillId="0" borderId="1" applyNumberFormat="0" applyFill="0" applyAlignment="0" applyProtection="0"/>
    <xf numFmtId="0" fontId="33" fillId="0" borderId="2" applyNumberFormat="0" applyFill="0" applyProtection="0">
      <alignment horizontal="center"/>
    </xf>
    <xf numFmtId="0" fontId="33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188" fontId="35" fillId="0" borderId="0" applyFont="0" applyFill="0" applyBorder="0" applyAlignment="0" applyProtection="0"/>
    <xf numFmtId="189" fontId="35" fillId="0" borderId="0" applyFont="0" applyFill="0" applyBorder="0" applyAlignment="0" applyProtection="0"/>
    <xf numFmtId="190" fontId="35" fillId="0" borderId="0" applyFont="0" applyFill="0" applyBorder="0" applyAlignment="0" applyProtection="0"/>
    <xf numFmtId="191" fontId="35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36" fillId="0" borderId="0" applyFont="0" applyFill="0" applyBorder="0" applyAlignment="0" applyProtection="0"/>
    <xf numFmtId="42" fontId="8" fillId="0" borderId="0" applyFont="0" applyFill="0" applyBorder="0" applyAlignment="0" applyProtection="0"/>
    <xf numFmtId="0" fontId="37" fillId="0" borderId="0" applyNumberFormat="0" applyFont="0" applyFill="0" applyBorder="0" applyProtection="0">
      <alignment horizontal="centerContinuous"/>
    </xf>
    <xf numFmtId="0" fontId="5" fillId="0" borderId="0" applyNumberFormat="0" applyFill="0" applyBorder="0" applyAlignment="0">
      <protection locked="0"/>
    </xf>
    <xf numFmtId="0" fontId="38" fillId="0" borderId="0"/>
    <xf numFmtId="0" fontId="39" fillId="0" borderId="0"/>
    <xf numFmtId="0" fontId="29" fillId="0" borderId="0">
      <alignment horizontal="center" wrapText="1"/>
      <protection locked="0"/>
    </xf>
    <xf numFmtId="0" fontId="8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4" fillId="3" borderId="0" applyNumberFormat="0" applyBorder="0" applyAlignment="0">
      <protection locked="0"/>
    </xf>
    <xf numFmtId="194" fontId="24" fillId="0" borderId="0" applyFont="0" applyFill="0" applyBorder="0" applyAlignment="0" applyProtection="0"/>
    <xf numFmtId="195" fontId="41" fillId="0" borderId="0" applyFont="0" applyFill="0" applyBorder="0" applyAlignment="0" applyProtection="0"/>
    <xf numFmtId="196" fontId="24" fillId="0" borderId="0" applyFont="0" applyFill="0" applyBorder="0" applyAlignment="0" applyProtection="0"/>
    <xf numFmtId="0" fontId="108" fillId="25" borderId="0"/>
    <xf numFmtId="0" fontId="42" fillId="0" borderId="0" applyNumberFormat="0" applyFill="0" applyBorder="0" applyAlignment="0" applyProtection="0"/>
    <xf numFmtId="197" fontId="43" fillId="0" borderId="0"/>
    <xf numFmtId="0" fontId="44" fillId="0" borderId="0" applyNumberFormat="0" applyFill="0" applyBorder="0" applyAlignment="0" applyProtection="0"/>
    <xf numFmtId="0" fontId="7" fillId="0" borderId="0"/>
    <xf numFmtId="0" fontId="45" fillId="0" borderId="0"/>
    <xf numFmtId="0" fontId="37" fillId="0" borderId="3" applyNumberFormat="0" applyFont="0" applyFill="0" applyAlignment="0" applyProtection="0"/>
    <xf numFmtId="0" fontId="46" fillId="0" borderId="4" applyFill="0" applyProtection="0">
      <alignment horizontal="right"/>
    </xf>
    <xf numFmtId="198" fontId="2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47" fillId="0" borderId="0"/>
    <xf numFmtId="0" fontId="28" fillId="0" borderId="0" applyFill="0" applyBorder="0" applyAlignment="0"/>
    <xf numFmtId="0" fontId="28" fillId="0" borderId="0" applyFill="0" applyBorder="0" applyAlignment="0"/>
    <xf numFmtId="199" fontId="28" fillId="0" borderId="0" applyFill="0" applyBorder="0" applyAlignment="0"/>
    <xf numFmtId="200" fontId="28" fillId="0" borderId="0" applyFill="0" applyBorder="0" applyAlignment="0"/>
    <xf numFmtId="201" fontId="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39" fontId="29" fillId="4" borderId="0" applyNumberFormat="0" applyFont="0" applyBorder="0" applyAlignment="0"/>
    <xf numFmtId="0" fontId="48" fillId="0" borderId="0"/>
    <xf numFmtId="0" fontId="37" fillId="0" borderId="0" applyNumberFormat="0" applyFont="0" applyFill="0" applyBorder="0" applyProtection="0">
      <alignment horizontal="center"/>
    </xf>
    <xf numFmtId="49" fontId="22" fillId="0" borderId="0" applyFill="0" applyBorder="0" applyProtection="0">
      <alignment horizontal="center"/>
    </xf>
    <xf numFmtId="49" fontId="49" fillId="0" borderId="0" applyFill="0" applyBorder="0" applyProtection="0">
      <alignment horizontal="center"/>
    </xf>
    <xf numFmtId="8" fontId="8" fillId="0" borderId="5" applyFont="0" applyFill="0" applyBorder="0" applyProtection="0">
      <alignment horizontal="right"/>
    </xf>
    <xf numFmtId="0" fontId="6" fillId="0" borderId="0"/>
    <xf numFmtId="0" fontId="4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1" fillId="0" borderId="3" applyNumberFormat="0" applyFill="0" applyBorder="0" applyAlignment="0" applyProtection="0">
      <alignment horizontal="center"/>
    </xf>
    <xf numFmtId="0" fontId="10" fillId="5" borderId="0"/>
    <xf numFmtId="202" fontId="8" fillId="0" borderId="0"/>
    <xf numFmtId="202" fontId="8" fillId="0" borderId="0"/>
    <xf numFmtId="202" fontId="8" fillId="0" borderId="0"/>
    <xf numFmtId="202" fontId="8" fillId="0" borderId="0"/>
    <xf numFmtId="202" fontId="8" fillId="0" borderId="0"/>
    <xf numFmtId="202" fontId="8" fillId="0" borderId="0"/>
    <xf numFmtId="202" fontId="8" fillId="0" borderId="0"/>
    <xf numFmtId="202" fontId="8" fillId="0" borderId="0"/>
    <xf numFmtId="203" fontId="52" fillId="0" borderId="0"/>
    <xf numFmtId="0" fontId="28" fillId="0" borderId="0" applyFont="0" applyFill="0" applyBorder="0" applyAlignment="0" applyProtection="0"/>
    <xf numFmtId="170" fontId="53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8" fillId="0" borderId="0" applyFont="0" applyFill="0" applyBorder="0" applyProtection="0">
      <alignment horizontal="right"/>
    </xf>
    <xf numFmtId="3" fontId="8" fillId="0" borderId="0" applyFill="0" applyBorder="0" applyAlignment="0" applyProtection="0"/>
    <xf numFmtId="3" fontId="4" fillId="0" borderId="0" applyFont="0" applyFill="0" applyBorder="0" applyAlignment="0" applyProtection="0"/>
    <xf numFmtId="3" fontId="22" fillId="0" borderId="0" applyFill="0" applyBorder="0" applyAlignment="0" applyProtection="0"/>
    <xf numFmtId="38" fontId="54" fillId="0" borderId="0" applyNumberFormat="0" applyFill="0" applyBorder="0">
      <alignment vertical="center"/>
    </xf>
    <xf numFmtId="0" fontId="55" fillId="0" borderId="0" applyNumberFormat="0" applyAlignment="0">
      <alignment horizontal="left"/>
    </xf>
    <xf numFmtId="7" fontId="8" fillId="0" borderId="0" applyFont="0" applyFill="0" applyBorder="0" applyAlignment="0" applyProtection="0"/>
    <xf numFmtId="204" fontId="52" fillId="0" borderId="0"/>
    <xf numFmtId="0" fontId="28" fillId="0" borderId="0" applyFont="0" applyFill="0" applyBorder="0" applyAlignment="0" applyProtection="0"/>
    <xf numFmtId="205" fontId="24" fillId="0" borderId="0" applyFont="0" applyFill="0" applyBorder="0" applyAlignment="0" applyProtection="0"/>
    <xf numFmtId="8" fontId="37" fillId="0" borderId="0" applyBorder="0"/>
    <xf numFmtId="206" fontId="8" fillId="0" borderId="0" applyNumberFormat="0">
      <alignment horizontal="right"/>
    </xf>
    <xf numFmtId="15" fontId="8" fillId="0" borderId="0" applyFont="0" applyFill="0" applyBorder="0" applyProtection="0">
      <alignment horizontal="right"/>
    </xf>
    <xf numFmtId="14" fontId="6" fillId="0" borderId="0" applyFill="0" applyBorder="0" applyAlignment="0"/>
    <xf numFmtId="15" fontId="8" fillId="0" borderId="0" applyFont="0" applyFill="0" applyBorder="0" applyProtection="0">
      <alignment horizontal="right"/>
    </xf>
    <xf numFmtId="207" fontId="22" fillId="0" borderId="0" applyFill="0" applyBorder="0" applyProtection="0">
      <alignment horizontal="left"/>
    </xf>
    <xf numFmtId="0" fontId="8" fillId="0" borderId="0">
      <alignment horizontal="left"/>
    </xf>
    <xf numFmtId="38" fontId="56" fillId="0" borderId="6">
      <alignment vertical="center"/>
    </xf>
    <xf numFmtId="208" fontId="36" fillId="0" borderId="0" applyFont="0" applyFill="0" applyBorder="0" applyAlignment="0" applyProtection="0"/>
    <xf numFmtId="4" fontId="57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7" applyNumberFormat="0" applyFont="0" applyFill="0" applyAlignment="0" applyProtection="0"/>
    <xf numFmtId="42" fontId="58" fillId="0" borderId="0" applyFill="0" applyBorder="0" applyAlignment="0" applyProtection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59" fillId="0" borderId="0" applyNumberFormat="0" applyAlignment="0">
      <alignment horizontal="left"/>
    </xf>
    <xf numFmtId="209" fontId="8" fillId="0" borderId="0" applyFont="0" applyFill="0" applyBorder="0" applyAlignment="0" applyProtection="0"/>
    <xf numFmtId="169" fontId="37" fillId="0" borderId="0" applyNumberFormat="0" applyFont="0" applyAlignment="0">
      <alignment vertical="center"/>
    </xf>
    <xf numFmtId="0" fontId="60" fillId="0" borderId="0">
      <alignment horizontal="center"/>
    </xf>
    <xf numFmtId="0" fontId="61" fillId="0" borderId="0" applyNumberFormat="0" applyFill="0" applyBorder="0" applyAlignment="0" applyProtection="0"/>
    <xf numFmtId="38" fontId="4" fillId="6" borderId="0" applyNumberFormat="0" applyBorder="0" applyAlignment="0" applyProtection="0"/>
    <xf numFmtId="0" fontId="7" fillId="7" borderId="8" applyAlignment="0" applyProtection="0"/>
    <xf numFmtId="0" fontId="62" fillId="0" borderId="3" applyFill="0" applyProtection="0">
      <alignment horizontal="centerContinuous"/>
    </xf>
    <xf numFmtId="41" fontId="63" fillId="0" borderId="0">
      <alignment horizontal="center"/>
    </xf>
    <xf numFmtId="0" fontId="8" fillId="0" borderId="0">
      <alignment horizontal="center"/>
    </xf>
    <xf numFmtId="0" fontId="8" fillId="0" borderId="0">
      <alignment horizontal="left"/>
    </xf>
    <xf numFmtId="0" fontId="8" fillId="0" borderId="0">
      <alignment horizontal="right"/>
    </xf>
    <xf numFmtId="0" fontId="64" fillId="8" borderId="0"/>
    <xf numFmtId="0" fontId="65" fillId="0" borderId="0">
      <alignment horizontal="center" vertical="center"/>
    </xf>
    <xf numFmtId="0" fontId="66" fillId="0" borderId="9" applyNumberFormat="0" applyAlignment="0" applyProtection="0">
      <alignment horizontal="left" vertical="center"/>
    </xf>
    <xf numFmtId="0" fontId="66" fillId="0" borderId="8">
      <alignment horizontal="left" vertical="center"/>
    </xf>
    <xf numFmtId="0" fontId="67" fillId="0" borderId="0">
      <alignment horizontal="center"/>
    </xf>
    <xf numFmtId="0" fontId="68" fillId="0" borderId="0" applyFill="0" applyBorder="0" applyProtection="0">
      <alignment horizontal="right"/>
    </xf>
    <xf numFmtId="0" fontId="69" fillId="0" borderId="10">
      <alignment horizontal="center"/>
    </xf>
    <xf numFmtId="0" fontId="69" fillId="0" borderId="0">
      <alignment horizontal="center"/>
    </xf>
    <xf numFmtId="10" fontId="42" fillId="0" borderId="0" applyNumberFormat="0" applyFill="0" applyBorder="0" applyAlignment="0" applyProtection="0">
      <alignment horizontal="right"/>
    </xf>
    <xf numFmtId="10" fontId="4" fillId="9" borderId="11" applyNumberFormat="0" applyBorder="0" applyAlignment="0" applyProtection="0"/>
    <xf numFmtId="0" fontId="11" fillId="0" borderId="0"/>
    <xf numFmtId="0" fontId="70" fillId="0" borderId="0"/>
    <xf numFmtId="0" fontId="4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9" fontId="4" fillId="0" borderId="0" applyFont="0" applyFill="0" applyBorder="0" applyProtection="0">
      <alignment horizontal="left"/>
    </xf>
    <xf numFmtId="49" fontId="22" fillId="0" borderId="0" applyFill="0" applyBorder="0" applyProtection="0">
      <alignment horizontal="left"/>
    </xf>
    <xf numFmtId="49" fontId="22" fillId="0" borderId="3" applyFill="0" applyProtection="0">
      <alignment horizontal="left"/>
    </xf>
    <xf numFmtId="49" fontId="22" fillId="0" borderId="12" applyFill="0" applyProtection="0">
      <alignment horizontal="left"/>
    </xf>
    <xf numFmtId="0" fontId="71" fillId="0" borderId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165" fontId="8" fillId="0" borderId="0" applyNumberFormat="0" applyFont="0" applyFill="0" applyBorder="0" applyAlignment="0"/>
    <xf numFmtId="17" fontId="24" fillId="0" borderId="0"/>
    <xf numFmtId="0" fontId="29" fillId="0" borderId="0" applyNumberFormat="0" applyFill="0" applyBorder="0" applyProtection="0"/>
    <xf numFmtId="0" fontId="24" fillId="0" borderId="0" applyNumberFormat="0" applyFill="0" applyBorder="0" applyProtection="0"/>
    <xf numFmtId="38" fontId="72" fillId="0" borderId="0" applyNumberFormat="0" applyFill="0" applyBorder="0">
      <alignment horizontal="left" vertical="center"/>
    </xf>
    <xf numFmtId="164" fontId="8" fillId="0" borderId="0" applyFont="0" applyFill="0" applyBorder="0" applyAlignment="0" applyProtection="0"/>
    <xf numFmtId="38" fontId="73" fillId="0" borderId="0" applyFont="0" applyFill="0" applyBorder="0" applyAlignment="0" applyProtection="0"/>
    <xf numFmtId="40" fontId="73" fillId="0" borderId="0" applyFont="0" applyFill="0" applyBorder="0" applyAlignment="0" applyProtection="0"/>
    <xf numFmtId="169" fontId="74" fillId="0" borderId="0" applyFill="0" applyBorder="0">
      <alignment vertical="center"/>
    </xf>
    <xf numFmtId="210" fontId="29" fillId="0" borderId="0">
      <alignment horizontal="center"/>
    </xf>
    <xf numFmtId="211" fontId="73" fillId="0" borderId="0" applyFont="0" applyFill="0" applyBorder="0" applyAlignment="0" applyProtection="0"/>
    <xf numFmtId="212" fontId="73" fillId="0" borderId="0" applyFont="0" applyFill="0" applyBorder="0" applyAlignment="0" applyProtection="0"/>
    <xf numFmtId="7" fontId="8" fillId="0" borderId="0"/>
    <xf numFmtId="213" fontId="75" fillId="0" borderId="0" applyFont="0" applyFill="0" applyBorder="0" applyProtection="0">
      <alignment horizontal="right"/>
    </xf>
    <xf numFmtId="214" fontId="57" fillId="0" borderId="0" applyFont="0" applyFill="0" applyBorder="0" applyAlignment="0" applyProtection="0"/>
    <xf numFmtId="215" fontId="24" fillId="0" borderId="0" applyFont="0" applyFill="0" applyBorder="0" applyAlignment="0" applyProtection="0"/>
    <xf numFmtId="216" fontId="57" fillId="0" borderId="0" applyFont="0" applyFill="0" applyBorder="0" applyAlignment="0" applyProtection="0"/>
    <xf numFmtId="217" fontId="29" fillId="0" borderId="0" applyFont="0" applyFill="0" applyBorder="0" applyAlignment="0" applyProtection="0"/>
    <xf numFmtId="218" fontId="24" fillId="0" borderId="0" applyFont="0" applyFill="0" applyBorder="0" applyAlignment="0" applyProtection="0"/>
    <xf numFmtId="219" fontId="57" fillId="0" borderId="0" applyFont="0" applyFill="0" applyBorder="0" applyAlignment="0" applyProtection="0"/>
    <xf numFmtId="220" fontId="57" fillId="0" borderId="0" applyFont="0" applyFill="0" applyBorder="0" applyAlignment="0" applyProtection="0"/>
    <xf numFmtId="221" fontId="24" fillId="0" borderId="0" applyFont="0" applyFill="0" applyBorder="0" applyAlignment="0" applyProtection="0"/>
    <xf numFmtId="222" fontId="8" fillId="0" borderId="0"/>
    <xf numFmtId="0" fontId="12" fillId="10" borderId="0"/>
    <xf numFmtId="0" fontId="13" fillId="11" borderId="0"/>
    <xf numFmtId="0" fontId="14" fillId="0" borderId="0"/>
    <xf numFmtId="223" fontId="76" fillId="0" borderId="0"/>
    <xf numFmtId="0" fontId="8" fillId="0" borderId="0"/>
    <xf numFmtId="0" fontId="8" fillId="0" borderId="0"/>
    <xf numFmtId="0" fontId="77" fillId="0" borderId="0">
      <alignment horizontal="center"/>
    </xf>
    <xf numFmtId="0" fontId="25" fillId="0" borderId="0">
      <alignment horizontal="center" vertical="center"/>
    </xf>
    <xf numFmtId="0" fontId="24" fillId="0" borderId="13"/>
    <xf numFmtId="0" fontId="24" fillId="0" borderId="14"/>
    <xf numFmtId="49" fontId="24" fillId="0" borderId="14">
      <alignment horizontal="left"/>
    </xf>
    <xf numFmtId="0" fontId="24" fillId="0" borderId="15"/>
    <xf numFmtId="0" fontId="24" fillId="0" borderId="3"/>
    <xf numFmtId="0" fontId="24" fillId="0" borderId="16"/>
    <xf numFmtId="0" fontId="24" fillId="6" borderId="17"/>
    <xf numFmtId="0" fontId="25" fillId="6" borderId="12">
      <alignment horizontal="left"/>
    </xf>
    <xf numFmtId="0" fontId="25" fillId="6" borderId="18">
      <alignment horizontal="left"/>
    </xf>
    <xf numFmtId="0" fontId="24" fillId="6" borderId="12"/>
    <xf numFmtId="0" fontId="24" fillId="0" borderId="0">
      <alignment horizontal="left"/>
    </xf>
    <xf numFmtId="0" fontId="25" fillId="6" borderId="12">
      <alignment horizontal="left"/>
    </xf>
    <xf numFmtId="0" fontId="41" fillId="6" borderId="12">
      <alignment horizontal="left"/>
    </xf>
    <xf numFmtId="0" fontId="24" fillId="6" borderId="18"/>
    <xf numFmtId="0" fontId="24" fillId="0" borderId="13">
      <alignment horizontal="left"/>
    </xf>
    <xf numFmtId="0" fontId="24" fillId="0" borderId="0">
      <alignment horizontal="left"/>
    </xf>
    <xf numFmtId="0" fontId="24" fillId="0" borderId="14">
      <alignment horizontal="center"/>
    </xf>
    <xf numFmtId="0" fontId="24" fillId="0" borderId="0">
      <alignment horizontal="left"/>
    </xf>
    <xf numFmtId="0" fontId="25" fillId="6" borderId="17">
      <alignment horizontal="left"/>
    </xf>
    <xf numFmtId="0" fontId="24" fillId="0" borderId="13">
      <alignment horizontal="left"/>
    </xf>
    <xf numFmtId="0" fontId="24" fillId="0" borderId="13">
      <alignment horizontal="right"/>
    </xf>
    <xf numFmtId="172" fontId="25" fillId="0" borderId="0"/>
    <xf numFmtId="0" fontId="24" fillId="0" borderId="13"/>
    <xf numFmtId="169" fontId="24" fillId="0" borderId="14"/>
    <xf numFmtId="0" fontId="24" fillId="0" borderId="13"/>
    <xf numFmtId="0" fontId="24" fillId="0" borderId="13">
      <alignment horizontal="left"/>
    </xf>
    <xf numFmtId="0" fontId="25" fillId="6" borderId="17"/>
    <xf numFmtId="0" fontId="78" fillId="6" borderId="13">
      <alignment horizontal="left"/>
    </xf>
    <xf numFmtId="0" fontId="24" fillId="6" borderId="14"/>
    <xf numFmtId="0" fontId="25" fillId="6" borderId="13">
      <alignment horizontal="left"/>
    </xf>
    <xf numFmtId="0" fontId="24" fillId="0" borderId="13">
      <alignment horizontal="left"/>
    </xf>
    <xf numFmtId="0" fontId="24" fillId="0" borderId="13">
      <alignment horizontal="left"/>
    </xf>
    <xf numFmtId="14" fontId="77" fillId="0" borderId="0">
      <alignment horizontal="center"/>
    </xf>
    <xf numFmtId="49" fontId="79" fillId="0" borderId="13">
      <alignment horizontal="left"/>
    </xf>
    <xf numFmtId="0" fontId="79" fillId="0" borderId="13"/>
    <xf numFmtId="0" fontId="25" fillId="6" borderId="13">
      <alignment horizontal="left"/>
    </xf>
    <xf numFmtId="0" fontId="25" fillId="6" borderId="13"/>
    <xf numFmtId="49" fontId="24" fillId="0" borderId="14">
      <alignment horizontal="left"/>
    </xf>
    <xf numFmtId="0" fontId="77" fillId="0" borderId="13"/>
    <xf numFmtId="0" fontId="77" fillId="0" borderId="0">
      <alignment horizontal="center"/>
    </xf>
    <xf numFmtId="14" fontId="77" fillId="0" borderId="0">
      <alignment horizontal="center"/>
    </xf>
    <xf numFmtId="0" fontId="77" fillId="0" borderId="15"/>
    <xf numFmtId="0" fontId="24" fillId="0" borderId="3">
      <alignment horizontal="center"/>
    </xf>
    <xf numFmtId="0" fontId="24" fillId="0" borderId="0"/>
    <xf numFmtId="0" fontId="77" fillId="0" borderId="3">
      <alignment horizontal="center"/>
    </xf>
    <xf numFmtId="14" fontId="77" fillId="0" borderId="3">
      <alignment horizontal="center"/>
    </xf>
    <xf numFmtId="0" fontId="25" fillId="0" borderId="0">
      <alignment horizontal="left" vertical="center" wrapText="1"/>
    </xf>
    <xf numFmtId="0" fontId="25" fillId="6" borderId="9">
      <alignment horizontal="left" wrapText="1"/>
    </xf>
    <xf numFmtId="0" fontId="25" fillId="0" borderId="0">
      <alignment horizontal="right" vertical="center"/>
    </xf>
    <xf numFmtId="172" fontId="25" fillId="0" borderId="0">
      <alignment horizontal="right"/>
    </xf>
    <xf numFmtId="14" fontId="80" fillId="0" borderId="0">
      <alignment horizontal="center"/>
    </xf>
    <xf numFmtId="0" fontId="25" fillId="6" borderId="19">
      <alignment horizontal="center" wrapText="1"/>
    </xf>
    <xf numFmtId="0" fontId="57" fillId="0" borderId="0">
      <alignment horizontal="center" vertical="center"/>
    </xf>
    <xf numFmtId="1" fontId="81" fillId="0" borderId="0">
      <alignment horizontal="center" wrapText="1"/>
    </xf>
    <xf numFmtId="0" fontId="25" fillId="6" borderId="9">
      <alignment horizontal="center" wrapText="1"/>
    </xf>
    <xf numFmtId="0" fontId="81" fillId="6" borderId="20">
      <alignment horizontal="center" wrapText="1"/>
    </xf>
    <xf numFmtId="0" fontId="81" fillId="6" borderId="19">
      <alignment horizontal="left" wrapText="1"/>
    </xf>
    <xf numFmtId="0" fontId="24" fillId="0" borderId="14">
      <alignment horizontal="left"/>
    </xf>
    <xf numFmtId="0" fontId="57" fillId="0" borderId="0">
      <alignment horizontal="center"/>
    </xf>
    <xf numFmtId="2" fontId="57" fillId="12" borderId="0">
      <alignment horizontal="center"/>
    </xf>
    <xf numFmtId="0" fontId="24" fillId="0" borderId="0">
      <alignment horizontal="left" vertical="top"/>
    </xf>
    <xf numFmtId="16" fontId="24" fillId="0" borderId="0"/>
    <xf numFmtId="0" fontId="24" fillId="12" borderId="0"/>
    <xf numFmtId="14" fontId="24" fillId="0" borderId="0">
      <alignment horizontal="center"/>
    </xf>
    <xf numFmtId="2" fontId="57" fillId="0" borderId="12">
      <alignment horizontal="center" vertical="center"/>
    </xf>
    <xf numFmtId="0" fontId="25" fillId="6" borderId="0">
      <alignment horizontal="center"/>
    </xf>
    <xf numFmtId="2" fontId="57" fillId="0" borderId="0">
      <alignment horizontal="center"/>
    </xf>
    <xf numFmtId="2" fontId="57" fillId="0" borderId="0">
      <alignment horizontal="center"/>
    </xf>
    <xf numFmtId="0" fontId="24" fillId="0" borderId="0">
      <alignment horizontal="left" vertical="top"/>
    </xf>
    <xf numFmtId="15" fontId="24" fillId="0" borderId="0">
      <alignment horizontal="left" vertical="top"/>
    </xf>
    <xf numFmtId="0" fontId="24" fillId="0" borderId="0">
      <alignment horizontal="left" vertical="top"/>
    </xf>
    <xf numFmtId="14" fontId="24" fillId="0" borderId="0">
      <alignment horizontal="center" vertical="top"/>
    </xf>
    <xf numFmtId="0" fontId="57" fillId="0" borderId="0"/>
    <xf numFmtId="0" fontId="81" fillId="0" borderId="3"/>
    <xf numFmtId="14" fontId="81" fillId="0" borderId="3"/>
    <xf numFmtId="2" fontId="57" fillId="0" borderId="3">
      <alignment horizontal="center"/>
    </xf>
    <xf numFmtId="0" fontId="24" fillId="0" borderId="0">
      <alignment horizontal="center"/>
    </xf>
    <xf numFmtId="2" fontId="57" fillId="0" borderId="3">
      <alignment horizontal="center"/>
    </xf>
    <xf numFmtId="0" fontId="57" fillId="0" borderId="3"/>
    <xf numFmtId="0" fontId="57" fillId="0" borderId="3">
      <alignment horizontal="center"/>
    </xf>
    <xf numFmtId="0" fontId="57" fillId="0" borderId="3">
      <alignment horizontal="center"/>
    </xf>
    <xf numFmtId="0" fontId="25" fillId="0" borderId="0">
      <alignment horizontal="left" vertical="top"/>
    </xf>
    <xf numFmtId="0" fontId="25" fillId="0" borderId="0">
      <alignment horizontal="left" vertical="top"/>
    </xf>
    <xf numFmtId="0" fontId="24" fillId="0" borderId="0">
      <alignment horizontal="center" vertical="top"/>
    </xf>
    <xf numFmtId="43" fontId="57" fillId="0" borderId="0">
      <alignment horizontal="left"/>
    </xf>
    <xf numFmtId="172" fontId="24" fillId="0" borderId="0"/>
    <xf numFmtId="0" fontId="24" fillId="0" borderId="0">
      <alignment horizontal="center"/>
    </xf>
    <xf numFmtId="0" fontId="77" fillId="0" borderId="0"/>
    <xf numFmtId="43" fontId="24" fillId="0" borderId="0"/>
    <xf numFmtId="1" fontId="24" fillId="0" borderId="0"/>
    <xf numFmtId="0" fontId="25" fillId="0" borderId="0"/>
    <xf numFmtId="43" fontId="24" fillId="0" borderId="0">
      <alignment horizontal="center"/>
    </xf>
    <xf numFmtId="43" fontId="24" fillId="0" borderId="21"/>
    <xf numFmtId="43" fontId="24" fillId="0" borderId="22"/>
    <xf numFmtId="0" fontId="24" fillId="0" borderId="10"/>
    <xf numFmtId="43" fontId="24" fillId="0" borderId="0"/>
    <xf numFmtId="1" fontId="81" fillId="0" borderId="16">
      <alignment horizontal="center" wrapText="1"/>
    </xf>
    <xf numFmtId="0" fontId="57" fillId="0" borderId="0">
      <alignment horizontal="center"/>
    </xf>
    <xf numFmtId="0" fontId="24" fillId="0" borderId="0">
      <alignment horizontal="left"/>
    </xf>
    <xf numFmtId="0" fontId="57" fillId="0" borderId="0"/>
    <xf numFmtId="43" fontId="24" fillId="0" borderId="0">
      <alignment horizontal="center"/>
    </xf>
    <xf numFmtId="0" fontId="25" fillId="0" borderId="3">
      <alignment horizontal="left" vertical="top"/>
    </xf>
    <xf numFmtId="0" fontId="24" fillId="0" borderId="3">
      <alignment horizontal="center" vertical="top"/>
    </xf>
    <xf numFmtId="14" fontId="24" fillId="0" borderId="3">
      <alignment horizontal="center" vertical="top"/>
    </xf>
    <xf numFmtId="15" fontId="24" fillId="0" borderId="3">
      <alignment horizontal="left" vertical="top"/>
    </xf>
    <xf numFmtId="0" fontId="27" fillId="0" borderId="0"/>
    <xf numFmtId="224" fontId="24" fillId="0" borderId="0">
      <alignment vertical="top"/>
    </xf>
    <xf numFmtId="0" fontId="24" fillId="0" borderId="3">
      <alignment horizontal="left" vertical="top"/>
    </xf>
    <xf numFmtId="0" fontId="24" fillId="0" borderId="0">
      <alignment horizontal="center" wrapText="1"/>
    </xf>
    <xf numFmtId="0" fontId="24" fillId="0" borderId="0">
      <alignment horizontal="center"/>
    </xf>
    <xf numFmtId="0" fontId="24" fillId="0" borderId="0">
      <alignment horizontal="center" vertical="top"/>
    </xf>
    <xf numFmtId="0" fontId="25" fillId="0" borderId="0"/>
    <xf numFmtId="14" fontId="24" fillId="0" borderId="0">
      <alignment horizontal="center"/>
    </xf>
    <xf numFmtId="14" fontId="24" fillId="0" borderId="0">
      <alignment horizontal="left" vertical="top"/>
    </xf>
    <xf numFmtId="41" fontId="24" fillId="0" borderId="0"/>
    <xf numFmtId="3" fontId="25" fillId="0" borderId="23">
      <alignment horizontal="right" vertical="center"/>
    </xf>
    <xf numFmtId="172" fontId="25" fillId="0" borderId="22">
      <alignment horizontal="right"/>
    </xf>
    <xf numFmtId="225" fontId="81" fillId="0" borderId="0">
      <alignment wrapText="1"/>
    </xf>
    <xf numFmtId="0" fontId="24" fillId="0" borderId="0">
      <alignment horizontal="center"/>
    </xf>
    <xf numFmtId="226" fontId="25" fillId="0" borderId="10"/>
    <xf numFmtId="226" fontId="25" fillId="0" borderId="0"/>
    <xf numFmtId="0" fontId="24" fillId="0" borderId="0">
      <alignment vertical="top"/>
    </xf>
    <xf numFmtId="3" fontId="25" fillId="0" borderId="21">
      <alignment horizontal="right" vertical="center"/>
    </xf>
    <xf numFmtId="0" fontId="81" fillId="0" borderId="15">
      <alignment horizontal="center" wrapText="1"/>
    </xf>
    <xf numFmtId="3" fontId="25" fillId="0" borderId="24">
      <alignment horizontal="right" vertical="center"/>
    </xf>
    <xf numFmtId="3" fontId="25" fillId="0" borderId="0">
      <alignment horizontal="right" vertical="center"/>
    </xf>
    <xf numFmtId="172" fontId="25" fillId="0" borderId="10">
      <alignment horizontal="right"/>
    </xf>
    <xf numFmtId="0" fontId="6" fillId="0" borderId="25">
      <alignment wrapText="1"/>
    </xf>
    <xf numFmtId="227" fontId="6" fillId="0" borderId="25">
      <alignment horizontal="right" wrapText="1"/>
    </xf>
    <xf numFmtId="4" fontId="24" fillId="0" borderId="0">
      <alignment horizontal="center"/>
    </xf>
    <xf numFmtId="0" fontId="25" fillId="6" borderId="9">
      <alignment horizontal="center"/>
    </xf>
    <xf numFmtId="0" fontId="25" fillId="6" borderId="20">
      <alignment horizontal="center"/>
    </xf>
    <xf numFmtId="14" fontId="24" fillId="0" borderId="0">
      <alignment horizontal="center" vertical="top"/>
    </xf>
    <xf numFmtId="0" fontId="24" fillId="13" borderId="0">
      <alignment vertical="top"/>
    </xf>
    <xf numFmtId="0" fontId="24" fillId="13" borderId="0"/>
    <xf numFmtId="0" fontId="6" fillId="0" borderId="25">
      <alignment wrapText="1"/>
    </xf>
    <xf numFmtId="228" fontId="28" fillId="0" borderId="0">
      <alignment horizontal="right" vertical="center" wrapText="1"/>
    </xf>
    <xf numFmtId="0" fontId="28" fillId="0" borderId="0">
      <alignment horizontal="right" vertical="center" wrapText="1"/>
    </xf>
    <xf numFmtId="0" fontId="6" fillId="0" borderId="0">
      <alignment wrapText="1"/>
    </xf>
    <xf numFmtId="172" fontId="24" fillId="0" borderId="0"/>
    <xf numFmtId="0" fontId="24" fillId="13" borderId="0">
      <alignment horizontal="center"/>
    </xf>
    <xf numFmtId="0" fontId="25" fillId="13" borderId="0"/>
    <xf numFmtId="0" fontId="24" fillId="13" borderId="0">
      <alignment horizontal="center" vertical="top"/>
    </xf>
    <xf numFmtId="0" fontId="24" fillId="0" borderId="0">
      <alignment vertical="top"/>
    </xf>
    <xf numFmtId="14" fontId="24" fillId="13" borderId="0">
      <alignment horizontal="center" vertical="top"/>
    </xf>
    <xf numFmtId="15" fontId="24" fillId="13" borderId="0">
      <alignment horizontal="left" vertical="top"/>
    </xf>
    <xf numFmtId="0" fontId="24" fillId="13" borderId="0">
      <alignment horizontal="left" vertical="top"/>
    </xf>
    <xf numFmtId="14" fontId="24" fillId="13" borderId="0">
      <alignment horizontal="left" vertical="top"/>
    </xf>
    <xf numFmtId="0" fontId="24" fillId="14" borderId="0">
      <alignment horizontal="center"/>
    </xf>
    <xf numFmtId="0" fontId="25" fillId="14" borderId="0"/>
    <xf numFmtId="0" fontId="24" fillId="14" borderId="0">
      <alignment horizontal="center" vertical="top"/>
    </xf>
    <xf numFmtId="14" fontId="24" fillId="14" borderId="0">
      <alignment horizontal="center" vertical="top"/>
    </xf>
    <xf numFmtId="0" fontId="24" fillId="14" borderId="0">
      <alignment vertical="top"/>
    </xf>
    <xf numFmtId="15" fontId="24" fillId="14" borderId="0">
      <alignment horizontal="left" vertical="top"/>
    </xf>
    <xf numFmtId="15" fontId="77" fillId="0" borderId="0">
      <alignment horizontal="left"/>
    </xf>
    <xf numFmtId="0" fontId="24" fillId="14" borderId="0">
      <alignment horizontal="left" vertical="top"/>
    </xf>
    <xf numFmtId="172" fontId="24" fillId="14" borderId="0">
      <alignment vertical="top"/>
    </xf>
    <xf numFmtId="14" fontId="24" fillId="14" borderId="0">
      <alignment horizontal="left" vertical="top"/>
    </xf>
    <xf numFmtId="0" fontId="24" fillId="14" borderId="0">
      <alignment horizontal="center"/>
    </xf>
    <xf numFmtId="0" fontId="24" fillId="14" borderId="0"/>
    <xf numFmtId="0" fontId="25" fillId="14" borderId="0">
      <alignment horizontal="left" vertical="top"/>
    </xf>
    <xf numFmtId="14" fontId="24" fillId="14" borderId="0">
      <alignment horizontal="center" vertical="top"/>
    </xf>
    <xf numFmtId="0" fontId="57" fillId="14" borderId="0">
      <alignment horizontal="center"/>
    </xf>
    <xf numFmtId="0" fontId="77" fillId="14" borderId="0">
      <alignment horizontal="center"/>
    </xf>
    <xf numFmtId="0" fontId="24" fillId="14" borderId="0"/>
    <xf numFmtId="0" fontId="57" fillId="0" borderId="0"/>
    <xf numFmtId="0" fontId="25" fillId="0" borderId="0">
      <alignment horizontal="center"/>
    </xf>
    <xf numFmtId="0" fontId="25" fillId="0" borderId="0">
      <alignment horizontal="center"/>
    </xf>
    <xf numFmtId="172" fontId="25" fillId="6" borderId="23">
      <alignment horizontal="center"/>
    </xf>
    <xf numFmtId="172" fontId="25" fillId="6" borderId="24">
      <alignment horizontal="center"/>
    </xf>
    <xf numFmtId="2" fontId="57" fillId="0" borderId="0"/>
    <xf numFmtId="0" fontId="57" fillId="0" borderId="0"/>
    <xf numFmtId="2" fontId="57" fillId="0" borderId="0">
      <alignment horizontal="center"/>
    </xf>
    <xf numFmtId="0" fontId="57" fillId="0" borderId="0">
      <alignment horizontal="center"/>
    </xf>
    <xf numFmtId="0" fontId="77" fillId="0" borderId="0">
      <alignment wrapText="1"/>
    </xf>
    <xf numFmtId="0" fontId="57" fillId="0" borderId="0">
      <alignment horizontal="center"/>
    </xf>
    <xf numFmtId="0" fontId="81" fillId="0" borderId="0">
      <alignment horizontal="left" vertical="center"/>
    </xf>
    <xf numFmtId="2" fontId="57" fillId="0" borderId="12">
      <alignment horizontal="center" vertical="center"/>
    </xf>
    <xf numFmtId="0" fontId="57" fillId="0" borderId="12">
      <alignment horizontal="center" vertical="center"/>
    </xf>
    <xf numFmtId="0" fontId="57" fillId="0" borderId="18">
      <alignment horizontal="center" vertical="center"/>
    </xf>
    <xf numFmtId="0" fontId="57" fillId="0" borderId="0">
      <alignment horizontal="center" vertical="center"/>
    </xf>
    <xf numFmtId="0" fontId="57" fillId="0" borderId="0">
      <alignment horizontal="left" vertical="center"/>
    </xf>
    <xf numFmtId="0" fontId="81" fillId="0" borderId="0">
      <alignment horizontal="left"/>
    </xf>
    <xf numFmtId="0" fontId="81" fillId="0" borderId="0">
      <alignment horizontal="left"/>
    </xf>
    <xf numFmtId="0" fontId="81" fillId="0" borderId="0">
      <alignment horizontal="center"/>
    </xf>
    <xf numFmtId="0" fontId="24" fillId="0" borderId="0">
      <alignment horizontal="center" vertical="center" wrapText="1"/>
    </xf>
    <xf numFmtId="0" fontId="81" fillId="0" borderId="0">
      <alignment horizontal="center" wrapText="1"/>
    </xf>
    <xf numFmtId="0" fontId="81" fillId="0" borderId="13">
      <alignment horizontal="center" wrapText="1"/>
    </xf>
    <xf numFmtId="1" fontId="81" fillId="0" borderId="14">
      <alignment horizontal="center" wrapText="1"/>
    </xf>
    <xf numFmtId="0" fontId="81" fillId="0" borderId="0">
      <alignment horizontal="center"/>
    </xf>
    <xf numFmtId="229" fontId="81" fillId="0" borderId="0">
      <alignment horizontal="center" wrapText="1"/>
    </xf>
    <xf numFmtId="43" fontId="81" fillId="0" borderId="0"/>
    <xf numFmtId="0" fontId="81" fillId="0" borderId="0"/>
    <xf numFmtId="0" fontId="57" fillId="0" borderId="0">
      <alignment wrapText="1"/>
    </xf>
    <xf numFmtId="0" fontId="81" fillId="0" borderId="0">
      <alignment horizontal="center" wrapText="1"/>
    </xf>
    <xf numFmtId="0" fontId="81" fillId="0" borderId="0">
      <alignment horizontal="center" wrapText="1"/>
    </xf>
    <xf numFmtId="43" fontId="24" fillId="0" borderId="0">
      <alignment horizontal="center" vertical="center" wrapText="1"/>
    </xf>
    <xf numFmtId="0" fontId="81" fillId="0" borderId="0">
      <alignment horizontal="center" wrapText="1"/>
    </xf>
    <xf numFmtId="230" fontId="81" fillId="0" borderId="0">
      <alignment horizontal="center" wrapText="1"/>
    </xf>
    <xf numFmtId="0" fontId="81" fillId="6" borderId="9">
      <alignment horizontal="center" wrapText="1"/>
    </xf>
    <xf numFmtId="2" fontId="81" fillId="6" borderId="9">
      <alignment horizontal="center" wrapText="1"/>
    </xf>
    <xf numFmtId="0" fontId="81" fillId="6" borderId="9">
      <alignment horizontal="center" wrapText="1"/>
    </xf>
    <xf numFmtId="0" fontId="81" fillId="0" borderId="0">
      <alignment horizontal="center" wrapText="1"/>
    </xf>
    <xf numFmtId="0" fontId="24" fillId="0" borderId="0"/>
    <xf numFmtId="0" fontId="24" fillId="0" borderId="0"/>
    <xf numFmtId="0" fontId="82" fillId="0" borderId="0">
      <alignment horizontal="left" vertical="center"/>
    </xf>
    <xf numFmtId="172" fontId="82" fillId="0" borderId="0">
      <alignment horizontal="left" vertical="center"/>
    </xf>
    <xf numFmtId="0" fontId="25" fillId="0" borderId="0">
      <alignment horizontal="center" vertical="center" wrapText="1"/>
    </xf>
    <xf numFmtId="0" fontId="82" fillId="0" borderId="0">
      <alignment horizontal="center" vertical="center"/>
    </xf>
    <xf numFmtId="0" fontId="25" fillId="0" borderId="23">
      <alignment horizontal="left"/>
    </xf>
    <xf numFmtId="41" fontId="25" fillId="0" borderId="26"/>
    <xf numFmtId="0" fontId="25" fillId="0" borderId="23"/>
    <xf numFmtId="41" fontId="25" fillId="0" borderId="0"/>
    <xf numFmtId="0" fontId="25" fillId="0" borderId="21"/>
    <xf numFmtId="172" fontId="25" fillId="0" borderId="27"/>
    <xf numFmtId="172" fontId="25" fillId="0" borderId="0"/>
    <xf numFmtId="43" fontId="25" fillId="0" borderId="27"/>
    <xf numFmtId="43" fontId="25" fillId="0" borderId="0"/>
    <xf numFmtId="0" fontId="24" fillId="0" borderId="0">
      <alignment wrapText="1"/>
    </xf>
    <xf numFmtId="0" fontId="25" fillId="0" borderId="22"/>
    <xf numFmtId="43" fontId="25" fillId="0" borderId="28"/>
    <xf numFmtId="0" fontId="25" fillId="0" borderId="0">
      <alignment horizontal="center"/>
    </xf>
    <xf numFmtId="0" fontId="25" fillId="6" borderId="23">
      <alignment horizontal="center"/>
    </xf>
    <xf numFmtId="172" fontId="25" fillId="6" borderId="24">
      <alignment horizontal="center"/>
    </xf>
    <xf numFmtId="0" fontId="25" fillId="6" borderId="24">
      <alignment horizontal="center"/>
    </xf>
    <xf numFmtId="0" fontId="25" fillId="6" borderId="26">
      <alignment horizontal="center"/>
    </xf>
    <xf numFmtId="0" fontId="25" fillId="6" borderId="22">
      <alignment horizontal="center"/>
    </xf>
    <xf numFmtId="172" fontId="25" fillId="6" borderId="10">
      <alignment horizontal="right"/>
    </xf>
    <xf numFmtId="0" fontId="25" fillId="6" borderId="10">
      <alignment horizontal="center"/>
    </xf>
    <xf numFmtId="0" fontId="24" fillId="0" borderId="0">
      <alignment horizontal="left" vertical="center" wrapText="1"/>
    </xf>
    <xf numFmtId="0" fontId="25" fillId="6" borderId="28">
      <alignment horizontal="center"/>
    </xf>
    <xf numFmtId="0" fontId="25" fillId="15" borderId="0">
      <alignment horizontal="center"/>
    </xf>
    <xf numFmtId="172" fontId="25" fillId="6" borderId="22">
      <alignment horizontal="center"/>
    </xf>
    <xf numFmtId="172" fontId="25" fillId="6" borderId="10">
      <alignment horizontal="center"/>
    </xf>
    <xf numFmtId="0" fontId="25" fillId="6" borderId="10">
      <alignment horizontal="center"/>
    </xf>
    <xf numFmtId="172" fontId="25" fillId="6" borderId="28">
      <alignment horizontal="center"/>
    </xf>
    <xf numFmtId="0" fontId="25" fillId="6" borderId="29">
      <alignment horizontal="center"/>
    </xf>
    <xf numFmtId="0" fontId="25" fillId="6" borderId="3">
      <alignment horizontal="center"/>
    </xf>
    <xf numFmtId="0" fontId="25" fillId="6" borderId="3">
      <alignment horizontal="center"/>
    </xf>
    <xf numFmtId="0" fontId="25" fillId="6" borderId="30">
      <alignment horizontal="center"/>
    </xf>
    <xf numFmtId="0" fontId="24" fillId="0" borderId="0"/>
    <xf numFmtId="0" fontId="25" fillId="6" borderId="21">
      <alignment horizontal="center"/>
    </xf>
    <xf numFmtId="0" fontId="25" fillId="6" borderId="0">
      <alignment horizontal="center"/>
    </xf>
    <xf numFmtId="0" fontId="25" fillId="6" borderId="27">
      <alignment horizontal="center"/>
    </xf>
    <xf numFmtId="0" fontId="41" fillId="0" borderId="0">
      <alignment horizontal="left"/>
    </xf>
    <xf numFmtId="49" fontId="24" fillId="0" borderId="0">
      <alignment horizontal="left"/>
    </xf>
    <xf numFmtId="0" fontId="41" fillId="0" borderId="0">
      <alignment horizontal="left"/>
    </xf>
    <xf numFmtId="15" fontId="77" fillId="15" borderId="0">
      <alignment horizontal="left"/>
    </xf>
    <xf numFmtId="0" fontId="24" fillId="0" borderId="0">
      <alignment horizontal="right"/>
    </xf>
    <xf numFmtId="49" fontId="24" fillId="0" borderId="0">
      <alignment horizontal="left"/>
    </xf>
    <xf numFmtId="49" fontId="24" fillId="0" borderId="0">
      <alignment horizontal="left"/>
    </xf>
    <xf numFmtId="10" fontId="77" fillId="0" borderId="0"/>
    <xf numFmtId="0" fontId="4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83" fillId="0" borderId="0">
      <alignment horizontal="left" vertical="top"/>
      <protection locked="0"/>
    </xf>
    <xf numFmtId="0" fontId="37" fillId="0" borderId="11" applyNumberFormat="0" applyFont="0" applyFill="0" applyAlignment="0" applyProtection="0"/>
    <xf numFmtId="40" fontId="84" fillId="15" borderId="0">
      <alignment horizontal="right"/>
    </xf>
    <xf numFmtId="0" fontId="85" fillId="15" borderId="0">
      <alignment horizontal="right"/>
    </xf>
    <xf numFmtId="0" fontId="86" fillId="15" borderId="14"/>
    <xf numFmtId="0" fontId="86" fillId="0" borderId="0" applyBorder="0">
      <alignment horizontal="centerContinuous"/>
    </xf>
    <xf numFmtId="231" fontId="87" fillId="0" borderId="0" applyFill="0">
      <alignment horizontal="center" vertical="center"/>
    </xf>
    <xf numFmtId="0" fontId="25" fillId="0" borderId="31" applyNumberFormat="0" applyAlignment="0" applyProtection="0"/>
    <xf numFmtId="0" fontId="24" fillId="16" borderId="0" applyNumberFormat="0" applyFont="0" applyBorder="0" applyAlignment="0" applyProtection="0"/>
    <xf numFmtId="0" fontId="4" fillId="17" borderId="32" applyNumberFormat="0" applyFont="0" applyBorder="0" applyAlignment="0" applyProtection="0">
      <alignment horizontal="center"/>
    </xf>
    <xf numFmtId="0" fontId="4" fillId="18" borderId="32" applyNumberFormat="0" applyFont="0" applyBorder="0" applyAlignment="0" applyProtection="0">
      <alignment horizontal="center"/>
    </xf>
    <xf numFmtId="0" fontId="24" fillId="0" borderId="33" applyNumberFormat="0" applyAlignment="0" applyProtection="0"/>
    <xf numFmtId="0" fontId="24" fillId="0" borderId="34" applyNumberFormat="0" applyAlignment="0" applyProtection="0"/>
    <xf numFmtId="0" fontId="25" fillId="0" borderId="35" applyNumberFormat="0" applyAlignment="0" applyProtection="0"/>
    <xf numFmtId="14" fontId="29" fillId="0" borderId="0">
      <alignment horizontal="center" wrapText="1"/>
      <protection locked="0"/>
    </xf>
    <xf numFmtId="9" fontId="3" fillId="0" borderId="0" applyFont="0" applyFill="0" applyBorder="0" applyAlignment="0" applyProtection="0"/>
    <xf numFmtId="9" fontId="57" fillId="0" borderId="0" applyFont="0" applyFill="0" applyBorder="0" applyAlignment="0" applyProtection="0"/>
    <xf numFmtId="232" fontId="88" fillId="0" borderId="0" applyFont="0" applyFill="0" applyBorder="0" applyAlignment="0" applyProtection="0"/>
    <xf numFmtId="169" fontId="57" fillId="0" borderId="0" applyFont="0" applyFill="0" applyBorder="0" applyAlignment="0" applyProtection="0"/>
    <xf numFmtId="233" fontId="57" fillId="0" borderId="0" applyFont="0" applyFill="0" applyBorder="0" applyAlignment="0" applyProtection="0"/>
    <xf numFmtId="234" fontId="57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 applyFont="0" applyFill="0" applyBorder="0" applyProtection="0">
      <alignment horizontal="right"/>
    </xf>
    <xf numFmtId="172" fontId="77" fillId="0" borderId="0">
      <alignment horizontal="right"/>
    </xf>
    <xf numFmtId="172" fontId="25" fillId="0" borderId="0">
      <alignment horizontal="left" vertical="center"/>
    </xf>
    <xf numFmtId="171" fontId="4" fillId="0" borderId="0"/>
    <xf numFmtId="172" fontId="77" fillId="0" borderId="0">
      <alignment horizontal="right"/>
    </xf>
    <xf numFmtId="172" fontId="77" fillId="0" borderId="0">
      <alignment horizontal="center"/>
    </xf>
    <xf numFmtId="170" fontId="77" fillId="0" borderId="0">
      <alignment horizontal="right"/>
    </xf>
    <xf numFmtId="172" fontId="77" fillId="0" borderId="3">
      <alignment horizontal="right"/>
    </xf>
    <xf numFmtId="172" fontId="77" fillId="0" borderId="3">
      <alignment horizontal="center"/>
    </xf>
    <xf numFmtId="170" fontId="77" fillId="0" borderId="3">
      <alignment horizontal="right"/>
    </xf>
    <xf numFmtId="43" fontId="77" fillId="0" borderId="3">
      <alignment horizontal="center"/>
    </xf>
    <xf numFmtId="235" fontId="77" fillId="0" borderId="12"/>
    <xf numFmtId="236" fontId="77" fillId="0" borderId="12">
      <alignment horizontal="center"/>
    </xf>
    <xf numFmtId="172" fontId="25" fillId="0" borderId="0">
      <alignment horizontal="right" vertical="center"/>
    </xf>
    <xf numFmtId="236" fontId="77" fillId="0" borderId="18">
      <alignment horizontal="center" wrapText="1"/>
    </xf>
    <xf numFmtId="236" fontId="77" fillId="0" borderId="0">
      <alignment horizontal="center"/>
    </xf>
    <xf numFmtId="236" fontId="77" fillId="0" borderId="14">
      <alignment horizontal="center" wrapText="1"/>
    </xf>
    <xf numFmtId="235" fontId="77" fillId="0" borderId="14">
      <alignment wrapText="1"/>
    </xf>
    <xf numFmtId="235" fontId="77" fillId="0" borderId="3"/>
    <xf numFmtId="235" fontId="77" fillId="0" borderId="16">
      <alignment wrapText="1"/>
    </xf>
    <xf numFmtId="237" fontId="25" fillId="0" borderId="0">
      <alignment horizontal="left"/>
    </xf>
    <xf numFmtId="238" fontId="25" fillId="0" borderId="0">
      <alignment horizontal="left"/>
    </xf>
    <xf numFmtId="239" fontId="25" fillId="0" borderId="0">
      <alignment horizontal="left"/>
    </xf>
    <xf numFmtId="172" fontId="24" fillId="0" borderId="0">
      <alignment vertical="top"/>
    </xf>
    <xf numFmtId="240" fontId="25" fillId="0" borderId="0">
      <alignment horizontal="center"/>
    </xf>
    <xf numFmtId="235" fontId="80" fillId="0" borderId="0"/>
    <xf numFmtId="172" fontId="57" fillId="0" borderId="0">
      <alignment horizontal="right"/>
    </xf>
    <xf numFmtId="172" fontId="57" fillId="0" borderId="0">
      <alignment horizontal="center"/>
    </xf>
    <xf numFmtId="236" fontId="24" fillId="0" borderId="0">
      <alignment horizontal="center" vertical="top"/>
    </xf>
    <xf numFmtId="172" fontId="22" fillId="0" borderId="3">
      <alignment horizontal="centerContinuous"/>
    </xf>
    <xf numFmtId="172" fontId="4" fillId="0" borderId="3">
      <alignment horizontal="center"/>
    </xf>
    <xf numFmtId="172" fontId="4" fillId="0" borderId="0"/>
    <xf numFmtId="172" fontId="4" fillId="0" borderId="3"/>
    <xf numFmtId="43" fontId="4" fillId="0" borderId="3"/>
    <xf numFmtId="43" fontId="22" fillId="0" borderId="0">
      <alignment horizontal="right"/>
    </xf>
    <xf numFmtId="170" fontId="25" fillId="0" borderId="0">
      <alignment horizontal="right" vertical="center"/>
    </xf>
    <xf numFmtId="165" fontId="81" fillId="0" borderId="0">
      <alignment horizontal="center" wrapText="1"/>
    </xf>
    <xf numFmtId="2" fontId="81" fillId="0" borderId="0">
      <alignment horizontal="center"/>
    </xf>
    <xf numFmtId="43" fontId="57" fillId="0" borderId="0"/>
    <xf numFmtId="0" fontId="4" fillId="0" borderId="0">
      <alignment horizontal="center"/>
    </xf>
    <xf numFmtId="43" fontId="24" fillId="0" borderId="0">
      <alignment horizontal="center" vertical="top"/>
    </xf>
    <xf numFmtId="235" fontId="24" fillId="0" borderId="0">
      <alignment horizontal="center" vertical="top"/>
    </xf>
    <xf numFmtId="236" fontId="24" fillId="0" borderId="0">
      <alignment horizontal="center" vertical="top" wrapText="1"/>
    </xf>
    <xf numFmtId="43" fontId="24" fillId="0" borderId="0">
      <alignment horizontal="left" vertical="top"/>
    </xf>
    <xf numFmtId="172" fontId="24" fillId="0" borderId="0">
      <alignment horizontal="right" vertical="top"/>
    </xf>
    <xf numFmtId="43" fontId="24" fillId="0" borderId="0">
      <alignment horizontal="center" vertical="top"/>
    </xf>
    <xf numFmtId="43" fontId="25" fillId="0" borderId="0">
      <alignment horizontal="center"/>
    </xf>
    <xf numFmtId="235" fontId="24" fillId="0" borderId="0">
      <alignment horizontal="center" vertical="top"/>
    </xf>
    <xf numFmtId="236" fontId="24" fillId="0" borderId="0">
      <alignment horizontal="center" vertical="top" wrapText="1"/>
    </xf>
    <xf numFmtId="172" fontId="24" fillId="0" borderId="0">
      <alignment horizontal="left" vertical="top"/>
    </xf>
    <xf numFmtId="43" fontId="24" fillId="0" borderId="0">
      <alignment horizontal="left" vertical="top"/>
    </xf>
    <xf numFmtId="172" fontId="4" fillId="0" borderId="0">
      <alignment horizontal="left"/>
    </xf>
    <xf numFmtId="172" fontId="22" fillId="0" borderId="0">
      <alignment horizontal="centerContinuous"/>
    </xf>
    <xf numFmtId="172" fontId="22" fillId="0" borderId="0">
      <alignment horizontal="left"/>
    </xf>
    <xf numFmtId="172" fontId="22" fillId="0" borderId="3">
      <alignment horizontal="left"/>
    </xf>
    <xf numFmtId="43" fontId="57" fillId="0" borderId="0"/>
    <xf numFmtId="43" fontId="57" fillId="0" borderId="3">
      <alignment horizontal="center"/>
    </xf>
    <xf numFmtId="235" fontId="25" fillId="0" borderId="0">
      <alignment horizontal="center"/>
    </xf>
    <xf numFmtId="43" fontId="57" fillId="0" borderId="3"/>
    <xf numFmtId="43" fontId="22" fillId="0" borderId="0"/>
    <xf numFmtId="172" fontId="4" fillId="14" borderId="0">
      <alignment horizontal="center"/>
    </xf>
    <xf numFmtId="172" fontId="4" fillId="14" borderId="0">
      <alignment horizontal="center"/>
    </xf>
    <xf numFmtId="172" fontId="22" fillId="14" borderId="0">
      <alignment horizontal="centerContinuous"/>
    </xf>
    <xf numFmtId="172" fontId="22" fillId="14" borderId="3">
      <alignment horizontal="center" wrapText="1"/>
    </xf>
    <xf numFmtId="172" fontId="4" fillId="19" borderId="0">
      <alignment horizontal="center"/>
    </xf>
    <xf numFmtId="172" fontId="4" fillId="19" borderId="0">
      <alignment horizontal="center"/>
    </xf>
    <xf numFmtId="172" fontId="22" fillId="19" borderId="0">
      <alignment horizontal="centerContinuous"/>
    </xf>
    <xf numFmtId="172" fontId="22" fillId="19" borderId="3">
      <alignment horizontal="centerContinuous"/>
    </xf>
    <xf numFmtId="235" fontId="25" fillId="0" borderId="0">
      <alignment horizontal="center" wrapText="1"/>
    </xf>
    <xf numFmtId="172" fontId="24" fillId="0" borderId="0"/>
    <xf numFmtId="43" fontId="24" fillId="0" borderId="0"/>
    <xf numFmtId="43" fontId="24" fillId="0" borderId="0">
      <alignment horizontal="center"/>
    </xf>
    <xf numFmtId="172" fontId="24" fillId="0" borderId="0"/>
    <xf numFmtId="171" fontId="24" fillId="0" borderId="0"/>
    <xf numFmtId="43" fontId="24" fillId="0" borderId="27"/>
    <xf numFmtId="172" fontId="24" fillId="0" borderId="3"/>
    <xf numFmtId="43" fontId="24" fillId="0" borderId="28"/>
    <xf numFmtId="171" fontId="24" fillId="0" borderId="10"/>
    <xf numFmtId="10" fontId="24" fillId="0" borderId="0"/>
    <xf numFmtId="237" fontId="25" fillId="0" borderId="0">
      <alignment horizontal="center"/>
    </xf>
    <xf numFmtId="43" fontId="24" fillId="0" borderId="0"/>
    <xf numFmtId="241" fontId="25" fillId="0" borderId="0">
      <alignment horizontal="center" vertical="top"/>
    </xf>
    <xf numFmtId="14" fontId="22" fillId="0" borderId="0">
      <alignment horizontal="center"/>
    </xf>
    <xf numFmtId="4" fontId="57" fillId="0" borderId="0">
      <alignment horizontal="right" vertical="top"/>
    </xf>
    <xf numFmtId="172" fontId="57" fillId="0" borderId="0">
      <alignment horizontal="center" vertical="top"/>
    </xf>
    <xf numFmtId="172" fontId="24" fillId="0" borderId="3">
      <alignment horizontal="right" vertical="top"/>
    </xf>
    <xf numFmtId="170" fontId="24" fillId="0" borderId="3">
      <alignment horizontal="center" vertical="top"/>
    </xf>
    <xf numFmtId="43" fontId="24" fillId="0" borderId="3">
      <alignment horizontal="center" vertical="top"/>
    </xf>
    <xf numFmtId="235" fontId="24" fillId="0" borderId="3">
      <alignment horizontal="center" vertical="top"/>
    </xf>
    <xf numFmtId="236" fontId="24" fillId="0" borderId="3">
      <alignment horizontal="center" vertical="top" wrapText="1"/>
    </xf>
    <xf numFmtId="237" fontId="25" fillId="0" borderId="0">
      <alignment horizontal="center" wrapText="1"/>
    </xf>
    <xf numFmtId="172" fontId="24" fillId="0" borderId="3">
      <alignment horizontal="center" vertical="top"/>
    </xf>
    <xf numFmtId="172" fontId="24" fillId="0" borderId="3">
      <alignment horizontal="left" vertical="top"/>
    </xf>
    <xf numFmtId="172" fontId="24" fillId="0" borderId="3">
      <alignment vertical="top"/>
    </xf>
    <xf numFmtId="43" fontId="24" fillId="0" borderId="3">
      <alignment horizontal="left" vertical="top"/>
    </xf>
    <xf numFmtId="236" fontId="24" fillId="0" borderId="3">
      <alignment horizontal="center" vertical="top"/>
    </xf>
    <xf numFmtId="43" fontId="4" fillId="0" borderId="0">
      <alignment horizontal="center"/>
    </xf>
    <xf numFmtId="172" fontId="25" fillId="0" borderId="24">
      <alignment horizontal="right" vertical="center"/>
    </xf>
    <xf numFmtId="239" fontId="25" fillId="0" borderId="24">
      <alignment horizontal="left"/>
    </xf>
    <xf numFmtId="242" fontId="25" fillId="0" borderId="24">
      <alignment horizontal="left"/>
    </xf>
    <xf numFmtId="170" fontId="25" fillId="0" borderId="24">
      <alignment horizontal="right" vertical="center"/>
    </xf>
    <xf numFmtId="172" fontId="25" fillId="0" borderId="0">
      <alignment horizontal="left"/>
    </xf>
    <xf numFmtId="172" fontId="25" fillId="0" borderId="10">
      <alignment horizontal="right" vertical="center"/>
    </xf>
    <xf numFmtId="239" fontId="25" fillId="0" borderId="10">
      <alignment horizontal="left"/>
    </xf>
    <xf numFmtId="242" fontId="25" fillId="0" borderId="10">
      <alignment horizontal="left"/>
    </xf>
    <xf numFmtId="170" fontId="25" fillId="0" borderId="10">
      <alignment horizontal="right"/>
    </xf>
    <xf numFmtId="243" fontId="25" fillId="0" borderId="28">
      <alignment horizontal="left"/>
    </xf>
    <xf numFmtId="172" fontId="25" fillId="0" borderId="10">
      <alignment horizontal="left" vertical="center"/>
    </xf>
    <xf numFmtId="171" fontId="4" fillId="0" borderId="0">
      <alignment horizontal="center"/>
    </xf>
    <xf numFmtId="43" fontId="4" fillId="14" borderId="0">
      <alignment horizontal="center"/>
    </xf>
    <xf numFmtId="43" fontId="4" fillId="19" borderId="0">
      <alignment horizontal="center"/>
    </xf>
    <xf numFmtId="242" fontId="25" fillId="0" borderId="0">
      <alignment horizontal="left"/>
    </xf>
    <xf numFmtId="169" fontId="22" fillId="0" borderId="0" applyFill="0" applyBorder="0" applyAlignment="0" applyProtection="0"/>
    <xf numFmtId="172" fontId="77" fillId="0" borderId="0">
      <alignment horizontal="center"/>
    </xf>
    <xf numFmtId="172" fontId="25" fillId="0" borderId="0">
      <alignment horizontal="right"/>
    </xf>
    <xf numFmtId="243" fontId="25" fillId="0" borderId="27">
      <alignment horizontal="left"/>
    </xf>
    <xf numFmtId="43" fontId="24" fillId="0" borderId="26">
      <alignment horizontal="center"/>
    </xf>
    <xf numFmtId="172" fontId="25" fillId="0" borderId="3">
      <alignment horizontal="right" vertical="center"/>
    </xf>
    <xf numFmtId="244" fontId="25" fillId="0" borderId="27">
      <alignment horizontal="left"/>
    </xf>
    <xf numFmtId="172" fontId="24" fillId="13" borderId="0"/>
    <xf numFmtId="172" fontId="24" fillId="13" borderId="0">
      <alignment horizontal="center" vertical="top"/>
    </xf>
    <xf numFmtId="172" fontId="24" fillId="0" borderId="10"/>
    <xf numFmtId="172" fontId="24" fillId="13" borderId="0">
      <alignment horizontal="center" vertical="top"/>
    </xf>
    <xf numFmtId="172" fontId="24" fillId="13" borderId="0">
      <alignment horizontal="right" vertical="top"/>
    </xf>
    <xf numFmtId="170" fontId="24" fillId="13" borderId="0">
      <alignment horizontal="center" vertical="top"/>
    </xf>
    <xf numFmtId="170" fontId="25" fillId="0" borderId="0">
      <alignment horizontal="right"/>
    </xf>
    <xf numFmtId="43" fontId="24" fillId="13" borderId="0">
      <alignment horizontal="center" vertical="top"/>
    </xf>
    <xf numFmtId="235" fontId="24" fillId="13" borderId="0">
      <alignment horizontal="center" vertical="top"/>
    </xf>
    <xf numFmtId="236" fontId="24" fillId="13" borderId="0">
      <alignment horizontal="center" vertical="top"/>
    </xf>
    <xf numFmtId="236" fontId="24" fillId="13" borderId="0">
      <alignment horizontal="center" vertical="top" wrapText="1"/>
    </xf>
    <xf numFmtId="172" fontId="24" fillId="13" borderId="0">
      <alignment horizontal="left" vertical="top"/>
    </xf>
    <xf numFmtId="43" fontId="24" fillId="13" borderId="0">
      <alignment horizontal="left" vertical="top"/>
    </xf>
    <xf numFmtId="43" fontId="24" fillId="13" borderId="0"/>
    <xf numFmtId="172" fontId="24" fillId="14" borderId="0">
      <alignment horizontal="center" vertical="top"/>
    </xf>
    <xf numFmtId="172" fontId="24" fillId="14" borderId="0">
      <alignment horizontal="right" vertical="top"/>
    </xf>
    <xf numFmtId="170" fontId="24" fillId="14" borderId="0">
      <alignment horizontal="center" vertical="top"/>
    </xf>
    <xf numFmtId="172" fontId="24" fillId="0" borderId="0">
      <alignment horizontal="right"/>
    </xf>
    <xf numFmtId="43" fontId="24" fillId="14" borderId="0">
      <alignment horizontal="center" vertical="top"/>
    </xf>
    <xf numFmtId="235" fontId="24" fillId="14" borderId="0">
      <alignment horizontal="center" vertical="top"/>
    </xf>
    <xf numFmtId="236" fontId="24" fillId="14" borderId="0">
      <alignment horizontal="center" vertical="top"/>
    </xf>
    <xf numFmtId="236" fontId="24" fillId="14" borderId="0">
      <alignment horizontal="center" vertical="top" wrapText="1"/>
    </xf>
    <xf numFmtId="172" fontId="24" fillId="14" borderId="0">
      <alignment horizontal="center" vertical="top"/>
    </xf>
    <xf numFmtId="172" fontId="24" fillId="14" borderId="0">
      <alignment horizontal="left" vertical="top"/>
    </xf>
    <xf numFmtId="172" fontId="24" fillId="14" borderId="0"/>
    <xf numFmtId="43" fontId="24" fillId="14" borderId="0">
      <alignment horizontal="left" vertical="top"/>
    </xf>
    <xf numFmtId="235" fontId="24" fillId="14" borderId="0">
      <alignment horizontal="center" vertical="top"/>
    </xf>
    <xf numFmtId="236" fontId="77" fillId="14" borderId="0">
      <alignment horizontal="center" wrapText="1"/>
    </xf>
    <xf numFmtId="172" fontId="24" fillId="0" borderId="0"/>
    <xf numFmtId="172" fontId="24" fillId="14" borderId="0">
      <alignment horizontal="left" vertical="top"/>
    </xf>
    <xf numFmtId="172" fontId="24" fillId="14" borderId="0">
      <alignment horizontal="right"/>
    </xf>
    <xf numFmtId="172" fontId="24" fillId="14" borderId="0">
      <alignment horizontal="right"/>
    </xf>
    <xf numFmtId="4" fontId="57" fillId="14" borderId="0">
      <alignment horizontal="right" vertical="top"/>
    </xf>
    <xf numFmtId="43" fontId="24" fillId="14" borderId="0">
      <alignment horizontal="center" vertical="top"/>
    </xf>
    <xf numFmtId="236" fontId="24" fillId="14" borderId="0">
      <alignment horizontal="center" vertical="top" wrapText="1"/>
    </xf>
    <xf numFmtId="43" fontId="24" fillId="14" borderId="0">
      <alignment horizontal="left" vertical="top"/>
    </xf>
    <xf numFmtId="172" fontId="25" fillId="6" borderId="9">
      <alignment horizontal="right" wrapText="1"/>
    </xf>
    <xf numFmtId="172" fontId="25" fillId="6" borderId="9">
      <alignment horizontal="center" wrapText="1"/>
    </xf>
    <xf numFmtId="170" fontId="25" fillId="6" borderId="9">
      <alignment horizontal="right" wrapText="1"/>
    </xf>
    <xf numFmtId="43" fontId="25" fillId="6" borderId="9">
      <alignment horizontal="center" wrapText="1"/>
    </xf>
    <xf numFmtId="235" fontId="25" fillId="6" borderId="9">
      <alignment horizontal="center" wrapText="1"/>
    </xf>
    <xf numFmtId="235" fontId="25" fillId="6" borderId="9">
      <alignment horizontal="center" wrapText="1"/>
    </xf>
    <xf numFmtId="207" fontId="26" fillId="0" borderId="0">
      <alignment horizontal="left" vertical="center" wrapText="1"/>
    </xf>
    <xf numFmtId="172" fontId="24" fillId="0" borderId="0">
      <alignment horizontal="right"/>
    </xf>
    <xf numFmtId="172" fontId="24" fillId="0" borderId="0"/>
    <xf numFmtId="170" fontId="24" fillId="0" borderId="0">
      <alignment horizontal="right"/>
    </xf>
    <xf numFmtId="43" fontId="24" fillId="0" borderId="0">
      <alignment horizontal="center"/>
    </xf>
    <xf numFmtId="235" fontId="24" fillId="0" borderId="0"/>
    <xf numFmtId="235" fontId="24" fillId="0" borderId="0">
      <alignment wrapText="1"/>
    </xf>
    <xf numFmtId="170" fontId="24" fillId="0" borderId="0">
      <alignment horizontal="center" vertical="top"/>
    </xf>
    <xf numFmtId="172" fontId="24" fillId="0" borderId="0">
      <alignment horizontal="center" vertical="top"/>
    </xf>
    <xf numFmtId="172" fontId="24" fillId="0" borderId="0">
      <alignment horizontal="center" vertical="top"/>
    </xf>
    <xf numFmtId="172" fontId="24" fillId="0" borderId="0">
      <alignment horizontal="left" vertical="top"/>
    </xf>
    <xf numFmtId="172" fontId="24" fillId="0" borderId="0">
      <alignment horizontal="right" vertical="center" wrapText="1"/>
    </xf>
    <xf numFmtId="172" fontId="24" fillId="0" borderId="0">
      <alignment horizontal="right" vertical="top"/>
    </xf>
    <xf numFmtId="170" fontId="24" fillId="0" borderId="0">
      <alignment horizontal="center" vertical="top"/>
    </xf>
    <xf numFmtId="170" fontId="77" fillId="0" borderId="0">
      <alignment horizontal="right"/>
    </xf>
    <xf numFmtId="43" fontId="77" fillId="0" borderId="0">
      <alignment horizontal="center"/>
    </xf>
    <xf numFmtId="235" fontId="77" fillId="0" borderId="0"/>
    <xf numFmtId="236" fontId="77" fillId="0" borderId="0">
      <alignment horizontal="center"/>
    </xf>
    <xf numFmtId="236" fontId="77" fillId="0" borderId="0">
      <alignment horizontal="center" wrapText="1"/>
    </xf>
    <xf numFmtId="235" fontId="77" fillId="0" borderId="0">
      <alignment wrapText="1"/>
    </xf>
    <xf numFmtId="43" fontId="57" fillId="0" borderId="0">
      <alignment horizontal="center"/>
    </xf>
    <xf numFmtId="43" fontId="57" fillId="0" borderId="0"/>
    <xf numFmtId="172" fontId="24" fillId="0" borderId="0">
      <alignment horizontal="center" vertical="center" wrapText="1"/>
    </xf>
    <xf numFmtId="43" fontId="57" fillId="0" borderId="17">
      <alignment horizontal="center" vertical="center"/>
    </xf>
    <xf numFmtId="43" fontId="57" fillId="0" borderId="12">
      <alignment horizontal="center" vertical="center"/>
    </xf>
    <xf numFmtId="43" fontId="81" fillId="0" borderId="12">
      <alignment horizontal="center" vertical="center"/>
    </xf>
    <xf numFmtId="43" fontId="81" fillId="0" borderId="13">
      <alignment horizontal="center"/>
    </xf>
    <xf numFmtId="43" fontId="81" fillId="0" borderId="0">
      <alignment horizontal="center"/>
    </xf>
    <xf numFmtId="2" fontId="81" fillId="0" borderId="0">
      <alignment horizontal="center"/>
    </xf>
    <xf numFmtId="43" fontId="81" fillId="0" borderId="14">
      <alignment horizontal="center"/>
    </xf>
    <xf numFmtId="43" fontId="81" fillId="0" borderId="0">
      <alignment horizontal="center"/>
    </xf>
    <xf numFmtId="172" fontId="81" fillId="0" borderId="0">
      <alignment horizontal="center" wrapText="1"/>
    </xf>
    <xf numFmtId="172" fontId="81" fillId="0" borderId="3">
      <alignment horizontal="center" wrapText="1"/>
    </xf>
    <xf numFmtId="170" fontId="24" fillId="0" borderId="0">
      <alignment horizontal="right" vertical="center" wrapText="1"/>
    </xf>
    <xf numFmtId="165" fontId="81" fillId="0" borderId="3">
      <alignment horizontal="center" wrapText="1"/>
    </xf>
    <xf numFmtId="43" fontId="89" fillId="0" borderId="0">
      <alignment horizontal="left"/>
    </xf>
    <xf numFmtId="43" fontId="81" fillId="0" borderId="0">
      <alignment horizontal="center" wrapText="1"/>
    </xf>
    <xf numFmtId="43" fontId="81" fillId="0" borderId="0">
      <alignment wrapText="1"/>
    </xf>
    <xf numFmtId="43" fontId="81" fillId="6" borderId="9">
      <alignment horizontal="right" wrapText="1"/>
    </xf>
    <xf numFmtId="43" fontId="81" fillId="6" borderId="9">
      <alignment horizontal="center" wrapText="1"/>
    </xf>
    <xf numFmtId="172" fontId="4" fillId="0" borderId="0"/>
    <xf numFmtId="172" fontId="4" fillId="0" borderId="0">
      <alignment horizontal="center"/>
    </xf>
    <xf numFmtId="172" fontId="4" fillId="0" borderId="0">
      <alignment horizontal="left"/>
    </xf>
    <xf numFmtId="172" fontId="4" fillId="0" borderId="0">
      <alignment horizontal="center"/>
    </xf>
    <xf numFmtId="43" fontId="25" fillId="0" borderId="0">
      <alignment horizontal="center" vertical="center" wrapText="1"/>
    </xf>
    <xf numFmtId="172" fontId="22" fillId="0" borderId="0">
      <alignment horizontal="center"/>
    </xf>
    <xf numFmtId="172" fontId="4" fillId="0" borderId="0"/>
    <xf numFmtId="172" fontId="82" fillId="0" borderId="0">
      <alignment horizontal="left" vertical="center"/>
    </xf>
    <xf numFmtId="172" fontId="25" fillId="0" borderId="27"/>
    <xf numFmtId="172" fontId="25" fillId="0" borderId="0"/>
    <xf numFmtId="43" fontId="25" fillId="0" borderId="0"/>
    <xf numFmtId="43" fontId="25" fillId="0" borderId="0">
      <alignment horizontal="center"/>
    </xf>
    <xf numFmtId="172" fontId="25" fillId="0" borderId="0">
      <alignment horizontal="center"/>
    </xf>
    <xf numFmtId="172" fontId="25" fillId="6" borderId="24">
      <alignment horizontal="center"/>
    </xf>
    <xf numFmtId="49" fontId="24" fillId="0" borderId="0">
      <alignment horizontal="left"/>
    </xf>
    <xf numFmtId="235" fontId="25" fillId="0" borderId="0">
      <alignment horizontal="center" vertical="center" wrapText="1"/>
    </xf>
    <xf numFmtId="49" fontId="24" fillId="0" borderId="13">
      <alignment horizontal="left"/>
    </xf>
    <xf numFmtId="49" fontId="24" fillId="0" borderId="15">
      <alignment horizontal="left"/>
    </xf>
    <xf numFmtId="172" fontId="79" fillId="0" borderId="14"/>
    <xf numFmtId="49" fontId="24" fillId="0" borderId="14">
      <alignment horizontal="left"/>
    </xf>
    <xf numFmtId="172" fontId="4" fillId="0" borderId="0">
      <alignment horizontal="center"/>
    </xf>
    <xf numFmtId="172" fontId="4" fillId="0" borderId="0"/>
    <xf numFmtId="172" fontId="4" fillId="0" borderId="0"/>
    <xf numFmtId="172" fontId="22" fillId="0" borderId="0">
      <alignment horizontal="right"/>
    </xf>
    <xf numFmtId="172" fontId="22" fillId="0" borderId="0">
      <alignment horizontal="center"/>
    </xf>
    <xf numFmtId="172" fontId="22" fillId="0" borderId="3"/>
    <xf numFmtId="172" fontId="25" fillId="0" borderId="0">
      <alignment horizontal="left" vertical="center" wrapText="1"/>
    </xf>
    <xf numFmtId="172" fontId="22" fillId="0" borderId="3">
      <alignment horizontal="center"/>
    </xf>
    <xf numFmtId="172" fontId="22" fillId="0" borderId="3">
      <alignment horizontal="center" wrapText="1"/>
    </xf>
    <xf numFmtId="172" fontId="22" fillId="0" borderId="0"/>
    <xf numFmtId="172" fontId="22" fillId="0" borderId="3">
      <alignment horizontal="center" wrapText="1"/>
    </xf>
    <xf numFmtId="172" fontId="22" fillId="0" borderId="0">
      <alignment horizontal="center"/>
    </xf>
    <xf numFmtId="172" fontId="22" fillId="0" borderId="3">
      <alignment horizontal="center"/>
    </xf>
    <xf numFmtId="172" fontId="22" fillId="0" borderId="0"/>
    <xf numFmtId="172" fontId="22" fillId="0" borderId="3">
      <alignment horizontal="left" wrapText="1"/>
    </xf>
    <xf numFmtId="236" fontId="4" fillId="0" borderId="0">
      <alignment horizontal="center"/>
    </xf>
    <xf numFmtId="236" fontId="4" fillId="0" borderId="0">
      <alignment horizontal="left"/>
    </xf>
    <xf numFmtId="0" fontId="90" fillId="0" borderId="0"/>
    <xf numFmtId="10" fontId="8" fillId="0" borderId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227" fontId="8" fillId="0" borderId="0"/>
    <xf numFmtId="0" fontId="91" fillId="6" borderId="0"/>
    <xf numFmtId="0" fontId="56" fillId="0" borderId="0" applyNumberFormat="0" applyFont="0" applyFill="0" applyBorder="0" applyAlignment="0" applyProtection="0">
      <alignment horizontal="left"/>
    </xf>
    <xf numFmtId="15" fontId="56" fillId="0" borderId="0" applyFont="0" applyFill="0" applyBorder="0" applyAlignment="0" applyProtection="0"/>
    <xf numFmtId="4" fontId="56" fillId="0" borderId="0" applyFont="0" applyFill="0" applyBorder="0" applyAlignment="0" applyProtection="0"/>
    <xf numFmtId="0" fontId="92" fillId="0" borderId="10">
      <alignment horizontal="center"/>
    </xf>
    <xf numFmtId="3" fontId="56" fillId="0" borderId="0" applyFont="0" applyFill="0" applyBorder="0" applyAlignment="0" applyProtection="0"/>
    <xf numFmtId="0" fontId="56" fillId="20" borderId="0" applyNumberFormat="0" applyFont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245" fontId="93" fillId="0" borderId="0"/>
    <xf numFmtId="0" fontId="8" fillId="0" borderId="0" applyFont="0" applyFill="0" applyBorder="0" applyProtection="0">
      <alignment horizontal="right"/>
    </xf>
    <xf numFmtId="0" fontId="8" fillId="0" borderId="0" applyFont="0" applyFill="0" applyBorder="0" applyProtection="0">
      <alignment horizontal="right"/>
    </xf>
    <xf numFmtId="0" fontId="8" fillId="0" borderId="0" applyFont="0" applyFill="0" applyBorder="0" applyProtection="0">
      <alignment horizontal="right"/>
    </xf>
    <xf numFmtId="0" fontId="94" fillId="21" borderId="0" applyNumberFormat="0" applyFont="0" applyBorder="0" applyAlignment="0">
      <alignment horizontal="center"/>
    </xf>
    <xf numFmtId="14" fontId="43" fillId="0" borderId="0" applyNumberFormat="0" applyFill="0" applyBorder="0" applyAlignment="0" applyProtection="0">
      <alignment horizontal="left"/>
    </xf>
    <xf numFmtId="49" fontId="4" fillId="0" borderId="0" applyFont="0" applyFill="0" applyBorder="0" applyProtection="0">
      <alignment horizontal="right"/>
    </xf>
    <xf numFmtId="49" fontId="22" fillId="0" borderId="0" applyFill="0" applyBorder="0" applyProtection="0">
      <alignment horizontal="right"/>
    </xf>
    <xf numFmtId="49" fontId="22" fillId="0" borderId="3" applyFill="0" applyProtection="0">
      <alignment horizontal="right"/>
    </xf>
    <xf numFmtId="49" fontId="22" fillId="0" borderId="12" applyFill="0" applyProtection="0">
      <alignment horizontal="right"/>
    </xf>
    <xf numFmtId="0" fontId="66" fillId="0" borderId="0" applyFill="0" applyBorder="0" applyProtection="0">
      <alignment horizontal="left"/>
    </xf>
    <xf numFmtId="0" fontId="15" fillId="22" borderId="0"/>
    <xf numFmtId="0" fontId="94" fillId="1" borderId="8" applyNumberFormat="0" applyFont="0" applyAlignment="0">
      <alignment horizontal="center"/>
    </xf>
    <xf numFmtId="246" fontId="95" fillId="0" borderId="0" applyFont="0" applyFill="0" applyBorder="0" applyAlignment="0" applyProtection="0"/>
    <xf numFmtId="1" fontId="8" fillId="0" borderId="0"/>
    <xf numFmtId="0" fontId="4" fillId="0" borderId="0" applyFont="0" applyFill="0" applyBorder="0" applyAlignment="0" applyProtection="0"/>
    <xf numFmtId="0" fontId="22" fillId="0" borderId="0" applyFill="0" applyBorder="0" applyAlignment="0" applyProtection="0"/>
    <xf numFmtId="42" fontId="23" fillId="0" borderId="0" applyFill="0" applyBorder="0" applyAlignment="0" applyProtection="0"/>
    <xf numFmtId="0" fontId="96" fillId="0" borderId="0" applyNumberFormat="0" applyFill="0" applyBorder="0" applyAlignment="0">
      <alignment horizontal="center"/>
    </xf>
    <xf numFmtId="12" fontId="8" fillId="0" borderId="0" applyFont="0" applyFill="0" applyBorder="0" applyProtection="0">
      <alignment horizontal="right"/>
    </xf>
    <xf numFmtId="0" fontId="8" fillId="23" borderId="0" applyFont="0" applyFill="0" applyBorder="0" applyProtection="0">
      <alignment horizontal="right"/>
    </xf>
    <xf numFmtId="0" fontId="6" fillId="0" borderId="0">
      <alignment vertical="top"/>
    </xf>
    <xf numFmtId="0" fontId="81" fillId="0" borderId="0" applyNumberFormat="0" applyFill="0" applyBorder="0" applyProtection="0">
      <alignment horizontal="left"/>
    </xf>
    <xf numFmtId="0" fontId="24" fillId="0" borderId="0" applyNumberFormat="0" applyFill="0" applyBorder="0" applyProtection="0">
      <alignment horizontal="left"/>
    </xf>
    <xf numFmtId="0" fontId="24" fillId="0" borderId="0" applyNumberFormat="0" applyFill="0" applyBorder="0" applyProtection="0">
      <alignment horizontal="left"/>
    </xf>
    <xf numFmtId="0" fontId="25" fillId="0" borderId="0" applyNumberFormat="0" applyFill="0" applyBorder="0" applyProtection="0">
      <alignment horizontal="left"/>
    </xf>
    <xf numFmtId="0" fontId="25" fillId="0" borderId="0" applyFill="0" applyBorder="0" applyProtection="0">
      <alignment horizontal="left" wrapText="1"/>
    </xf>
    <xf numFmtId="0" fontId="25" fillId="0" borderId="0" applyNumberFormat="0" applyFill="0" applyBorder="0" applyProtection="0">
      <alignment horizontal="right" wrapText="1"/>
    </xf>
    <xf numFmtId="1" fontId="24" fillId="0" borderId="0" applyFill="0" applyBorder="0" applyProtection="0">
      <alignment horizontal="left"/>
    </xf>
    <xf numFmtId="49" fontId="24" fillId="0" borderId="0" applyFill="0" applyBorder="0" applyProtection="0">
      <alignment horizontal="left"/>
    </xf>
    <xf numFmtId="1" fontId="24" fillId="0" borderId="0" applyFill="0" applyBorder="0" applyProtection="0">
      <alignment horizontal="center"/>
    </xf>
    <xf numFmtId="37" fontId="24" fillId="0" borderId="0" applyFill="0" applyBorder="0" applyProtection="0">
      <alignment horizontal="right"/>
    </xf>
    <xf numFmtId="7" fontId="24" fillId="0" borderId="0" applyFill="0" applyBorder="0" applyProtection="0">
      <alignment horizontal="right"/>
    </xf>
    <xf numFmtId="247" fontId="24" fillId="0" borderId="0" applyFill="0" applyBorder="0" applyProtection="0">
      <alignment horizontal="left"/>
    </xf>
    <xf numFmtId="37" fontId="25" fillId="0" borderId="0" applyFill="0" applyBorder="0" applyProtection="0">
      <alignment horizontal="right"/>
    </xf>
    <xf numFmtId="7" fontId="25" fillId="0" borderId="0" applyFill="0" applyBorder="0" applyProtection="0">
      <alignment horizontal="right"/>
    </xf>
    <xf numFmtId="248" fontId="24" fillId="0" borderId="0" applyFill="0" applyBorder="0" applyProtection="0">
      <alignment horizontal="right"/>
    </xf>
    <xf numFmtId="249" fontId="24" fillId="0" borderId="0" applyFill="0" applyBorder="0" applyProtection="0">
      <alignment horizontal="right"/>
    </xf>
    <xf numFmtId="250" fontId="24" fillId="0" borderId="0" applyFill="0" applyBorder="0" applyProtection="0">
      <alignment horizontal="right"/>
    </xf>
    <xf numFmtId="14" fontId="24" fillId="0" borderId="0" applyFill="0" applyBorder="0" applyProtection="0">
      <alignment horizontal="right"/>
    </xf>
    <xf numFmtId="14" fontId="24" fillId="0" borderId="0" applyFill="0" applyBorder="0" applyProtection="0">
      <alignment horizontal="right"/>
    </xf>
    <xf numFmtId="251" fontId="24" fillId="0" borderId="0" applyFill="0" applyBorder="0" applyProtection="0">
      <alignment horizontal="left"/>
    </xf>
    <xf numFmtId="252" fontId="24" fillId="0" borderId="0" applyFill="0" applyBorder="0" applyProtection="0">
      <alignment horizontal="left"/>
    </xf>
    <xf numFmtId="248" fontId="25" fillId="0" borderId="0" applyFill="0" applyBorder="0" applyProtection="0">
      <alignment horizontal="right"/>
    </xf>
    <xf numFmtId="1" fontId="25" fillId="0" borderId="0" applyFill="0" applyBorder="0" applyProtection="0">
      <alignment horizontal="left"/>
    </xf>
    <xf numFmtId="247" fontId="25" fillId="0" borderId="0" applyFill="0" applyBorder="0" applyProtection="0">
      <alignment horizontal="left"/>
    </xf>
    <xf numFmtId="37" fontId="25" fillId="0" borderId="0" applyFill="0" applyBorder="0" applyProtection="0">
      <alignment horizontal="right"/>
    </xf>
    <xf numFmtId="1" fontId="97" fillId="0" borderId="0" applyFill="0" applyBorder="0" applyProtection="0">
      <alignment horizontal="left"/>
    </xf>
    <xf numFmtId="49" fontId="24" fillId="0" borderId="0" applyFill="0" applyBorder="0" applyProtection="0">
      <alignment horizontal="left"/>
    </xf>
    <xf numFmtId="252" fontId="24" fillId="0" borderId="0" applyFill="0" applyBorder="0" applyProtection="0">
      <alignment horizontal="left"/>
    </xf>
    <xf numFmtId="0" fontId="6" fillId="0" borderId="0" applyNumberFormat="0" applyBorder="0" applyAlignment="0"/>
    <xf numFmtId="0" fontId="16" fillId="0" borderId="0"/>
    <xf numFmtId="40" fontId="98" fillId="0" borderId="0" applyBorder="0">
      <alignment horizontal="right"/>
    </xf>
    <xf numFmtId="6" fontId="72" fillId="0" borderId="36" applyFill="0">
      <alignment vertical="center"/>
    </xf>
    <xf numFmtId="0" fontId="17" fillId="0" borderId="0"/>
    <xf numFmtId="0" fontId="99" fillId="0" borderId="0"/>
    <xf numFmtId="0" fontId="4" fillId="0" borderId="0"/>
    <xf numFmtId="49" fontId="6" fillId="0" borderId="0" applyFill="0" applyBorder="0" applyAlignment="0"/>
    <xf numFmtId="0" fontId="28" fillId="0" borderId="0" applyFill="0" applyBorder="0" applyAlignment="0"/>
    <xf numFmtId="201" fontId="8" fillId="0" borderId="0" applyFill="0" applyBorder="0" applyAlignment="0"/>
    <xf numFmtId="0" fontId="18" fillId="0" borderId="0"/>
    <xf numFmtId="0" fontId="19" fillId="0" borderId="0"/>
    <xf numFmtId="0" fontId="20" fillId="0" borderId="0">
      <alignment vertical="top"/>
    </xf>
    <xf numFmtId="253" fontId="72" fillId="0" borderId="0" applyFill="0" applyBorder="0">
      <alignment vertical="center"/>
    </xf>
    <xf numFmtId="0" fontId="24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38" fontId="100" fillId="0" borderId="0" applyNumberFormat="0" applyFill="0" applyBorder="0">
      <alignment horizontal="left" vertical="center"/>
    </xf>
    <xf numFmtId="38" fontId="101" fillId="0" borderId="0" applyNumberFormat="0" applyFill="0" applyBorder="0">
      <alignment horizontal="centerContinuous" vertical="center"/>
    </xf>
    <xf numFmtId="0" fontId="21" fillId="0" borderId="0">
      <alignment vertical="top"/>
    </xf>
    <xf numFmtId="0" fontId="10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27" fillId="0" borderId="0" applyFill="0" applyBorder="0" applyAlignment="0" applyProtection="0"/>
    <xf numFmtId="0" fontId="18" fillId="0" borderId="0">
      <alignment wrapText="1"/>
    </xf>
    <xf numFmtId="0" fontId="103" fillId="0" borderId="0">
      <alignment horizontal="left"/>
      <protection locked="0"/>
    </xf>
    <xf numFmtId="5" fontId="88" fillId="0" borderId="0">
      <alignment vertical="center"/>
    </xf>
    <xf numFmtId="223" fontId="28" fillId="0" borderId="0"/>
    <xf numFmtId="254" fontId="29" fillId="0" borderId="0" applyFill="0" applyBorder="0" applyAlignment="0" applyProtection="0"/>
    <xf numFmtId="14" fontId="24" fillId="0" borderId="0" applyFont="0" applyFill="0" applyBorder="0" applyProtection="0"/>
    <xf numFmtId="255" fontId="104" fillId="0" borderId="0" applyFill="0" applyBorder="0">
      <alignment vertical="center"/>
    </xf>
    <xf numFmtId="0" fontId="72" fillId="24" borderId="37" applyNumberFormat="0" applyFont="0" applyBorder="0" applyAlignment="0" applyProtection="0">
      <alignment horizontal="right"/>
    </xf>
    <xf numFmtId="256" fontId="23" fillId="0" borderId="0" applyFont="0" applyFill="0" applyBorder="0" applyAlignment="0" applyProtection="0"/>
    <xf numFmtId="255" fontId="105" fillId="0" borderId="0">
      <alignment horizontal="center"/>
    </xf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210">
    <xf numFmtId="0" fontId="0" fillId="0" borderId="0" xfId="0"/>
    <xf numFmtId="0" fontId="109" fillId="0" borderId="0" xfId="0" applyFont="1"/>
    <xf numFmtId="0" fontId="113" fillId="0" borderId="0" xfId="0" applyFont="1"/>
    <xf numFmtId="0" fontId="114" fillId="26" borderId="0" xfId="0" applyFont="1" applyFill="1" applyAlignment="1">
      <alignment horizontal="left"/>
    </xf>
    <xf numFmtId="0" fontId="113" fillId="26" borderId="0" xfId="0" applyFont="1" applyFill="1"/>
    <xf numFmtId="0" fontId="115" fillId="27" borderId="0" xfId="0" applyFont="1" applyFill="1" applyAlignment="1">
      <alignment horizontal="left" indent="1"/>
    </xf>
    <xf numFmtId="37" fontId="109" fillId="0" borderId="0" xfId="0" applyNumberFormat="1" applyFont="1"/>
    <xf numFmtId="0" fontId="113" fillId="0" borderId="0" xfId="897" applyFont="1"/>
    <xf numFmtId="0" fontId="109" fillId="0" borderId="0" xfId="897" applyFont="1"/>
    <xf numFmtId="0" fontId="110" fillId="0" borderId="0" xfId="899" applyFont="1"/>
    <xf numFmtId="168" fontId="113" fillId="26" borderId="0" xfId="899" applyNumberFormat="1" applyFont="1" applyFill="1" applyAlignment="1">
      <alignment horizontal="center"/>
    </xf>
    <xf numFmtId="0" fontId="113" fillId="0" borderId="0" xfId="899" applyFont="1"/>
    <xf numFmtId="0" fontId="111" fillId="0" borderId="0" xfId="899" applyFont="1"/>
    <xf numFmtId="0" fontId="113" fillId="26" borderId="3" xfId="899" applyFont="1" applyFill="1" applyBorder="1"/>
    <xf numFmtId="0" fontId="109" fillId="26" borderId="3" xfId="899" applyFont="1" applyFill="1" applyBorder="1"/>
    <xf numFmtId="0" fontId="109" fillId="26" borderId="0" xfId="899" applyFont="1" applyFill="1"/>
    <xf numFmtId="0" fontId="109" fillId="0" borderId="0" xfId="899" applyFont="1"/>
    <xf numFmtId="0" fontId="109" fillId="0" borderId="0" xfId="899" applyFont="1" applyAlignment="1">
      <alignment horizontal="left"/>
    </xf>
    <xf numFmtId="165" fontId="112" fillId="0" borderId="0" xfId="899" applyNumberFormat="1" applyFont="1"/>
    <xf numFmtId="165" fontId="109" fillId="0" borderId="0" xfId="899" applyNumberFormat="1" applyFont="1"/>
    <xf numFmtId="0" fontId="115" fillId="0" borderId="0" xfId="899" applyFont="1"/>
    <xf numFmtId="169" fontId="116" fillId="27" borderId="0" xfId="901" applyNumberFormat="1" applyFont="1" applyFill="1" applyBorder="1"/>
    <xf numFmtId="165" fontId="113" fillId="0" borderId="0" xfId="899" applyNumberFormat="1" applyFont="1"/>
    <xf numFmtId="0" fontId="115" fillId="27" borderId="0" xfId="899" applyFont="1" applyFill="1" applyAlignment="1">
      <alignment horizontal="left" indent="1"/>
    </xf>
    <xf numFmtId="37" fontId="109" fillId="0" borderId="0" xfId="899" applyNumberFormat="1" applyFont="1"/>
    <xf numFmtId="169" fontId="115" fillId="27" borderId="0" xfId="901" applyNumberFormat="1" applyFont="1" applyFill="1"/>
    <xf numFmtId="169" fontId="109" fillId="0" borderId="0" xfId="901" applyNumberFormat="1" applyFont="1" applyFill="1" applyBorder="1" applyAlignment="1">
      <alignment horizontal="right"/>
    </xf>
    <xf numFmtId="0" fontId="1" fillId="0" borderId="0" xfId="899"/>
    <xf numFmtId="168" fontId="113" fillId="26" borderId="3" xfId="899" applyNumberFormat="1" applyFont="1" applyFill="1" applyBorder="1" applyAlignment="1">
      <alignment horizontal="center"/>
    </xf>
    <xf numFmtId="169" fontId="116" fillId="27" borderId="0" xfId="901" applyNumberFormat="1" applyFont="1" applyFill="1"/>
    <xf numFmtId="169" fontId="116" fillId="0" borderId="0" xfId="901" applyNumberFormat="1" applyFont="1" applyFill="1"/>
    <xf numFmtId="165" fontId="118" fillId="0" borderId="0" xfId="899" applyNumberFormat="1" applyFont="1"/>
    <xf numFmtId="0" fontId="113" fillId="0" borderId="0" xfId="899" applyFont="1" applyAlignment="1">
      <alignment horizontal="left"/>
    </xf>
    <xf numFmtId="0" fontId="120" fillId="0" borderId="0" xfId="899" applyFont="1"/>
    <xf numFmtId="165" fontId="117" fillId="0" borderId="0" xfId="899" applyNumberFormat="1" applyFont="1"/>
    <xf numFmtId="0" fontId="115" fillId="27" borderId="0" xfId="899" applyFont="1" applyFill="1" applyAlignment="1">
      <alignment horizontal="left"/>
    </xf>
    <xf numFmtId="169" fontId="116" fillId="0" borderId="0" xfId="901" applyNumberFormat="1" applyFont="1" applyFill="1" applyBorder="1"/>
    <xf numFmtId="257" fontId="113" fillId="0" borderId="0" xfId="899" applyNumberFormat="1" applyFont="1" applyAlignment="1">
      <alignment horizontal="center"/>
    </xf>
    <xf numFmtId="257" fontId="109" fillId="0" borderId="0" xfId="899" applyNumberFormat="1" applyFont="1"/>
    <xf numFmtId="167" fontId="109" fillId="0" borderId="0" xfId="899" applyNumberFormat="1" applyFont="1"/>
    <xf numFmtId="0" fontId="113" fillId="0" borderId="3" xfId="899" applyFont="1" applyBorder="1"/>
    <xf numFmtId="166" fontId="113" fillId="0" borderId="3" xfId="899" applyNumberFormat="1" applyFont="1" applyBorder="1" applyAlignment="1">
      <alignment horizontal="right"/>
    </xf>
    <xf numFmtId="166" fontId="113" fillId="0" borderId="0" xfId="899" applyNumberFormat="1" applyFont="1"/>
    <xf numFmtId="0" fontId="113" fillId="26" borderId="0" xfId="899" applyFont="1" applyFill="1"/>
    <xf numFmtId="169" fontId="109" fillId="0" borderId="0" xfId="901" applyNumberFormat="1" applyFont="1" applyFill="1" applyBorder="1"/>
    <xf numFmtId="258" fontId="109" fillId="0" borderId="0" xfId="899" applyNumberFormat="1" applyFont="1" applyAlignment="1">
      <alignment horizontal="right"/>
    </xf>
    <xf numFmtId="168" fontId="113" fillId="26" borderId="3" xfId="899" applyNumberFormat="1" applyFont="1" applyFill="1" applyBorder="1" applyAlignment="1">
      <alignment horizontal="centerContinuous"/>
    </xf>
    <xf numFmtId="165" fontId="113" fillId="0" borderId="0" xfId="899" applyNumberFormat="1" applyFont="1" applyAlignment="1">
      <alignment horizontal="right"/>
    </xf>
    <xf numFmtId="169" fontId="115" fillId="27" borderId="0" xfId="901" applyNumberFormat="1" applyFont="1" applyFill="1" applyAlignment="1">
      <alignment horizontal="right"/>
    </xf>
    <xf numFmtId="37" fontId="109" fillId="0" borderId="0" xfId="899" applyNumberFormat="1" applyFont="1" applyAlignment="1">
      <alignment horizontal="right"/>
    </xf>
    <xf numFmtId="0" fontId="113" fillId="0" borderId="39" xfId="899" applyFont="1" applyBorder="1"/>
    <xf numFmtId="165" fontId="113" fillId="0" borderId="39" xfId="899" applyNumberFormat="1" applyFont="1" applyBorder="1"/>
    <xf numFmtId="0" fontId="115" fillId="27" borderId="0" xfId="899" applyFont="1" applyFill="1"/>
    <xf numFmtId="170" fontId="113" fillId="0" borderId="0" xfId="900" applyNumberFormat="1" applyFont="1" applyFill="1"/>
    <xf numFmtId="170" fontId="109" fillId="0" borderId="0" xfId="900" applyNumberFormat="1" applyFont="1" applyFill="1"/>
    <xf numFmtId="170" fontId="113" fillId="0" borderId="39" xfId="900" applyNumberFormat="1" applyFont="1" applyFill="1" applyBorder="1" applyAlignment="1">
      <alignment horizontal="right"/>
    </xf>
    <xf numFmtId="170" fontId="113" fillId="0" borderId="0" xfId="900" applyNumberFormat="1" applyFont="1" applyFill="1" applyBorder="1" applyAlignment="1">
      <alignment horizontal="right"/>
    </xf>
    <xf numFmtId="170" fontId="109" fillId="0" borderId="0" xfId="900" applyNumberFormat="1" applyFont="1"/>
    <xf numFmtId="170" fontId="109" fillId="0" borderId="0" xfId="900" applyNumberFormat="1" applyFont="1" applyFill="1" applyBorder="1" applyAlignment="1">
      <alignment horizontal="right"/>
    </xf>
    <xf numFmtId="0" fontId="109" fillId="0" borderId="0" xfId="899" applyFont="1" applyAlignment="1">
      <alignment horizontal="right"/>
    </xf>
    <xf numFmtId="258" fontId="113" fillId="0" borderId="0" xfId="899" applyNumberFormat="1" applyFont="1" applyAlignment="1">
      <alignment horizontal="right"/>
    </xf>
    <xf numFmtId="9" fontId="115" fillId="27" borderId="0" xfId="901" applyFont="1" applyFill="1" applyAlignment="1">
      <alignment horizontal="right"/>
    </xf>
    <xf numFmtId="259" fontId="113" fillId="0" borderId="0" xfId="899" applyNumberFormat="1" applyFont="1" applyAlignment="1">
      <alignment horizontal="right"/>
    </xf>
    <xf numFmtId="0" fontId="115" fillId="0" borderId="0" xfId="899" applyFont="1" applyAlignment="1">
      <alignment horizontal="left"/>
    </xf>
    <xf numFmtId="258" fontId="113" fillId="0" borderId="8" xfId="897" applyNumberFormat="1" applyFont="1" applyBorder="1"/>
    <xf numFmtId="0" fontId="109" fillId="0" borderId="0" xfId="0" applyFont="1" applyAlignment="1">
      <alignment horizontal="left" indent="1"/>
    </xf>
    <xf numFmtId="0" fontId="109" fillId="0" borderId="0" xfId="899" applyFont="1" applyAlignment="1">
      <alignment horizontal="left" indent="1"/>
    </xf>
    <xf numFmtId="260" fontId="112" fillId="0" borderId="0" xfId="899" applyNumberFormat="1" applyFont="1"/>
    <xf numFmtId="165" fontId="111" fillId="0" borderId="0" xfId="899" applyNumberFormat="1" applyFont="1"/>
    <xf numFmtId="3" fontId="0" fillId="0" borderId="0" xfId="0" applyNumberFormat="1"/>
    <xf numFmtId="3" fontId="109" fillId="0" borderId="0" xfId="899" applyNumberFormat="1" applyFont="1"/>
    <xf numFmtId="3" fontId="113" fillId="0" borderId="0" xfId="899" applyNumberFormat="1" applyFont="1"/>
    <xf numFmtId="260" fontId="1" fillId="0" borderId="0" xfId="899" applyNumberFormat="1"/>
    <xf numFmtId="0" fontId="122" fillId="0" borderId="0" xfId="899" applyFont="1"/>
    <xf numFmtId="0" fontId="123" fillId="0" borderId="0" xfId="899" applyFont="1"/>
    <xf numFmtId="39" fontId="109" fillId="0" borderId="0" xfId="0" applyNumberFormat="1" applyFont="1"/>
    <xf numFmtId="0" fontId="115" fillId="0" borderId="0" xfId="899" applyFont="1" applyAlignment="1">
      <alignment horizontal="left" indent="1"/>
    </xf>
    <xf numFmtId="165" fontId="120" fillId="0" borderId="0" xfId="899" applyNumberFormat="1" applyFont="1"/>
    <xf numFmtId="0" fontId="125" fillId="0" borderId="0" xfId="899" applyFont="1"/>
    <xf numFmtId="165" fontId="113" fillId="0" borderId="0" xfId="901" applyNumberFormat="1" applyFont="1" applyFill="1" applyBorder="1"/>
    <xf numFmtId="170" fontId="109" fillId="0" borderId="0" xfId="897" applyNumberFormat="1" applyFont="1"/>
    <xf numFmtId="165" fontId="119" fillId="0" borderId="0" xfId="899" applyNumberFormat="1" applyFont="1"/>
    <xf numFmtId="43" fontId="0" fillId="0" borderId="0" xfId="0" applyNumberFormat="1"/>
    <xf numFmtId="165" fontId="123" fillId="0" borderId="0" xfId="899" applyNumberFormat="1" applyFont="1"/>
    <xf numFmtId="165" fontId="112" fillId="28" borderId="0" xfId="899" applyNumberFormat="1" applyFont="1" applyFill="1"/>
    <xf numFmtId="165" fontId="109" fillId="28" borderId="0" xfId="899" applyNumberFormat="1" applyFont="1" applyFill="1"/>
    <xf numFmtId="37" fontId="109" fillId="28" borderId="0" xfId="899" applyNumberFormat="1" applyFont="1" applyFill="1"/>
    <xf numFmtId="0" fontId="113" fillId="28" borderId="0" xfId="899" applyFont="1" applyFill="1" applyAlignment="1">
      <alignment horizontal="left"/>
    </xf>
    <xf numFmtId="0" fontId="109" fillId="27" borderId="0" xfId="899" applyFont="1" applyFill="1" applyAlignment="1">
      <alignment horizontal="left"/>
    </xf>
    <xf numFmtId="169" fontId="109" fillId="27" borderId="0" xfId="901" applyNumberFormat="1" applyFont="1" applyFill="1" applyBorder="1" applyAlignment="1">
      <alignment horizontal="right"/>
    </xf>
    <xf numFmtId="169" fontId="115" fillId="0" borderId="0" xfId="901" applyNumberFormat="1" applyFont="1" applyFill="1"/>
    <xf numFmtId="0" fontId="7" fillId="0" borderId="0" xfId="0" applyFont="1"/>
    <xf numFmtId="3" fontId="7" fillId="0" borderId="0" xfId="0" applyNumberFormat="1" applyFont="1"/>
    <xf numFmtId="17" fontId="113" fillId="0" borderId="0" xfId="899" applyNumberFormat="1" applyFont="1"/>
    <xf numFmtId="37" fontId="115" fillId="0" borderId="0" xfId="0" applyNumberFormat="1" applyFont="1"/>
    <xf numFmtId="165" fontId="109" fillId="0" borderId="0" xfId="899" applyNumberFormat="1" applyFont="1" applyAlignment="1">
      <alignment horizontal="right"/>
    </xf>
    <xf numFmtId="170" fontId="109" fillId="0" borderId="0" xfId="900" applyNumberFormat="1" applyFont="1" applyAlignment="1">
      <alignment horizontal="right"/>
    </xf>
    <xf numFmtId="169" fontId="113" fillId="0" borderId="3" xfId="901" applyNumberFormat="1" applyFont="1" applyFill="1" applyBorder="1"/>
    <xf numFmtId="0" fontId="123" fillId="28" borderId="0" xfId="899" applyFont="1" applyFill="1"/>
    <xf numFmtId="0" fontId="123" fillId="27" borderId="0" xfId="899" applyFont="1" applyFill="1"/>
    <xf numFmtId="0" fontId="117" fillId="0" borderId="0" xfId="899" applyFont="1"/>
    <xf numFmtId="165" fontId="109" fillId="27" borderId="0" xfId="899" applyNumberFormat="1" applyFont="1" applyFill="1"/>
    <xf numFmtId="37" fontId="115" fillId="27" borderId="0" xfId="0" applyNumberFormat="1" applyFont="1" applyFill="1"/>
    <xf numFmtId="169" fontId="109" fillId="27" borderId="0" xfId="901" applyNumberFormat="1" applyFont="1" applyFill="1" applyBorder="1"/>
    <xf numFmtId="258" fontId="109" fillId="27" borderId="0" xfId="899" applyNumberFormat="1" applyFont="1" applyFill="1" applyAlignment="1">
      <alignment horizontal="right"/>
    </xf>
    <xf numFmtId="258" fontId="113" fillId="27" borderId="0" xfId="899" applyNumberFormat="1" applyFont="1" applyFill="1" applyAlignment="1">
      <alignment horizontal="right"/>
    </xf>
    <xf numFmtId="3" fontId="111" fillId="0" borderId="0" xfId="899" applyNumberFormat="1" applyFont="1"/>
    <xf numFmtId="0" fontId="112" fillId="0" borderId="0" xfId="899" applyFont="1"/>
    <xf numFmtId="0" fontId="126" fillId="0" borderId="0" xfId="0" applyFont="1"/>
    <xf numFmtId="0" fontId="128" fillId="0" borderId="0" xfId="0" applyFont="1" applyAlignment="1">
      <alignment horizontal="left" indent="1"/>
    </xf>
    <xf numFmtId="0" fontId="130" fillId="0" borderId="0" xfId="0" applyFont="1"/>
    <xf numFmtId="0" fontId="128" fillId="0" borderId="0" xfId="0" applyFont="1"/>
    <xf numFmtId="0" fontId="131" fillId="0" borderId="0" xfId="0" applyFont="1"/>
    <xf numFmtId="0" fontId="128" fillId="0" borderId="0" xfId="0" applyFont="1" applyAlignment="1">
      <alignment horizontal="left"/>
    </xf>
    <xf numFmtId="0" fontId="128" fillId="0" borderId="0" xfId="0" applyFont="1" applyAlignment="1">
      <alignment horizontal="center"/>
    </xf>
    <xf numFmtId="0" fontId="128" fillId="0" borderId="0" xfId="0" applyFont="1" applyAlignment="1">
      <alignment horizontal="right"/>
    </xf>
    <xf numFmtId="0" fontId="128" fillId="0" borderId="21" xfId="0" applyFont="1" applyBorder="1" applyAlignment="1">
      <alignment horizontal="left"/>
    </xf>
    <xf numFmtId="0" fontId="126" fillId="0" borderId="0" xfId="0" applyFont="1" applyAlignment="1">
      <alignment horizontal="left"/>
    </xf>
    <xf numFmtId="0" fontId="126" fillId="0" borderId="8" xfId="0" applyFont="1" applyBorder="1"/>
    <xf numFmtId="0" fontId="127" fillId="0" borderId="0" xfId="0" applyFont="1"/>
    <xf numFmtId="0" fontId="126" fillId="0" borderId="42" xfId="0" applyFont="1" applyBorder="1"/>
    <xf numFmtId="0" fontId="128" fillId="0" borderId="44" xfId="0" applyFont="1" applyBorder="1" applyAlignment="1">
      <alignment horizontal="left"/>
    </xf>
    <xf numFmtId="0" fontId="126" fillId="0" borderId="45" xfId="0" applyFont="1" applyBorder="1"/>
    <xf numFmtId="0" fontId="126" fillId="29" borderId="8" xfId="0" applyFont="1" applyFill="1" applyBorder="1" applyAlignment="1">
      <alignment horizontal="left" vertical="center"/>
    </xf>
    <xf numFmtId="0" fontId="126" fillId="29" borderId="8" xfId="0" applyFont="1" applyFill="1" applyBorder="1" applyAlignment="1">
      <alignment horizontal="center" vertical="center"/>
    </xf>
    <xf numFmtId="0" fontId="126" fillId="29" borderId="8" xfId="0" applyFont="1" applyFill="1" applyBorder="1" applyAlignment="1">
      <alignment horizontal="center"/>
    </xf>
    <xf numFmtId="0" fontId="126" fillId="0" borderId="0" xfId="0" applyFont="1" applyAlignment="1">
      <alignment horizontal="right"/>
    </xf>
    <xf numFmtId="0" fontId="129" fillId="0" borderId="0" xfId="0" applyFont="1" applyAlignment="1">
      <alignment horizontal="right"/>
    </xf>
    <xf numFmtId="261" fontId="126" fillId="0" borderId="0" xfId="0" applyNumberFormat="1" applyFont="1" applyAlignment="1">
      <alignment horizontal="right"/>
    </xf>
    <xf numFmtId="261" fontId="126" fillId="0" borderId="8" xfId="0" applyNumberFormat="1" applyFont="1" applyBorder="1" applyAlignment="1">
      <alignment horizontal="right"/>
    </xf>
    <xf numFmtId="261" fontId="131" fillId="0" borderId="0" xfId="0" applyNumberFormat="1" applyFont="1"/>
    <xf numFmtId="0" fontId="126" fillId="29" borderId="40" xfId="0" applyFont="1" applyFill="1" applyBorder="1" applyAlignment="1">
      <alignment horizontal="left"/>
    </xf>
    <xf numFmtId="39" fontId="128" fillId="0" borderId="0" xfId="0" applyNumberFormat="1" applyFont="1"/>
    <xf numFmtId="261" fontId="126" fillId="0" borderId="20" xfId="0" applyNumberFormat="1" applyFont="1" applyBorder="1" applyAlignment="1">
      <alignment horizontal="right"/>
    </xf>
    <xf numFmtId="0" fontId="132" fillId="0" borderId="0" xfId="0" applyFont="1"/>
    <xf numFmtId="0" fontId="133" fillId="0" borderId="0" xfId="0" applyFont="1"/>
    <xf numFmtId="172" fontId="132" fillId="0" borderId="0" xfId="0" applyNumberFormat="1" applyFont="1"/>
    <xf numFmtId="0" fontId="132" fillId="30" borderId="0" xfId="0" applyFont="1" applyFill="1"/>
    <xf numFmtId="0" fontId="133" fillId="30" borderId="0" xfId="0" applyFont="1" applyFill="1"/>
    <xf numFmtId="170" fontId="134" fillId="0" borderId="0" xfId="900" applyNumberFormat="1" applyFont="1" applyFill="1" applyBorder="1" applyAlignment="1">
      <alignment horizontal="center"/>
    </xf>
    <xf numFmtId="170" fontId="132" fillId="0" borderId="0" xfId="0" applyNumberFormat="1" applyFont="1"/>
    <xf numFmtId="165" fontId="122" fillId="0" borderId="0" xfId="0" applyNumberFormat="1" applyFont="1"/>
    <xf numFmtId="9" fontId="122" fillId="0" borderId="0" xfId="543" applyFont="1"/>
    <xf numFmtId="0" fontId="122" fillId="0" borderId="0" xfId="0" applyFont="1"/>
    <xf numFmtId="170" fontId="131" fillId="0" borderId="0" xfId="0" applyNumberFormat="1" applyFont="1"/>
    <xf numFmtId="170" fontId="128" fillId="0" borderId="0" xfId="900" applyNumberFormat="1" applyFont="1" applyFill="1" applyBorder="1" applyAlignment="1">
      <alignment horizontal="center"/>
    </xf>
    <xf numFmtId="170" fontId="111" fillId="0" borderId="0" xfId="899" applyNumberFormat="1" applyFont="1"/>
    <xf numFmtId="169" fontId="128" fillId="0" borderId="0" xfId="543" applyNumberFormat="1" applyFont="1"/>
    <xf numFmtId="169" fontId="126" fillId="0" borderId="0" xfId="543" applyNumberFormat="1" applyFont="1"/>
    <xf numFmtId="0" fontId="132" fillId="27" borderId="0" xfId="0" applyFont="1" applyFill="1"/>
    <xf numFmtId="170" fontId="131" fillId="27" borderId="0" xfId="0" applyNumberFormat="1" applyFont="1" applyFill="1"/>
    <xf numFmtId="0" fontId="111" fillId="0" borderId="0" xfId="899" applyFont="1" applyAlignment="1">
      <alignment horizontal="center"/>
    </xf>
    <xf numFmtId="37" fontId="115" fillId="27" borderId="0" xfId="0" applyNumberFormat="1" applyFont="1" applyFill="1" applyAlignment="1">
      <alignment horizontal="center"/>
    </xf>
    <xf numFmtId="37" fontId="122" fillId="27" borderId="0" xfId="0" applyNumberFormat="1" applyFont="1" applyFill="1" applyAlignment="1">
      <alignment horizontal="center"/>
    </xf>
    <xf numFmtId="165" fontId="113" fillId="27" borderId="0" xfId="899" applyNumberFormat="1" applyFont="1" applyFill="1"/>
    <xf numFmtId="165" fontId="109" fillId="0" borderId="0" xfId="0" applyNumberFormat="1" applyFont="1"/>
    <xf numFmtId="37" fontId="122" fillId="27" borderId="0" xfId="0" applyNumberFormat="1" applyFont="1" applyFill="1"/>
    <xf numFmtId="0" fontId="110" fillId="0" borderId="0" xfId="899" applyFont="1" applyAlignment="1">
      <alignment vertical="center"/>
    </xf>
    <xf numFmtId="0" fontId="113" fillId="0" borderId="0" xfId="899" applyFont="1" applyAlignment="1">
      <alignment vertical="center"/>
    </xf>
    <xf numFmtId="43" fontId="111" fillId="0" borderId="0" xfId="900" applyFont="1" applyFill="1" applyBorder="1" applyAlignment="1">
      <alignment horizontal="center" vertical="center"/>
    </xf>
    <xf numFmtId="0" fontId="111" fillId="0" borderId="0" xfId="899" applyFont="1" applyAlignment="1">
      <alignment vertical="center"/>
    </xf>
    <xf numFmtId="43" fontId="113" fillId="0" borderId="0" xfId="900" applyFont="1" applyFill="1" applyBorder="1" applyAlignment="1">
      <alignment horizontal="center" vertical="center"/>
    </xf>
    <xf numFmtId="165" fontId="120" fillId="28" borderId="0" xfId="899" applyNumberFormat="1" applyFont="1" applyFill="1"/>
    <xf numFmtId="0" fontId="135" fillId="0" borderId="0" xfId="899" applyFont="1"/>
    <xf numFmtId="261" fontId="128" fillId="0" borderId="0" xfId="0" applyNumberFormat="1" applyFont="1" applyAlignment="1">
      <alignment horizontal="right"/>
    </xf>
    <xf numFmtId="0" fontId="126" fillId="29" borderId="43" xfId="0" applyFont="1" applyFill="1" applyBorder="1" applyAlignment="1">
      <alignment wrapText="1"/>
    </xf>
    <xf numFmtId="0" fontId="126" fillId="29" borderId="43" xfId="0" applyFont="1" applyFill="1" applyBorder="1" applyAlignment="1">
      <alignment horizontal="center"/>
    </xf>
    <xf numFmtId="165" fontId="109" fillId="0" borderId="44" xfId="899" applyNumberFormat="1" applyFont="1" applyBorder="1"/>
    <xf numFmtId="165" fontId="112" fillId="0" borderId="44" xfId="899" applyNumberFormat="1" applyFont="1" applyBorder="1"/>
    <xf numFmtId="0" fontId="126" fillId="29" borderId="41" xfId="0" applyFont="1" applyFill="1" applyBorder="1" applyAlignment="1">
      <alignment horizontal="center" vertical="center"/>
    </xf>
    <xf numFmtId="165" fontId="121" fillId="0" borderId="0" xfId="899" applyNumberFormat="1" applyFont="1"/>
    <xf numFmtId="169" fontId="137" fillId="27" borderId="0" xfId="901" applyNumberFormat="1" applyFont="1" applyFill="1" applyBorder="1"/>
    <xf numFmtId="39" fontId="109" fillId="27" borderId="0" xfId="899" applyNumberFormat="1" applyFont="1" applyFill="1" applyAlignment="1">
      <alignment horizontal="right"/>
    </xf>
    <xf numFmtId="170" fontId="126" fillId="0" borderId="46" xfId="902" applyNumberFormat="1" applyFont="1" applyBorder="1" applyAlignment="1">
      <alignment horizontal="right"/>
    </xf>
    <xf numFmtId="0" fontId="113" fillId="26" borderId="38" xfId="899" applyFont="1" applyFill="1" applyBorder="1" applyAlignment="1">
      <alignment horizontal="center" vertical="center"/>
    </xf>
    <xf numFmtId="168" fontId="113" fillId="26" borderId="0" xfId="899" applyNumberFormat="1" applyFont="1" applyFill="1" applyAlignment="1">
      <alignment horizontal="center" vertical="center"/>
    </xf>
    <xf numFmtId="0" fontId="113" fillId="0" borderId="0" xfId="899" applyFont="1" applyAlignment="1">
      <alignment horizontal="left" indent="1"/>
    </xf>
    <xf numFmtId="0" fontId="109" fillId="0" borderId="0" xfId="899" applyFont="1" applyAlignment="1">
      <alignment horizontal="left" indent="2"/>
    </xf>
    <xf numFmtId="165" fontId="112" fillId="27" borderId="0" xfId="899" applyNumberFormat="1" applyFont="1" applyFill="1"/>
    <xf numFmtId="0" fontId="113" fillId="27" borderId="0" xfId="0" applyFont="1" applyFill="1"/>
    <xf numFmtId="0" fontId="109" fillId="27" borderId="0" xfId="899" applyFont="1" applyFill="1" applyAlignment="1">
      <alignment horizontal="left" indent="1"/>
    </xf>
    <xf numFmtId="0" fontId="113" fillId="27" borderId="0" xfId="899" applyFont="1" applyFill="1" applyAlignment="1">
      <alignment horizontal="left"/>
    </xf>
    <xf numFmtId="0" fontId="113" fillId="27" borderId="0" xfId="899" applyFont="1" applyFill="1" applyAlignment="1">
      <alignment horizontal="left" indent="1"/>
    </xf>
    <xf numFmtId="0" fontId="109" fillId="27" borderId="0" xfId="899" applyFont="1" applyFill="1" applyAlignment="1">
      <alignment horizontal="left" indent="2"/>
    </xf>
    <xf numFmtId="0" fontId="113" fillId="27" borderId="0" xfId="899" applyFont="1" applyFill="1"/>
    <xf numFmtId="170" fontId="140" fillId="0" borderId="0" xfId="900" applyNumberFormat="1" applyFont="1" applyFill="1" applyBorder="1" applyAlignment="1">
      <alignment horizontal="center"/>
    </xf>
    <xf numFmtId="0" fontId="140" fillId="0" borderId="0" xfId="899" applyFont="1"/>
    <xf numFmtId="170" fontId="120" fillId="0" borderId="0" xfId="900" applyNumberFormat="1" applyFont="1" applyFill="1" applyBorder="1"/>
    <xf numFmtId="165" fontId="112" fillId="0" borderId="0" xfId="901" applyNumberFormat="1" applyFont="1" applyFill="1" applyBorder="1"/>
    <xf numFmtId="39" fontId="109" fillId="28" borderId="0" xfId="899" applyNumberFormat="1" applyFont="1" applyFill="1" applyAlignment="1">
      <alignment horizontal="right"/>
    </xf>
    <xf numFmtId="39" fontId="119" fillId="28" borderId="0" xfId="0" applyNumberFormat="1" applyFont="1" applyFill="1" applyAlignment="1">
      <alignment horizontal="right"/>
    </xf>
    <xf numFmtId="170" fontId="113" fillId="27" borderId="0" xfId="900" applyNumberFormat="1" applyFont="1" applyFill="1" applyBorder="1" applyAlignment="1">
      <alignment horizontal="right"/>
    </xf>
    <xf numFmtId="170" fontId="109" fillId="27" borderId="0" xfId="900" applyNumberFormat="1" applyFont="1" applyFill="1" applyBorder="1" applyAlignment="1">
      <alignment horizontal="right"/>
    </xf>
    <xf numFmtId="170" fontId="113" fillId="27" borderId="39" xfId="900" applyNumberFormat="1" applyFont="1" applyFill="1" applyBorder="1" applyAlignment="1">
      <alignment horizontal="right"/>
    </xf>
    <xf numFmtId="170" fontId="109" fillId="27" borderId="0" xfId="897" applyNumberFormat="1" applyFont="1" applyFill="1"/>
    <xf numFmtId="169" fontId="113" fillId="27" borderId="3" xfId="901" applyNumberFormat="1" applyFont="1" applyFill="1" applyBorder="1"/>
    <xf numFmtId="0" fontId="113" fillId="30" borderId="38" xfId="899" applyFont="1" applyFill="1" applyBorder="1" applyAlignment="1">
      <alignment horizontal="center" vertical="center"/>
    </xf>
    <xf numFmtId="168" fontId="113" fillId="30" borderId="0" xfId="899" applyNumberFormat="1" applyFont="1" applyFill="1" applyAlignment="1">
      <alignment horizontal="center" vertical="center"/>
    </xf>
    <xf numFmtId="0" fontId="113" fillId="0" borderId="38" xfId="899" applyFont="1" applyBorder="1" applyAlignment="1">
      <alignment horizontal="center" vertical="center"/>
    </xf>
    <xf numFmtId="168" fontId="113" fillId="0" borderId="0" xfId="899" applyNumberFormat="1" applyFont="1" applyAlignment="1">
      <alignment horizontal="center" vertical="center"/>
    </xf>
    <xf numFmtId="17" fontId="0" fillId="0" borderId="0" xfId="0" applyNumberFormat="1"/>
    <xf numFmtId="0" fontId="133" fillId="0" borderId="0" xfId="0" applyFont="1" applyAlignment="1">
      <alignment horizontal="left" indent="1"/>
    </xf>
    <xf numFmtId="170" fontId="126" fillId="0" borderId="0" xfId="900" applyNumberFormat="1" applyFont="1" applyFill="1" applyBorder="1" applyAlignment="1">
      <alignment horizontal="center"/>
    </xf>
    <xf numFmtId="0" fontId="141" fillId="0" borderId="0" xfId="0" applyFont="1"/>
    <xf numFmtId="170" fontId="142" fillId="27" borderId="0" xfId="0" applyNumberFormat="1" applyFont="1" applyFill="1"/>
    <xf numFmtId="170" fontId="142" fillId="0" borderId="0" xfId="0" applyNumberFormat="1" applyFont="1"/>
    <xf numFmtId="170" fontId="126" fillId="0" borderId="0" xfId="902" applyNumberFormat="1" applyFont="1" applyBorder="1" applyAlignment="1">
      <alignment horizontal="right"/>
    </xf>
    <xf numFmtId="0" fontId="126" fillId="0" borderId="21" xfId="0" applyFont="1" applyBorder="1" applyAlignment="1">
      <alignment horizontal="left"/>
    </xf>
    <xf numFmtId="165" fontId="113" fillId="0" borderId="44" xfId="899" applyNumberFormat="1" applyFont="1" applyBorder="1"/>
    <xf numFmtId="0" fontId="126" fillId="29" borderId="43" xfId="0" applyFont="1" applyFill="1" applyBorder="1" applyAlignment="1">
      <alignment horizontal="center" vertical="center"/>
    </xf>
  </cellXfs>
  <cellStyles count="903">
    <cellStyle name="$" xfId="1" xr:uid="{00000000-0005-0000-0000-000000000000}"/>
    <cellStyle name="$_TSA Model - 1 8 06 - v2" xfId="2" xr:uid="{00000000-0005-0000-0000-000001000000}"/>
    <cellStyle name="%" xfId="3" xr:uid="{00000000-0005-0000-0000-000002000000}"/>
    <cellStyle name=";;;" xfId="4" xr:uid="{00000000-0005-0000-0000-000003000000}"/>
    <cellStyle name="_%(SignOnly)" xfId="5" xr:uid="{00000000-0005-0000-0000-000004000000}"/>
    <cellStyle name="_%(SignSpaceOnly)" xfId="6" xr:uid="{00000000-0005-0000-0000-000005000000}"/>
    <cellStyle name="_0% CADR" xfId="7" xr:uid="{00000000-0005-0000-0000-000006000000}"/>
    <cellStyle name="_0% IRR" xfId="8" xr:uid="{00000000-0005-0000-0000-000007000000}"/>
    <cellStyle name="_1% CADR" xfId="9" xr:uid="{00000000-0005-0000-0000-000008000000}"/>
    <cellStyle name="_10% CADR" xfId="10" xr:uid="{00000000-0005-0000-0000-000009000000}"/>
    <cellStyle name="_10% CDR" xfId="11" xr:uid="{00000000-0005-0000-0000-00000A000000}"/>
    <cellStyle name="_11% CADR" xfId="12" xr:uid="{00000000-0005-0000-0000-00000B000000}"/>
    <cellStyle name="_12% CADR" xfId="13" xr:uid="{00000000-0005-0000-0000-00000C000000}"/>
    <cellStyle name="_12% CDR" xfId="14" xr:uid="{00000000-0005-0000-0000-00000D000000}"/>
    <cellStyle name="_13% CADR" xfId="15" xr:uid="{00000000-0005-0000-0000-00000E000000}"/>
    <cellStyle name="_14% CADR" xfId="16" xr:uid="{00000000-0005-0000-0000-00000F000000}"/>
    <cellStyle name="_14% CDR" xfId="17" xr:uid="{00000000-0005-0000-0000-000010000000}"/>
    <cellStyle name="_16% CDR" xfId="18" xr:uid="{00000000-0005-0000-0000-000011000000}"/>
    <cellStyle name="_18% CDR" xfId="19" xr:uid="{00000000-0005-0000-0000-000012000000}"/>
    <cellStyle name="_19.6% CDR BBB Break In Yield" xfId="20" xr:uid="{00000000-0005-0000-0000-000013000000}"/>
    <cellStyle name="_2% CADR" xfId="21" xr:uid="{00000000-0005-0000-0000-000014000000}"/>
    <cellStyle name="_20% CDR" xfId="22" xr:uid="{00000000-0005-0000-0000-000015000000}"/>
    <cellStyle name="_21.5% CDR BBB Break In Yield" xfId="23" xr:uid="{00000000-0005-0000-0000-000016000000}"/>
    <cellStyle name="_3% CADR" xfId="24" xr:uid="{00000000-0005-0000-0000-000017000000}"/>
    <cellStyle name="_3% CDR" xfId="25" xr:uid="{00000000-0005-0000-0000-000018000000}"/>
    <cellStyle name="_4% CADR" xfId="26" xr:uid="{00000000-0005-0000-0000-000019000000}"/>
    <cellStyle name="_5% CADR" xfId="27" xr:uid="{00000000-0005-0000-0000-00001A000000}"/>
    <cellStyle name="_5% CDR" xfId="28" xr:uid="{00000000-0005-0000-0000-00001B000000}"/>
    <cellStyle name="_6% CADR" xfId="29" xr:uid="{00000000-0005-0000-0000-00001C000000}"/>
    <cellStyle name="_7% CADR" xfId="30" xr:uid="{00000000-0005-0000-0000-00001D000000}"/>
    <cellStyle name="_7% CDR" xfId="31" xr:uid="{00000000-0005-0000-0000-00001E000000}"/>
    <cellStyle name="_8% CADR" xfId="32" xr:uid="{00000000-0005-0000-0000-00001F000000}"/>
    <cellStyle name="_8.0% CDR BB Break In Yield" xfId="33" xr:uid="{00000000-0005-0000-0000-000020000000}"/>
    <cellStyle name="_8.1% CDR BB Break In Yield" xfId="34" xr:uid="{00000000-0005-0000-0000-000021000000}"/>
    <cellStyle name="_9% CADR" xfId="35" xr:uid="{00000000-0005-0000-0000-000022000000}"/>
    <cellStyle name="_Assets" xfId="36" xr:uid="{00000000-0005-0000-0000-000023000000}"/>
    <cellStyle name="_Assets_1" xfId="37" xr:uid="{00000000-0005-0000-0000-000024000000}"/>
    <cellStyle name="_Assets_1_COMPS - B2B Publishers" xfId="38" xr:uid="{00000000-0005-0000-0000-000025000000}"/>
    <cellStyle name="_Assets_1_COMPS - Directories" xfId="39" xr:uid="{00000000-0005-0000-0000-000026000000}"/>
    <cellStyle name="_Assets_1_F&amp;W Servicing Model" xfId="40" xr:uid="{00000000-0005-0000-0000-000027000000}"/>
    <cellStyle name="_Assets_1_F&amp;W Servicing Model v2" xfId="41" xr:uid="{00000000-0005-0000-0000-000028000000}"/>
    <cellStyle name="_Assets_1_S&amp;P Analysis" xfId="42" xr:uid="{00000000-0005-0000-0000-000029000000}"/>
    <cellStyle name="_Assets_1_Univision Annual Model" xfId="43" xr:uid="{00000000-0005-0000-0000-00002A000000}"/>
    <cellStyle name="_Assets_1_Yell Servicing Model" xfId="44" xr:uid="{00000000-0005-0000-0000-00002B000000}"/>
    <cellStyle name="_Assets_S&amp;P Analysis" xfId="45" xr:uid="{00000000-0005-0000-0000-00002C000000}"/>
    <cellStyle name="_Assets_S&amp;P Analysis_COMPS - B2B Publishers" xfId="46" xr:uid="{00000000-0005-0000-0000-00002D000000}"/>
    <cellStyle name="_Assets_S&amp;P Analysis_COMPS - Directories" xfId="47" xr:uid="{00000000-0005-0000-0000-00002E000000}"/>
    <cellStyle name="_Assets_S&amp;P Analysis_F&amp;W Servicing Model" xfId="48" xr:uid="{00000000-0005-0000-0000-00002F000000}"/>
    <cellStyle name="_Assets_S&amp;P Analysis_F&amp;W Servicing Model v2" xfId="49" xr:uid="{00000000-0005-0000-0000-000030000000}"/>
    <cellStyle name="_Assets_S&amp;P Analysis_Univision Annual Model" xfId="50" xr:uid="{00000000-0005-0000-0000-000031000000}"/>
    <cellStyle name="_Assets_S&amp;P Analysis_Yell Servicing Model" xfId="51" xr:uid="{00000000-0005-0000-0000-000032000000}"/>
    <cellStyle name="_Assumptions" xfId="52" xr:uid="{00000000-0005-0000-0000-000033000000}"/>
    <cellStyle name="_Assumptions_1" xfId="53" xr:uid="{00000000-0005-0000-0000-000034000000}"/>
    <cellStyle name="_Assumptions_1_COMPS - B2B Publishers" xfId="54" xr:uid="{00000000-0005-0000-0000-000035000000}"/>
    <cellStyle name="_Assumptions_1_COMPS - Directories" xfId="55" xr:uid="{00000000-0005-0000-0000-000036000000}"/>
    <cellStyle name="_Assumptions_1_F&amp;W Servicing Model" xfId="56" xr:uid="{00000000-0005-0000-0000-000037000000}"/>
    <cellStyle name="_Assumptions_1_F&amp;W Servicing Model v2" xfId="57" xr:uid="{00000000-0005-0000-0000-000038000000}"/>
    <cellStyle name="_Assumptions_1_Univision Annual Model" xfId="58" xr:uid="{00000000-0005-0000-0000-000039000000}"/>
    <cellStyle name="_Assumptions_1_Yell Servicing Model" xfId="59" xr:uid="{00000000-0005-0000-0000-00003A000000}"/>
    <cellStyle name="_Blue Mountain TRS (7-5-05)" xfId="60" xr:uid="{00000000-0005-0000-0000-00003B000000}"/>
    <cellStyle name="_Book2" xfId="61" xr:uid="{00000000-0005-0000-0000-00003C000000}"/>
    <cellStyle name="_CDO of CDO" xfId="62" xr:uid="{00000000-0005-0000-0000-00003D000000}"/>
    <cellStyle name="_CLO Portfolio 10_07_2005" xfId="63" xr:uid="{00000000-0005-0000-0000-00003E000000}"/>
    <cellStyle name="_Comma" xfId="64" xr:uid="{00000000-0005-0000-0000-00003F000000}"/>
    <cellStyle name="_Comma_dcf" xfId="65" xr:uid="{00000000-0005-0000-0000-000040000000}"/>
    <cellStyle name="_Currency" xfId="66" xr:uid="{00000000-0005-0000-0000-000041000000}"/>
    <cellStyle name="_Currency_dcf" xfId="67" xr:uid="{00000000-0005-0000-0000-000042000000}"/>
    <cellStyle name="_CurrencySpace" xfId="68" xr:uid="{00000000-0005-0000-0000-000043000000}"/>
    <cellStyle name="_CurrencySpace_dcf" xfId="69" xr:uid="{00000000-0005-0000-0000-000044000000}"/>
    <cellStyle name="_Euro" xfId="70" xr:uid="{00000000-0005-0000-0000-000045000000}"/>
    <cellStyle name="_EV8 Assumption List" xfId="71" xr:uid="{00000000-0005-0000-0000-000046000000}"/>
    <cellStyle name="_Exhibit I Babson Warehouse 2006-II CLO 8 18 06" xfId="72" xr:uid="{00000000-0005-0000-0000-000047000000}"/>
    <cellStyle name="_First PIK" xfId="73" xr:uid="{00000000-0005-0000-0000-000048000000}"/>
    <cellStyle name="_Galaxy VI CLO - WestLB Request" xfId="74" xr:uid="{00000000-0005-0000-0000-000049000000}"/>
    <cellStyle name="_Heading" xfId="75" xr:uid="{00000000-0005-0000-0000-00004A000000}"/>
    <cellStyle name="_Heading_prestemp" xfId="76" xr:uid="{00000000-0005-0000-0000-00004B000000}"/>
    <cellStyle name="_Highlight" xfId="77" xr:uid="{00000000-0005-0000-0000-00004C000000}"/>
    <cellStyle name="_Model FINAL (2)" xfId="78" xr:uid="{00000000-0005-0000-0000-00004D000000}"/>
    <cellStyle name="_Multiple" xfId="79" xr:uid="{00000000-0005-0000-0000-00004E000000}"/>
    <cellStyle name="_Multiple_dcf" xfId="80" xr:uid="{00000000-0005-0000-0000-00004F000000}"/>
    <cellStyle name="_MultipleSpace" xfId="81" xr:uid="{00000000-0005-0000-0000-000050000000}"/>
    <cellStyle name="_MultipleSpace_dcf" xfId="82" xr:uid="{00000000-0005-0000-0000-000051000000}"/>
    <cellStyle name="_Other Defafult Scenario 1" xfId="83" xr:uid="{00000000-0005-0000-0000-000052000000}"/>
    <cellStyle name="_Other Default Scenario 2" xfId="84" xr:uid="{00000000-0005-0000-0000-000053000000}"/>
    <cellStyle name="_Percent" xfId="85" xr:uid="{00000000-0005-0000-0000-000054000000}"/>
    <cellStyle name="_PercentSpace" xfId="86" xr:uid="{00000000-0005-0000-0000-000055000000}"/>
    <cellStyle name="_Port" xfId="87" xr:uid="{00000000-0005-0000-0000-000056000000}"/>
    <cellStyle name="_Port For S&amp;P" xfId="88" xr:uid="{00000000-0005-0000-0000-000057000000}"/>
    <cellStyle name="_Port_COMPS - B2B Publishers" xfId="89" xr:uid="{00000000-0005-0000-0000-000058000000}"/>
    <cellStyle name="_Port_COMPS - Directories" xfId="90" xr:uid="{00000000-0005-0000-0000-000059000000}"/>
    <cellStyle name="_Port_F&amp;W Servicing Model" xfId="91" xr:uid="{00000000-0005-0000-0000-00005A000000}"/>
    <cellStyle name="_Port_F&amp;W Servicing Model v2" xfId="92" xr:uid="{00000000-0005-0000-0000-00005B000000}"/>
    <cellStyle name="_Port_Univision Annual Model" xfId="93" xr:uid="{00000000-0005-0000-0000-00005C000000}"/>
    <cellStyle name="_Port_Yell Servicing Model" xfId="94" xr:uid="{00000000-0005-0000-0000-00005D000000}"/>
    <cellStyle name="_Pro Forma TTM 9.30.07 (CW NEIRB Acquisition)" xfId="95" xr:uid="{00000000-0005-0000-0000-00005E000000}"/>
    <cellStyle name="_S&amp;P Analysis" xfId="96" xr:uid="{00000000-0005-0000-0000-00005F000000}"/>
    <cellStyle name="_S&amp;P Analysis_COMPS - B2B Publishers" xfId="97" xr:uid="{00000000-0005-0000-0000-000060000000}"/>
    <cellStyle name="_S&amp;P Analysis_COMPS - Directories" xfId="98" xr:uid="{00000000-0005-0000-0000-000061000000}"/>
    <cellStyle name="_S&amp;P Analysis_F&amp;W Servicing Model" xfId="99" xr:uid="{00000000-0005-0000-0000-000062000000}"/>
    <cellStyle name="_S&amp;P Analysis_F&amp;W Servicing Model v2" xfId="100" xr:uid="{00000000-0005-0000-0000-000063000000}"/>
    <cellStyle name="_S&amp;P Analysis_Univision Annual Model" xfId="101" xr:uid="{00000000-0005-0000-0000-000064000000}"/>
    <cellStyle name="_S&amp;P Analysis_Yell Servicing Model" xfId="102" xr:uid="{00000000-0005-0000-0000-000065000000}"/>
    <cellStyle name="_S&amp;P Hypothetical Port Summary" xfId="103" xr:uid="{00000000-0005-0000-0000-000066000000}"/>
    <cellStyle name="_S&amp;P Port 80Div_2099WARF" xfId="104" xr:uid="{00000000-0005-0000-0000-000067000000}"/>
    <cellStyle name="_S&amp;P Stress Scenarios" xfId="105" xr:uid="{00000000-0005-0000-0000-000068000000}"/>
    <cellStyle name="_Sources and Uses" xfId="106" xr:uid="{00000000-0005-0000-0000-000069000000}"/>
    <cellStyle name="_SubHeading" xfId="107" xr:uid="{00000000-0005-0000-0000-00006A000000}"/>
    <cellStyle name="_SubHeading_prestemp" xfId="108" xr:uid="{00000000-0005-0000-0000-00006B000000}"/>
    <cellStyle name="_Table" xfId="109" xr:uid="{00000000-0005-0000-0000-00006C000000}"/>
    <cellStyle name="_TableHead" xfId="110" xr:uid="{00000000-0005-0000-0000-00006D000000}"/>
    <cellStyle name="_TableRowHead" xfId="111" xr:uid="{00000000-0005-0000-0000-00006E000000}"/>
    <cellStyle name="_TableSuperHead" xfId="112" xr:uid="{00000000-0005-0000-0000-00006F000000}"/>
    <cellStyle name="£Currency [0]" xfId="113" xr:uid="{00000000-0005-0000-0000-000070000000}"/>
    <cellStyle name="£Currency [1]" xfId="114" xr:uid="{00000000-0005-0000-0000-000071000000}"/>
    <cellStyle name="£Currency [2]" xfId="115" xr:uid="{00000000-0005-0000-0000-000072000000}"/>
    <cellStyle name="£Currency [p]" xfId="116" xr:uid="{00000000-0005-0000-0000-000073000000}"/>
    <cellStyle name="£Currency [p2]" xfId="117" xr:uid="{00000000-0005-0000-0000-000074000000}"/>
    <cellStyle name="£Pounds" xfId="118" xr:uid="{00000000-0005-0000-0000-000075000000}"/>
    <cellStyle name="Accounting $" xfId="119" xr:uid="{00000000-0005-0000-0000-000076000000}"/>
    <cellStyle name="Across" xfId="120" xr:uid="{00000000-0005-0000-0000-000077000000}"/>
    <cellStyle name="Adjustable" xfId="121" xr:uid="{00000000-0005-0000-0000-000078000000}"/>
    <cellStyle name="AFE" xfId="122" xr:uid="{00000000-0005-0000-0000-000079000000}"/>
    <cellStyle name="Andre's Title" xfId="123" xr:uid="{00000000-0005-0000-0000-00007A000000}"/>
    <cellStyle name="args.style" xfId="124" xr:uid="{00000000-0005-0000-0000-00007B000000}"/>
    <cellStyle name="Arial 10" xfId="125" xr:uid="{00000000-0005-0000-0000-00007C000000}"/>
    <cellStyle name="Arial 12" xfId="126" xr:uid="{00000000-0005-0000-0000-00007D000000}"/>
    <cellStyle name="Best" xfId="127" xr:uid="{00000000-0005-0000-0000-00007E000000}"/>
    <cellStyle name="Blank [$]" xfId="128" xr:uid="{00000000-0005-0000-0000-00007F000000}"/>
    <cellStyle name="Blank [,]" xfId="129" xr:uid="{00000000-0005-0000-0000-000080000000}"/>
    <cellStyle name="BlankedZeros" xfId="130" xr:uid="{00000000-0005-0000-0000-000081000000}"/>
    <cellStyle name="blp_column_header" xfId="131" xr:uid="{00000000-0005-0000-0000-000082000000}"/>
    <cellStyle name="Blue" xfId="132" xr:uid="{00000000-0005-0000-0000-000083000000}"/>
    <cellStyle name="bluepercent" xfId="133" xr:uid="{00000000-0005-0000-0000-000084000000}"/>
    <cellStyle name="Body" xfId="134" xr:uid="{00000000-0005-0000-0000-000085000000}"/>
    <cellStyle name="Bold" xfId="135" xr:uid="{00000000-0005-0000-0000-000086000000}"/>
    <cellStyle name="BoldItalic" xfId="136" xr:uid="{00000000-0005-0000-0000-000087000000}"/>
    <cellStyle name="Bottom" xfId="137" xr:uid="{00000000-0005-0000-0000-000088000000}"/>
    <cellStyle name="Bottom Edge" xfId="138" xr:uid="{00000000-0005-0000-0000-000089000000}"/>
    <cellStyle name="British Pound" xfId="139" xr:uid="{00000000-0005-0000-0000-00008A000000}"/>
    <cellStyle name="Business Description" xfId="140" xr:uid="{00000000-0005-0000-0000-00008B000000}"/>
    <cellStyle name="c" xfId="141" xr:uid="{00000000-0005-0000-0000-00008C000000}"/>
    <cellStyle name="Calc Currency (0)" xfId="142" xr:uid="{00000000-0005-0000-0000-00008D000000}"/>
    <cellStyle name="Calc Currency (2)" xfId="143" xr:uid="{00000000-0005-0000-0000-00008E000000}"/>
    <cellStyle name="Calc Percent (0)" xfId="144" xr:uid="{00000000-0005-0000-0000-00008F000000}"/>
    <cellStyle name="Calc Percent (1)" xfId="145" xr:uid="{00000000-0005-0000-0000-000090000000}"/>
    <cellStyle name="Calc Percent (2)" xfId="146" xr:uid="{00000000-0005-0000-0000-000091000000}"/>
    <cellStyle name="Calc Units (0)" xfId="147" xr:uid="{00000000-0005-0000-0000-000092000000}"/>
    <cellStyle name="Calc Units (1)" xfId="148" xr:uid="{00000000-0005-0000-0000-000093000000}"/>
    <cellStyle name="Calc Units (2)" xfId="149" xr:uid="{00000000-0005-0000-0000-000094000000}"/>
    <cellStyle name="Case" xfId="150" xr:uid="{00000000-0005-0000-0000-000095000000}"/>
    <cellStyle name="cc" xfId="151" xr:uid="{00000000-0005-0000-0000-000096000000}"/>
    <cellStyle name="Center" xfId="152" xr:uid="{00000000-0005-0000-0000-000097000000}"/>
    <cellStyle name="CenterBold" xfId="153" xr:uid="{00000000-0005-0000-0000-000098000000}"/>
    <cellStyle name="CenterItalic" xfId="154" xr:uid="{00000000-0005-0000-0000-000099000000}"/>
    <cellStyle name="Cents" xfId="155" xr:uid="{00000000-0005-0000-0000-00009A000000}"/>
    <cellStyle name="ChartingText" xfId="156" xr:uid="{00000000-0005-0000-0000-00009B000000}"/>
    <cellStyle name="Co. Names" xfId="157" xr:uid="{00000000-0005-0000-0000-00009C000000}"/>
    <cellStyle name="Co. Names - Bold" xfId="158" xr:uid="{00000000-0005-0000-0000-00009D000000}"/>
    <cellStyle name="Co. Names_Break-Up" xfId="159" xr:uid="{00000000-0005-0000-0000-00009E000000}"/>
    <cellStyle name="COL HEADINGS" xfId="160" xr:uid="{00000000-0005-0000-0000-00009F000000}"/>
    <cellStyle name="ColumnHeaderNormal" xfId="161" xr:uid="{00000000-0005-0000-0000-0000A0000000}"/>
    <cellStyle name="Comma" xfId="902" builtinId="3"/>
    <cellStyle name="Comma  - Style1" xfId="162" xr:uid="{00000000-0005-0000-0000-0000A2000000}"/>
    <cellStyle name="Comma  - Style2" xfId="163" xr:uid="{00000000-0005-0000-0000-0000A3000000}"/>
    <cellStyle name="Comma  - Style3" xfId="164" xr:uid="{00000000-0005-0000-0000-0000A4000000}"/>
    <cellStyle name="Comma  - Style4" xfId="165" xr:uid="{00000000-0005-0000-0000-0000A5000000}"/>
    <cellStyle name="Comma  - Style5" xfId="166" xr:uid="{00000000-0005-0000-0000-0000A6000000}"/>
    <cellStyle name="Comma  - Style6" xfId="167" xr:uid="{00000000-0005-0000-0000-0000A7000000}"/>
    <cellStyle name="Comma  - Style7" xfId="168" xr:uid="{00000000-0005-0000-0000-0000A8000000}"/>
    <cellStyle name="Comma  - Style8" xfId="169" xr:uid="{00000000-0005-0000-0000-0000A9000000}"/>
    <cellStyle name="Comma [0]; --" xfId="170" xr:uid="{00000000-0005-0000-0000-0000AA000000}"/>
    <cellStyle name="Comma [00]" xfId="171" xr:uid="{00000000-0005-0000-0000-0000AB000000}"/>
    <cellStyle name="Comma [1]" xfId="172" xr:uid="{00000000-0005-0000-0000-0000AC000000}"/>
    <cellStyle name="Comma 2" xfId="173" xr:uid="{00000000-0005-0000-0000-0000AD000000}"/>
    <cellStyle name="Comma 2 2" xfId="900" xr:uid="{7EE04539-59F0-4D85-8850-DEB5FA87595D}"/>
    <cellStyle name="Comma Cents" xfId="174" xr:uid="{00000000-0005-0000-0000-0000AE000000}"/>
    <cellStyle name="Comma0" xfId="175" xr:uid="{00000000-0005-0000-0000-0000AF000000}"/>
    <cellStyle name="Commas" xfId="176" xr:uid="{00000000-0005-0000-0000-0000B0000000}"/>
    <cellStyle name="CommasBold" xfId="177" xr:uid="{00000000-0005-0000-0000-0000B1000000}"/>
    <cellStyle name="CompanyTitle" xfId="178" xr:uid="{00000000-0005-0000-0000-0000B2000000}"/>
    <cellStyle name="Copied" xfId="179" xr:uid="{00000000-0005-0000-0000-0000B3000000}"/>
    <cellStyle name="Currency $" xfId="180" xr:uid="{00000000-0005-0000-0000-0000B4000000}"/>
    <cellStyle name="Currency [0]; --" xfId="181" xr:uid="{00000000-0005-0000-0000-0000B5000000}"/>
    <cellStyle name="Currency [00]" xfId="182" xr:uid="{00000000-0005-0000-0000-0000B6000000}"/>
    <cellStyle name="Currency [1]" xfId="183" xr:uid="{00000000-0005-0000-0000-0000B7000000}"/>
    <cellStyle name="Currency [2]" xfId="184" xr:uid="{00000000-0005-0000-0000-0000B8000000}"/>
    <cellStyle name="data" xfId="185" xr:uid="{00000000-0005-0000-0000-0000B9000000}"/>
    <cellStyle name="Date" xfId="186" xr:uid="{00000000-0005-0000-0000-0000BA000000}"/>
    <cellStyle name="Date Short" xfId="187" xr:uid="{00000000-0005-0000-0000-0000BB000000}"/>
    <cellStyle name="Date_COMPS - Directories" xfId="188" xr:uid="{00000000-0005-0000-0000-0000BC000000}"/>
    <cellStyle name="DateLeftBold" xfId="189" xr:uid="{00000000-0005-0000-0000-0000BD000000}"/>
    <cellStyle name="Default" xfId="190" xr:uid="{00000000-0005-0000-0000-0000BE000000}"/>
    <cellStyle name="DELTA" xfId="191" xr:uid="{00000000-0005-0000-0000-0000BF000000}"/>
    <cellStyle name="Dollars" xfId="192" xr:uid="{00000000-0005-0000-0000-0000C0000000}"/>
    <cellStyle name="Dollars []" xfId="193" xr:uid="{00000000-0005-0000-0000-0000C1000000}"/>
    <cellStyle name="Dollars_Pro Forma TTM 9.30.07 (CW NEIRB Acquisition)" xfId="194" xr:uid="{00000000-0005-0000-0000-0000C2000000}"/>
    <cellStyle name="Double" xfId="195" xr:uid="{00000000-0005-0000-0000-0000C3000000}"/>
    <cellStyle name="Double Accounting" xfId="196" xr:uid="{00000000-0005-0000-0000-0000C4000000}"/>
    <cellStyle name="Enter Currency (0)" xfId="197" xr:uid="{00000000-0005-0000-0000-0000C5000000}"/>
    <cellStyle name="Enter Currency (2)" xfId="198" xr:uid="{00000000-0005-0000-0000-0000C6000000}"/>
    <cellStyle name="Enter Units (0)" xfId="199" xr:uid="{00000000-0005-0000-0000-0000C7000000}"/>
    <cellStyle name="Enter Units (1)" xfId="200" xr:uid="{00000000-0005-0000-0000-0000C8000000}"/>
    <cellStyle name="Enter Units (2)" xfId="201" xr:uid="{00000000-0005-0000-0000-0000C9000000}"/>
    <cellStyle name="Entered" xfId="202" xr:uid="{00000000-0005-0000-0000-0000CA000000}"/>
    <cellStyle name="Euro" xfId="203" xr:uid="{00000000-0005-0000-0000-0000CB000000}"/>
    <cellStyle name="Fit" xfId="204" xr:uid="{00000000-0005-0000-0000-0000CC000000}"/>
    <cellStyle name="Footer" xfId="205" xr:uid="{00000000-0005-0000-0000-0000CD000000}"/>
    <cellStyle name="Footnotes" xfId="206" xr:uid="{00000000-0005-0000-0000-0000CE000000}"/>
    <cellStyle name="Grey" xfId="207" xr:uid="{00000000-0005-0000-0000-0000CF000000}"/>
    <cellStyle name="GreybarHeader" xfId="208" xr:uid="{00000000-0005-0000-0000-0000D0000000}"/>
    <cellStyle name="Grouped Head" xfId="209" xr:uid="{00000000-0005-0000-0000-0000D1000000}"/>
    <cellStyle name="h" xfId="210" xr:uid="{00000000-0005-0000-0000-0000D2000000}"/>
    <cellStyle name="HAlignCenter" xfId="211" xr:uid="{00000000-0005-0000-0000-0000D3000000}"/>
    <cellStyle name="HAlignLeft" xfId="212" xr:uid="{00000000-0005-0000-0000-0000D4000000}"/>
    <cellStyle name="HAlignRight" xfId="213" xr:uid="{00000000-0005-0000-0000-0000D5000000}"/>
    <cellStyle name="Head 1" xfId="214" xr:uid="{00000000-0005-0000-0000-0000D6000000}"/>
    <cellStyle name="Header" xfId="215" xr:uid="{00000000-0005-0000-0000-0000D7000000}"/>
    <cellStyle name="Header1" xfId="216" xr:uid="{00000000-0005-0000-0000-0000D8000000}"/>
    <cellStyle name="Header2" xfId="217" xr:uid="{00000000-0005-0000-0000-0000D9000000}"/>
    <cellStyle name="headers" xfId="218" xr:uid="{00000000-0005-0000-0000-0000DA000000}"/>
    <cellStyle name="Heading" xfId="219" xr:uid="{00000000-0005-0000-0000-0000DB000000}"/>
    <cellStyle name="HEADINGS" xfId="220" xr:uid="{00000000-0005-0000-0000-0000DC000000}"/>
    <cellStyle name="HEADINGSTOP" xfId="221" xr:uid="{00000000-0005-0000-0000-0000DD000000}"/>
    <cellStyle name="imput" xfId="222" xr:uid="{00000000-0005-0000-0000-0000DE000000}"/>
    <cellStyle name="Input [yellow]" xfId="223" xr:uid="{00000000-0005-0000-0000-0000DF000000}"/>
    <cellStyle name="Invisible" xfId="224" xr:uid="{00000000-0005-0000-0000-0000E0000000}"/>
    <cellStyle name="ItalicHeader" xfId="225" xr:uid="{00000000-0005-0000-0000-0000E1000000}"/>
    <cellStyle name="Item Descriptions" xfId="226" xr:uid="{00000000-0005-0000-0000-0000E2000000}"/>
    <cellStyle name="Item Descriptions - Bold" xfId="227" xr:uid="{00000000-0005-0000-0000-0000E3000000}"/>
    <cellStyle name="Item Descriptions_6079BX" xfId="228" xr:uid="{00000000-0005-0000-0000-0000E4000000}"/>
    <cellStyle name="Left" xfId="229" xr:uid="{00000000-0005-0000-0000-0000E5000000}"/>
    <cellStyle name="LeftBold" xfId="230" xr:uid="{00000000-0005-0000-0000-0000E6000000}"/>
    <cellStyle name="LeftBoldBottomRule" xfId="231" xr:uid="{00000000-0005-0000-0000-0000E7000000}"/>
    <cellStyle name="LeftBoldCenterRule" xfId="232" xr:uid="{00000000-0005-0000-0000-0000E8000000}"/>
    <cellStyle name="Line" xfId="233" xr:uid="{00000000-0005-0000-0000-0000E9000000}"/>
    <cellStyle name="Link Currency (0)" xfId="234" xr:uid="{00000000-0005-0000-0000-0000EA000000}"/>
    <cellStyle name="Link Currency (2)" xfId="235" xr:uid="{00000000-0005-0000-0000-0000EB000000}"/>
    <cellStyle name="Link Units (0)" xfId="236" xr:uid="{00000000-0005-0000-0000-0000EC000000}"/>
    <cellStyle name="Link Units (1)" xfId="237" xr:uid="{00000000-0005-0000-0000-0000ED000000}"/>
    <cellStyle name="Link Units (2)" xfId="238" xr:uid="{00000000-0005-0000-0000-0000EE000000}"/>
    <cellStyle name="locked" xfId="239" xr:uid="{00000000-0005-0000-0000-0000EF000000}"/>
    <cellStyle name="m&amp;a" xfId="240" xr:uid="{00000000-0005-0000-0000-0000F0000000}"/>
    <cellStyle name="Map Labels" xfId="241" xr:uid="{00000000-0005-0000-0000-0000F1000000}"/>
    <cellStyle name="Map Legend" xfId="242" xr:uid="{00000000-0005-0000-0000-0000F2000000}"/>
    <cellStyle name="Merrill" xfId="243" xr:uid="{00000000-0005-0000-0000-0000F3000000}"/>
    <cellStyle name="Millares_Inv Detail A7" xfId="244" xr:uid="{00000000-0005-0000-0000-0000F4000000}"/>
    <cellStyle name="Milliers [0]_r00SC" xfId="245" xr:uid="{00000000-0005-0000-0000-0000F5000000}"/>
    <cellStyle name="Milliers_r00SC" xfId="246" xr:uid="{00000000-0005-0000-0000-0000F6000000}"/>
    <cellStyle name="Mix" xfId="247" xr:uid="{00000000-0005-0000-0000-0000F7000000}"/>
    <cellStyle name="mon" xfId="248" xr:uid="{00000000-0005-0000-0000-0000F8000000}"/>
    <cellStyle name="Monétaire [0]_r00SC" xfId="249" xr:uid="{00000000-0005-0000-0000-0000F9000000}"/>
    <cellStyle name="Monétaire_r00SC" xfId="250" xr:uid="{00000000-0005-0000-0000-0000FA000000}"/>
    <cellStyle name="Money" xfId="251" xr:uid="{00000000-0005-0000-0000-0000FB000000}"/>
    <cellStyle name="Multiple" xfId="252" xr:uid="{00000000-0005-0000-0000-0000FC000000}"/>
    <cellStyle name="Multiple []" xfId="253" xr:uid="{00000000-0005-0000-0000-0000FD000000}"/>
    <cellStyle name="Multiple [0]" xfId="254" xr:uid="{00000000-0005-0000-0000-0000FE000000}"/>
    <cellStyle name="Multiple [0] []" xfId="255" xr:uid="{00000000-0005-0000-0000-0000FF000000}"/>
    <cellStyle name="Multiple [0]_New MA Public Comps and WACC Model" xfId="256" xr:uid="{00000000-0005-0000-0000-000000010000}"/>
    <cellStyle name="Multiple [1]" xfId="257" xr:uid="{00000000-0005-0000-0000-000001010000}"/>
    <cellStyle name="Multiple [1] []" xfId="258" xr:uid="{00000000-0005-0000-0000-000002010000}"/>
    <cellStyle name="Multiple [1]_New MA Public Comps and WACC Model" xfId="259" xr:uid="{00000000-0005-0000-0000-000003010000}"/>
    <cellStyle name="Multiple_CapitalSum" xfId="260" xr:uid="{00000000-0005-0000-0000-000004010000}"/>
    <cellStyle name="N2Style" xfId="261" xr:uid="{00000000-0005-0000-0000-000005010000}"/>
    <cellStyle name="NewColumnHeaderNormal" xfId="262" xr:uid="{00000000-0005-0000-0000-000006010000}"/>
    <cellStyle name="NewSectionHeaderNormal" xfId="263" xr:uid="{00000000-0005-0000-0000-000007010000}"/>
    <cellStyle name="NewTitleNormal" xfId="264" xr:uid="{00000000-0005-0000-0000-000008010000}"/>
    <cellStyle name="Normal" xfId="0" builtinId="0"/>
    <cellStyle name="Normal - Style1" xfId="265" xr:uid="{00000000-0005-0000-0000-00000A010000}"/>
    <cellStyle name="Normal 2" xfId="266" xr:uid="{00000000-0005-0000-0000-00000B010000}"/>
    <cellStyle name="Normal 2 2" xfId="267" xr:uid="{00000000-0005-0000-0000-00000C010000}"/>
    <cellStyle name="Normal 2 2 2" xfId="897" xr:uid="{69D8770F-8C24-488D-9C0F-1CBA5FAD824F}"/>
    <cellStyle name="Normal 3" xfId="898" xr:uid="{73527A04-4F72-4DE2-A753-BC961303D76C}"/>
    <cellStyle name="Normal 3 2" xfId="899" xr:uid="{1BD7C771-AF66-4787-A9FE-D6477C9FCDE6}"/>
    <cellStyle name="Normal1" xfId="268" xr:uid="{00000000-0005-0000-0000-00000D010000}"/>
    <cellStyle name="Normal10" xfId="269" xr:uid="{00000000-0005-0000-0000-00000E010000}"/>
    <cellStyle name="Normal100" xfId="270" xr:uid="{00000000-0005-0000-0000-00000F010000}"/>
    <cellStyle name="Normal101" xfId="271" xr:uid="{00000000-0005-0000-0000-000010010000}"/>
    <cellStyle name="Normal102" xfId="272" xr:uid="{00000000-0005-0000-0000-000011010000}"/>
    <cellStyle name="Normal103" xfId="273" xr:uid="{00000000-0005-0000-0000-000012010000}"/>
    <cellStyle name="Normal104" xfId="274" xr:uid="{00000000-0005-0000-0000-000013010000}"/>
    <cellStyle name="Normal105" xfId="275" xr:uid="{00000000-0005-0000-0000-000014010000}"/>
    <cellStyle name="Normal106" xfId="276" xr:uid="{00000000-0005-0000-0000-000015010000}"/>
    <cellStyle name="Normal107" xfId="277" xr:uid="{00000000-0005-0000-0000-000016010000}"/>
    <cellStyle name="Normal108" xfId="278" xr:uid="{00000000-0005-0000-0000-000017010000}"/>
    <cellStyle name="Normal109" xfId="279" xr:uid="{00000000-0005-0000-0000-000018010000}"/>
    <cellStyle name="Normal11" xfId="280" xr:uid="{00000000-0005-0000-0000-000019010000}"/>
    <cellStyle name="Normal110" xfId="281" xr:uid="{00000000-0005-0000-0000-00001A010000}"/>
    <cellStyle name="Normal111" xfId="282" xr:uid="{00000000-0005-0000-0000-00001B010000}"/>
    <cellStyle name="Normal112" xfId="283" xr:uid="{00000000-0005-0000-0000-00001C010000}"/>
    <cellStyle name="Normal113" xfId="284" xr:uid="{00000000-0005-0000-0000-00001D010000}"/>
    <cellStyle name="Normal114" xfId="285" xr:uid="{00000000-0005-0000-0000-00001E010000}"/>
    <cellStyle name="Normal115" xfId="286" xr:uid="{00000000-0005-0000-0000-00001F010000}"/>
    <cellStyle name="Normal116" xfId="287" xr:uid="{00000000-0005-0000-0000-000020010000}"/>
    <cellStyle name="Normal117" xfId="288" xr:uid="{00000000-0005-0000-0000-000021010000}"/>
    <cellStyle name="Normal118" xfId="289" xr:uid="{00000000-0005-0000-0000-000022010000}"/>
    <cellStyle name="Normal119" xfId="290" xr:uid="{00000000-0005-0000-0000-000023010000}"/>
    <cellStyle name="Normal12" xfId="291" xr:uid="{00000000-0005-0000-0000-000024010000}"/>
    <cellStyle name="Normal120" xfId="292" xr:uid="{00000000-0005-0000-0000-000025010000}"/>
    <cellStyle name="Normal121" xfId="293" xr:uid="{00000000-0005-0000-0000-000026010000}"/>
    <cellStyle name="Normal122" xfId="294" xr:uid="{00000000-0005-0000-0000-000027010000}"/>
    <cellStyle name="Normal123" xfId="295" xr:uid="{00000000-0005-0000-0000-000028010000}"/>
    <cellStyle name="Normal124" xfId="296" xr:uid="{00000000-0005-0000-0000-000029010000}"/>
    <cellStyle name="Normal125" xfId="297" xr:uid="{00000000-0005-0000-0000-00002A010000}"/>
    <cellStyle name="Normal126" xfId="298" xr:uid="{00000000-0005-0000-0000-00002B010000}"/>
    <cellStyle name="Normal127" xfId="299" xr:uid="{00000000-0005-0000-0000-00002C010000}"/>
    <cellStyle name="Normal128" xfId="300" xr:uid="{00000000-0005-0000-0000-00002D010000}"/>
    <cellStyle name="Normal129" xfId="301" xr:uid="{00000000-0005-0000-0000-00002E010000}"/>
    <cellStyle name="Normal13" xfId="302" xr:uid="{00000000-0005-0000-0000-00002F010000}"/>
    <cellStyle name="Normal130" xfId="303" xr:uid="{00000000-0005-0000-0000-000030010000}"/>
    <cellStyle name="Normal131" xfId="304" xr:uid="{00000000-0005-0000-0000-000031010000}"/>
    <cellStyle name="Normal132" xfId="305" xr:uid="{00000000-0005-0000-0000-000032010000}"/>
    <cellStyle name="Normal133" xfId="306" xr:uid="{00000000-0005-0000-0000-000033010000}"/>
    <cellStyle name="Normal134" xfId="307" xr:uid="{00000000-0005-0000-0000-000034010000}"/>
    <cellStyle name="Normal135" xfId="308" xr:uid="{00000000-0005-0000-0000-000035010000}"/>
    <cellStyle name="Normal136" xfId="309" xr:uid="{00000000-0005-0000-0000-000036010000}"/>
    <cellStyle name="Normal137" xfId="310" xr:uid="{00000000-0005-0000-0000-000037010000}"/>
    <cellStyle name="Normal138" xfId="311" xr:uid="{00000000-0005-0000-0000-000038010000}"/>
    <cellStyle name="Normal139" xfId="312" xr:uid="{00000000-0005-0000-0000-000039010000}"/>
    <cellStyle name="Normal14" xfId="313" xr:uid="{00000000-0005-0000-0000-00003A010000}"/>
    <cellStyle name="Normal140" xfId="314" xr:uid="{00000000-0005-0000-0000-00003B010000}"/>
    <cellStyle name="Normal141" xfId="315" xr:uid="{00000000-0005-0000-0000-00003C010000}"/>
    <cellStyle name="Normal142" xfId="316" xr:uid="{00000000-0005-0000-0000-00003D010000}"/>
    <cellStyle name="Normal143" xfId="317" xr:uid="{00000000-0005-0000-0000-00003E010000}"/>
    <cellStyle name="Normal144" xfId="318" xr:uid="{00000000-0005-0000-0000-00003F010000}"/>
    <cellStyle name="Normal145" xfId="319" xr:uid="{00000000-0005-0000-0000-000040010000}"/>
    <cellStyle name="Normal146" xfId="320" xr:uid="{00000000-0005-0000-0000-000041010000}"/>
    <cellStyle name="Normal147" xfId="321" xr:uid="{00000000-0005-0000-0000-000042010000}"/>
    <cellStyle name="Normal148" xfId="322" xr:uid="{00000000-0005-0000-0000-000043010000}"/>
    <cellStyle name="Normal149" xfId="323" xr:uid="{00000000-0005-0000-0000-000044010000}"/>
    <cellStyle name="Normal15" xfId="324" xr:uid="{00000000-0005-0000-0000-000045010000}"/>
    <cellStyle name="Normal150" xfId="325" xr:uid="{00000000-0005-0000-0000-000046010000}"/>
    <cellStyle name="Normal151" xfId="326" xr:uid="{00000000-0005-0000-0000-000047010000}"/>
    <cellStyle name="Normal152" xfId="327" xr:uid="{00000000-0005-0000-0000-000048010000}"/>
    <cellStyle name="Normal153" xfId="328" xr:uid="{00000000-0005-0000-0000-000049010000}"/>
    <cellStyle name="Normal154" xfId="329" xr:uid="{00000000-0005-0000-0000-00004A010000}"/>
    <cellStyle name="Normal155" xfId="330" xr:uid="{00000000-0005-0000-0000-00004B010000}"/>
    <cellStyle name="Normal156" xfId="331" xr:uid="{00000000-0005-0000-0000-00004C010000}"/>
    <cellStyle name="Normal157" xfId="332" xr:uid="{00000000-0005-0000-0000-00004D010000}"/>
    <cellStyle name="Normal158" xfId="333" xr:uid="{00000000-0005-0000-0000-00004E010000}"/>
    <cellStyle name="Normal159" xfId="334" xr:uid="{00000000-0005-0000-0000-00004F010000}"/>
    <cellStyle name="Normal16" xfId="335" xr:uid="{00000000-0005-0000-0000-000050010000}"/>
    <cellStyle name="Normal160" xfId="336" xr:uid="{00000000-0005-0000-0000-000051010000}"/>
    <cellStyle name="Normal161" xfId="337" xr:uid="{00000000-0005-0000-0000-000052010000}"/>
    <cellStyle name="Normal162" xfId="338" xr:uid="{00000000-0005-0000-0000-000053010000}"/>
    <cellStyle name="Normal163" xfId="339" xr:uid="{00000000-0005-0000-0000-000054010000}"/>
    <cellStyle name="Normal164" xfId="340" xr:uid="{00000000-0005-0000-0000-000055010000}"/>
    <cellStyle name="Normal165" xfId="341" xr:uid="{00000000-0005-0000-0000-000056010000}"/>
    <cellStyle name="Normal166" xfId="342" xr:uid="{00000000-0005-0000-0000-000057010000}"/>
    <cellStyle name="Normal167" xfId="343" xr:uid="{00000000-0005-0000-0000-000058010000}"/>
    <cellStyle name="Normal168" xfId="344" xr:uid="{00000000-0005-0000-0000-000059010000}"/>
    <cellStyle name="Normal169" xfId="345" xr:uid="{00000000-0005-0000-0000-00005A010000}"/>
    <cellStyle name="Normal17" xfId="346" xr:uid="{00000000-0005-0000-0000-00005B010000}"/>
    <cellStyle name="Normal170" xfId="347" xr:uid="{00000000-0005-0000-0000-00005C010000}"/>
    <cellStyle name="Normal171" xfId="348" xr:uid="{00000000-0005-0000-0000-00005D010000}"/>
    <cellStyle name="Normal172" xfId="349" xr:uid="{00000000-0005-0000-0000-00005E010000}"/>
    <cellStyle name="Normal173" xfId="350" xr:uid="{00000000-0005-0000-0000-00005F010000}"/>
    <cellStyle name="Normal174" xfId="351" xr:uid="{00000000-0005-0000-0000-000060010000}"/>
    <cellStyle name="Normal175" xfId="352" xr:uid="{00000000-0005-0000-0000-000061010000}"/>
    <cellStyle name="Normal176" xfId="353" xr:uid="{00000000-0005-0000-0000-000062010000}"/>
    <cellStyle name="Normal177" xfId="354" xr:uid="{00000000-0005-0000-0000-000063010000}"/>
    <cellStyle name="Normal178" xfId="355" xr:uid="{00000000-0005-0000-0000-000064010000}"/>
    <cellStyle name="Normal179" xfId="356" xr:uid="{00000000-0005-0000-0000-000065010000}"/>
    <cellStyle name="Normal18" xfId="357" xr:uid="{00000000-0005-0000-0000-000066010000}"/>
    <cellStyle name="Normal180" xfId="358" xr:uid="{00000000-0005-0000-0000-000067010000}"/>
    <cellStyle name="Normal181" xfId="359" xr:uid="{00000000-0005-0000-0000-000068010000}"/>
    <cellStyle name="Normal182" xfId="360" xr:uid="{00000000-0005-0000-0000-000069010000}"/>
    <cellStyle name="Normal183" xfId="361" xr:uid="{00000000-0005-0000-0000-00006A010000}"/>
    <cellStyle name="Normal184" xfId="362" xr:uid="{00000000-0005-0000-0000-00006B010000}"/>
    <cellStyle name="Normal185" xfId="363" xr:uid="{00000000-0005-0000-0000-00006C010000}"/>
    <cellStyle name="Normal186" xfId="364" xr:uid="{00000000-0005-0000-0000-00006D010000}"/>
    <cellStyle name="Normal187" xfId="365" xr:uid="{00000000-0005-0000-0000-00006E010000}"/>
    <cellStyle name="Normal188" xfId="366" xr:uid="{00000000-0005-0000-0000-00006F010000}"/>
    <cellStyle name="Normal189" xfId="367" xr:uid="{00000000-0005-0000-0000-000070010000}"/>
    <cellStyle name="Normal19" xfId="368" xr:uid="{00000000-0005-0000-0000-000071010000}"/>
    <cellStyle name="Normal190" xfId="369" xr:uid="{00000000-0005-0000-0000-000072010000}"/>
    <cellStyle name="Normal191" xfId="370" xr:uid="{00000000-0005-0000-0000-000073010000}"/>
    <cellStyle name="Normal192" xfId="371" xr:uid="{00000000-0005-0000-0000-000074010000}"/>
    <cellStyle name="Normal193" xfId="372" xr:uid="{00000000-0005-0000-0000-000075010000}"/>
    <cellStyle name="Normal194" xfId="373" xr:uid="{00000000-0005-0000-0000-000076010000}"/>
    <cellStyle name="Normal195" xfId="374" xr:uid="{00000000-0005-0000-0000-000077010000}"/>
    <cellStyle name="Normal196" xfId="375" xr:uid="{00000000-0005-0000-0000-000078010000}"/>
    <cellStyle name="Normal197" xfId="376" xr:uid="{00000000-0005-0000-0000-000079010000}"/>
    <cellStyle name="Normal198" xfId="377" xr:uid="{00000000-0005-0000-0000-00007A010000}"/>
    <cellStyle name="Normal199" xfId="378" xr:uid="{00000000-0005-0000-0000-00007B010000}"/>
    <cellStyle name="Normal2" xfId="379" xr:uid="{00000000-0005-0000-0000-00007C010000}"/>
    <cellStyle name="Normal20" xfId="380" xr:uid="{00000000-0005-0000-0000-00007D010000}"/>
    <cellStyle name="Normal200" xfId="381" xr:uid="{00000000-0005-0000-0000-00007E010000}"/>
    <cellStyle name="Normal201" xfId="382" xr:uid="{00000000-0005-0000-0000-00007F010000}"/>
    <cellStyle name="Normal202" xfId="383" xr:uid="{00000000-0005-0000-0000-000080010000}"/>
    <cellStyle name="Normal203" xfId="384" xr:uid="{00000000-0005-0000-0000-000081010000}"/>
    <cellStyle name="Normal204" xfId="385" xr:uid="{00000000-0005-0000-0000-000082010000}"/>
    <cellStyle name="Normal205" xfId="386" xr:uid="{00000000-0005-0000-0000-000083010000}"/>
    <cellStyle name="Normal206" xfId="387" xr:uid="{00000000-0005-0000-0000-000084010000}"/>
    <cellStyle name="Normal207" xfId="388" xr:uid="{00000000-0005-0000-0000-000085010000}"/>
    <cellStyle name="Normal208" xfId="389" xr:uid="{00000000-0005-0000-0000-000086010000}"/>
    <cellStyle name="Normal209" xfId="390" xr:uid="{00000000-0005-0000-0000-000087010000}"/>
    <cellStyle name="Normal21" xfId="391" xr:uid="{00000000-0005-0000-0000-000088010000}"/>
    <cellStyle name="Normal210" xfId="392" xr:uid="{00000000-0005-0000-0000-000089010000}"/>
    <cellStyle name="Normal211" xfId="393" xr:uid="{00000000-0005-0000-0000-00008A010000}"/>
    <cellStyle name="Normal212" xfId="394" xr:uid="{00000000-0005-0000-0000-00008B010000}"/>
    <cellStyle name="Normal213" xfId="395" xr:uid="{00000000-0005-0000-0000-00008C010000}"/>
    <cellStyle name="Normal214" xfId="396" xr:uid="{00000000-0005-0000-0000-00008D010000}"/>
    <cellStyle name="Normal215" xfId="397" xr:uid="{00000000-0005-0000-0000-00008E010000}"/>
    <cellStyle name="Normal216" xfId="398" xr:uid="{00000000-0005-0000-0000-00008F010000}"/>
    <cellStyle name="Normal217" xfId="399" xr:uid="{00000000-0005-0000-0000-000090010000}"/>
    <cellStyle name="Normal218" xfId="400" xr:uid="{00000000-0005-0000-0000-000091010000}"/>
    <cellStyle name="Normal219" xfId="401" xr:uid="{00000000-0005-0000-0000-000092010000}"/>
    <cellStyle name="Normal22" xfId="402" xr:uid="{00000000-0005-0000-0000-000093010000}"/>
    <cellStyle name="Normal220" xfId="403" xr:uid="{00000000-0005-0000-0000-000094010000}"/>
    <cellStyle name="Normal221" xfId="404" xr:uid="{00000000-0005-0000-0000-000095010000}"/>
    <cellStyle name="Normal222" xfId="405" xr:uid="{00000000-0005-0000-0000-000096010000}"/>
    <cellStyle name="Normal223" xfId="406" xr:uid="{00000000-0005-0000-0000-000097010000}"/>
    <cellStyle name="Normal224" xfId="407" xr:uid="{00000000-0005-0000-0000-000098010000}"/>
    <cellStyle name="Normal225" xfId="408" xr:uid="{00000000-0005-0000-0000-000099010000}"/>
    <cellStyle name="Normal226" xfId="409" xr:uid="{00000000-0005-0000-0000-00009A010000}"/>
    <cellStyle name="Normal227" xfId="410" xr:uid="{00000000-0005-0000-0000-00009B010000}"/>
    <cellStyle name="Normal228" xfId="411" xr:uid="{00000000-0005-0000-0000-00009C010000}"/>
    <cellStyle name="Normal229" xfId="412" xr:uid="{00000000-0005-0000-0000-00009D010000}"/>
    <cellStyle name="Normal23" xfId="413" xr:uid="{00000000-0005-0000-0000-00009E010000}"/>
    <cellStyle name="Normal230" xfId="414" xr:uid="{00000000-0005-0000-0000-00009F010000}"/>
    <cellStyle name="Normal231" xfId="415" xr:uid="{00000000-0005-0000-0000-0000A0010000}"/>
    <cellStyle name="Normal232" xfId="416" xr:uid="{00000000-0005-0000-0000-0000A1010000}"/>
    <cellStyle name="Normal233" xfId="417" xr:uid="{00000000-0005-0000-0000-0000A2010000}"/>
    <cellStyle name="Normal234" xfId="418" xr:uid="{00000000-0005-0000-0000-0000A3010000}"/>
    <cellStyle name="Normal235" xfId="419" xr:uid="{00000000-0005-0000-0000-0000A4010000}"/>
    <cellStyle name="Normal236" xfId="420" xr:uid="{00000000-0005-0000-0000-0000A5010000}"/>
    <cellStyle name="Normal237" xfId="421" xr:uid="{00000000-0005-0000-0000-0000A6010000}"/>
    <cellStyle name="Normal238" xfId="422" xr:uid="{00000000-0005-0000-0000-0000A7010000}"/>
    <cellStyle name="Normal239" xfId="423" xr:uid="{00000000-0005-0000-0000-0000A8010000}"/>
    <cellStyle name="Normal24" xfId="424" xr:uid="{00000000-0005-0000-0000-0000A9010000}"/>
    <cellStyle name="Normal240" xfId="425" xr:uid="{00000000-0005-0000-0000-0000AA010000}"/>
    <cellStyle name="Normal241" xfId="426" xr:uid="{00000000-0005-0000-0000-0000AB010000}"/>
    <cellStyle name="Normal242" xfId="427" xr:uid="{00000000-0005-0000-0000-0000AC010000}"/>
    <cellStyle name="Normal243" xfId="428" xr:uid="{00000000-0005-0000-0000-0000AD010000}"/>
    <cellStyle name="Normal244" xfId="429" xr:uid="{00000000-0005-0000-0000-0000AE010000}"/>
    <cellStyle name="Normal245" xfId="430" xr:uid="{00000000-0005-0000-0000-0000AF010000}"/>
    <cellStyle name="Normal246" xfId="431" xr:uid="{00000000-0005-0000-0000-0000B0010000}"/>
    <cellStyle name="Normal247" xfId="432" xr:uid="{00000000-0005-0000-0000-0000B1010000}"/>
    <cellStyle name="Normal248" xfId="433" xr:uid="{00000000-0005-0000-0000-0000B2010000}"/>
    <cellStyle name="Normal249" xfId="434" xr:uid="{00000000-0005-0000-0000-0000B3010000}"/>
    <cellStyle name="Normal25" xfId="435" xr:uid="{00000000-0005-0000-0000-0000B4010000}"/>
    <cellStyle name="Normal250" xfId="436" xr:uid="{00000000-0005-0000-0000-0000B5010000}"/>
    <cellStyle name="Normal251" xfId="437" xr:uid="{00000000-0005-0000-0000-0000B6010000}"/>
    <cellStyle name="Normal252" xfId="438" xr:uid="{00000000-0005-0000-0000-0000B7010000}"/>
    <cellStyle name="Normal253" xfId="439" xr:uid="{00000000-0005-0000-0000-0000B8010000}"/>
    <cellStyle name="Normal26" xfId="440" xr:uid="{00000000-0005-0000-0000-0000B9010000}"/>
    <cellStyle name="Normal27" xfId="441" xr:uid="{00000000-0005-0000-0000-0000BA010000}"/>
    <cellStyle name="Normal28" xfId="442" xr:uid="{00000000-0005-0000-0000-0000BB010000}"/>
    <cellStyle name="Normal29" xfId="443" xr:uid="{00000000-0005-0000-0000-0000BC010000}"/>
    <cellStyle name="Normal3" xfId="444" xr:uid="{00000000-0005-0000-0000-0000BD010000}"/>
    <cellStyle name="Normal30" xfId="445" xr:uid="{00000000-0005-0000-0000-0000BE010000}"/>
    <cellStyle name="Normal31" xfId="446" xr:uid="{00000000-0005-0000-0000-0000BF010000}"/>
    <cellStyle name="Normal32" xfId="447" xr:uid="{00000000-0005-0000-0000-0000C0010000}"/>
    <cellStyle name="Normal33" xfId="448" xr:uid="{00000000-0005-0000-0000-0000C1010000}"/>
    <cellStyle name="Normal34" xfId="449" xr:uid="{00000000-0005-0000-0000-0000C2010000}"/>
    <cellStyle name="Normal35" xfId="450" xr:uid="{00000000-0005-0000-0000-0000C3010000}"/>
    <cellStyle name="Normal36" xfId="451" xr:uid="{00000000-0005-0000-0000-0000C4010000}"/>
    <cellStyle name="Normal37" xfId="452" xr:uid="{00000000-0005-0000-0000-0000C5010000}"/>
    <cellStyle name="Normal38" xfId="453" xr:uid="{00000000-0005-0000-0000-0000C6010000}"/>
    <cellStyle name="Normal39" xfId="454" xr:uid="{00000000-0005-0000-0000-0000C7010000}"/>
    <cellStyle name="Normal4" xfId="455" xr:uid="{00000000-0005-0000-0000-0000C8010000}"/>
    <cellStyle name="Normal40" xfId="456" xr:uid="{00000000-0005-0000-0000-0000C9010000}"/>
    <cellStyle name="Normal41" xfId="457" xr:uid="{00000000-0005-0000-0000-0000CA010000}"/>
    <cellStyle name="Normal42" xfId="458" xr:uid="{00000000-0005-0000-0000-0000CB010000}"/>
    <cellStyle name="Normal43" xfId="459" xr:uid="{00000000-0005-0000-0000-0000CC010000}"/>
    <cellStyle name="Normal44" xfId="460" xr:uid="{00000000-0005-0000-0000-0000CD010000}"/>
    <cellStyle name="Normal45" xfId="461" xr:uid="{00000000-0005-0000-0000-0000CE010000}"/>
    <cellStyle name="Normal46" xfId="462" xr:uid="{00000000-0005-0000-0000-0000CF010000}"/>
    <cellStyle name="Normal47" xfId="463" xr:uid="{00000000-0005-0000-0000-0000D0010000}"/>
    <cellStyle name="Normal48" xfId="464" xr:uid="{00000000-0005-0000-0000-0000D1010000}"/>
    <cellStyle name="Normal49" xfId="465" xr:uid="{00000000-0005-0000-0000-0000D2010000}"/>
    <cellStyle name="Normal5" xfId="466" xr:uid="{00000000-0005-0000-0000-0000D3010000}"/>
    <cellStyle name="Normal50" xfId="467" xr:uid="{00000000-0005-0000-0000-0000D4010000}"/>
    <cellStyle name="Normal51" xfId="468" xr:uid="{00000000-0005-0000-0000-0000D5010000}"/>
    <cellStyle name="Normal52" xfId="469" xr:uid="{00000000-0005-0000-0000-0000D6010000}"/>
    <cellStyle name="Normal53" xfId="470" xr:uid="{00000000-0005-0000-0000-0000D7010000}"/>
    <cellStyle name="Normal54" xfId="471" xr:uid="{00000000-0005-0000-0000-0000D8010000}"/>
    <cellStyle name="Normal55" xfId="472" xr:uid="{00000000-0005-0000-0000-0000D9010000}"/>
    <cellStyle name="Normal56" xfId="473" xr:uid="{00000000-0005-0000-0000-0000DA010000}"/>
    <cellStyle name="Normal57" xfId="474" xr:uid="{00000000-0005-0000-0000-0000DB010000}"/>
    <cellStyle name="Normal58" xfId="475" xr:uid="{00000000-0005-0000-0000-0000DC010000}"/>
    <cellStyle name="Normal59" xfId="476" xr:uid="{00000000-0005-0000-0000-0000DD010000}"/>
    <cellStyle name="Normal6" xfId="477" xr:uid="{00000000-0005-0000-0000-0000DE010000}"/>
    <cellStyle name="Normal60" xfId="478" xr:uid="{00000000-0005-0000-0000-0000DF010000}"/>
    <cellStyle name="Normal61" xfId="479" xr:uid="{00000000-0005-0000-0000-0000E0010000}"/>
    <cellStyle name="Normal62" xfId="480" xr:uid="{00000000-0005-0000-0000-0000E1010000}"/>
    <cellStyle name="Normal63" xfId="481" xr:uid="{00000000-0005-0000-0000-0000E2010000}"/>
    <cellStyle name="Normal64" xfId="482" xr:uid="{00000000-0005-0000-0000-0000E3010000}"/>
    <cellStyle name="Normal65" xfId="483" xr:uid="{00000000-0005-0000-0000-0000E4010000}"/>
    <cellStyle name="Normal66" xfId="484" xr:uid="{00000000-0005-0000-0000-0000E5010000}"/>
    <cellStyle name="Normal67" xfId="485" xr:uid="{00000000-0005-0000-0000-0000E6010000}"/>
    <cellStyle name="Normal68" xfId="486" xr:uid="{00000000-0005-0000-0000-0000E7010000}"/>
    <cellStyle name="Normal69" xfId="487" xr:uid="{00000000-0005-0000-0000-0000E8010000}"/>
    <cellStyle name="Normal7" xfId="488" xr:uid="{00000000-0005-0000-0000-0000E9010000}"/>
    <cellStyle name="Normal70" xfId="489" xr:uid="{00000000-0005-0000-0000-0000EA010000}"/>
    <cellStyle name="Normal71" xfId="490" xr:uid="{00000000-0005-0000-0000-0000EB010000}"/>
    <cellStyle name="Normal72" xfId="491" xr:uid="{00000000-0005-0000-0000-0000EC010000}"/>
    <cellStyle name="Normal73" xfId="492" xr:uid="{00000000-0005-0000-0000-0000ED010000}"/>
    <cellStyle name="Normal74" xfId="493" xr:uid="{00000000-0005-0000-0000-0000EE010000}"/>
    <cellStyle name="Normal75" xfId="494" xr:uid="{00000000-0005-0000-0000-0000EF010000}"/>
    <cellStyle name="Normal76" xfId="495" xr:uid="{00000000-0005-0000-0000-0000F0010000}"/>
    <cellStyle name="Normal77" xfId="496" xr:uid="{00000000-0005-0000-0000-0000F1010000}"/>
    <cellStyle name="Normal78" xfId="497" xr:uid="{00000000-0005-0000-0000-0000F2010000}"/>
    <cellStyle name="Normal79" xfId="498" xr:uid="{00000000-0005-0000-0000-0000F3010000}"/>
    <cellStyle name="Normal8" xfId="499" xr:uid="{00000000-0005-0000-0000-0000F4010000}"/>
    <cellStyle name="Normal80" xfId="500" xr:uid="{00000000-0005-0000-0000-0000F5010000}"/>
    <cellStyle name="Normal81" xfId="501" xr:uid="{00000000-0005-0000-0000-0000F6010000}"/>
    <cellStyle name="Normal82" xfId="502" xr:uid="{00000000-0005-0000-0000-0000F7010000}"/>
    <cellStyle name="Normal83" xfId="503" xr:uid="{00000000-0005-0000-0000-0000F8010000}"/>
    <cellStyle name="Normal84" xfId="504" xr:uid="{00000000-0005-0000-0000-0000F9010000}"/>
    <cellStyle name="Normal85" xfId="505" xr:uid="{00000000-0005-0000-0000-0000FA010000}"/>
    <cellStyle name="Normal86" xfId="506" xr:uid="{00000000-0005-0000-0000-0000FB010000}"/>
    <cellStyle name="Normal87" xfId="507" xr:uid="{00000000-0005-0000-0000-0000FC010000}"/>
    <cellStyle name="Normal88" xfId="508" xr:uid="{00000000-0005-0000-0000-0000FD010000}"/>
    <cellStyle name="Normal89" xfId="509" xr:uid="{00000000-0005-0000-0000-0000FE010000}"/>
    <cellStyle name="Normal9" xfId="510" xr:uid="{00000000-0005-0000-0000-0000FF010000}"/>
    <cellStyle name="Normal90" xfId="511" xr:uid="{00000000-0005-0000-0000-000000020000}"/>
    <cellStyle name="Normal91" xfId="512" xr:uid="{00000000-0005-0000-0000-000001020000}"/>
    <cellStyle name="Normal92" xfId="513" xr:uid="{00000000-0005-0000-0000-000002020000}"/>
    <cellStyle name="Normal93" xfId="514" xr:uid="{00000000-0005-0000-0000-000003020000}"/>
    <cellStyle name="Normal94" xfId="515" xr:uid="{00000000-0005-0000-0000-000004020000}"/>
    <cellStyle name="Normal95" xfId="516" xr:uid="{00000000-0005-0000-0000-000005020000}"/>
    <cellStyle name="Normal96" xfId="517" xr:uid="{00000000-0005-0000-0000-000006020000}"/>
    <cellStyle name="Normal97" xfId="518" xr:uid="{00000000-0005-0000-0000-000007020000}"/>
    <cellStyle name="Normal98" xfId="519" xr:uid="{00000000-0005-0000-0000-000008020000}"/>
    <cellStyle name="Normal99" xfId="520" xr:uid="{00000000-0005-0000-0000-000009020000}"/>
    <cellStyle name="NotDeclared_1" xfId="521" xr:uid="{00000000-0005-0000-0000-00000A020000}"/>
    <cellStyle name="Numbers" xfId="522" xr:uid="{00000000-0005-0000-0000-00000B020000}"/>
    <cellStyle name="Numbers - Bold" xfId="523" xr:uid="{00000000-0005-0000-0000-00000C020000}"/>
    <cellStyle name="Numbers - Bold - Italic" xfId="524" xr:uid="{00000000-0005-0000-0000-00000D020000}"/>
    <cellStyle name="Numbers - Bold_6079BX" xfId="525" xr:uid="{00000000-0005-0000-0000-00000E020000}"/>
    <cellStyle name="Numbers - Large" xfId="526" xr:uid="{00000000-0005-0000-0000-00000F020000}"/>
    <cellStyle name="Numbers_6079BX" xfId="527" xr:uid="{00000000-0005-0000-0000-000010020000}"/>
    <cellStyle name="OSW_RowLabels" xfId="528" xr:uid="{00000000-0005-0000-0000-000011020000}"/>
    <cellStyle name="Outline" xfId="529" xr:uid="{00000000-0005-0000-0000-000012020000}"/>
    <cellStyle name="Output Amounts" xfId="530" xr:uid="{00000000-0005-0000-0000-000013020000}"/>
    <cellStyle name="Output Column Headings" xfId="531" xr:uid="{00000000-0005-0000-0000-000014020000}"/>
    <cellStyle name="Output Line Items" xfId="532" xr:uid="{00000000-0005-0000-0000-000015020000}"/>
    <cellStyle name="Output Report Heading" xfId="533" xr:uid="{00000000-0005-0000-0000-000016020000}"/>
    <cellStyle name="Page" xfId="534" xr:uid="{00000000-0005-0000-0000-000017020000}"/>
    <cellStyle name="PB Table Heading" xfId="535" xr:uid="{00000000-0005-0000-0000-000018020000}"/>
    <cellStyle name="PB Table Highlight1" xfId="536" xr:uid="{00000000-0005-0000-0000-000019020000}"/>
    <cellStyle name="PB Table Highlight2" xfId="537" xr:uid="{00000000-0005-0000-0000-00001A020000}"/>
    <cellStyle name="PB Table Highlight3" xfId="538" xr:uid="{00000000-0005-0000-0000-00001B020000}"/>
    <cellStyle name="PB Table Standard Row" xfId="539" xr:uid="{00000000-0005-0000-0000-00001C020000}"/>
    <cellStyle name="PB Table Subtotal Row" xfId="540" xr:uid="{00000000-0005-0000-0000-00001D020000}"/>
    <cellStyle name="PB Table Total Row" xfId="541" xr:uid="{00000000-0005-0000-0000-00001E020000}"/>
    <cellStyle name="per.style" xfId="542" xr:uid="{00000000-0005-0000-0000-00001F020000}"/>
    <cellStyle name="Percent" xfId="543" builtinId="5"/>
    <cellStyle name="Percent [0]" xfId="544" xr:uid="{00000000-0005-0000-0000-000021020000}"/>
    <cellStyle name="Percent [00]" xfId="545" xr:uid="{00000000-0005-0000-0000-000022020000}"/>
    <cellStyle name="Percent [1]" xfId="546" xr:uid="{00000000-0005-0000-0000-000023020000}"/>
    <cellStyle name="Percent [1][]" xfId="547" xr:uid="{00000000-0005-0000-0000-000024020000}"/>
    <cellStyle name="Percent [1]_New MA Public Comps and WACC Model" xfId="548" xr:uid="{00000000-0005-0000-0000-000025020000}"/>
    <cellStyle name="Percent [2]" xfId="549" xr:uid="{00000000-0005-0000-0000-000026020000}"/>
    <cellStyle name="Percent 2" xfId="550" xr:uid="{00000000-0005-0000-0000-000027020000}"/>
    <cellStyle name="Percent 2 2" xfId="901" xr:uid="{75586810-CF49-4028-B9FD-50F2F0EA09E1}"/>
    <cellStyle name="Percent Comma" xfId="551" xr:uid="{00000000-0005-0000-0000-000028020000}"/>
    <cellStyle name="Percent1" xfId="552" xr:uid="{00000000-0005-0000-0000-000029020000}"/>
    <cellStyle name="Percent10" xfId="553" xr:uid="{00000000-0005-0000-0000-00002A020000}"/>
    <cellStyle name="Percent100" xfId="554" xr:uid="{00000000-0005-0000-0000-00002B020000}"/>
    <cellStyle name="Percent101" xfId="555" xr:uid="{00000000-0005-0000-0000-00002C020000}"/>
    <cellStyle name="Percent102" xfId="556" xr:uid="{00000000-0005-0000-0000-00002D020000}"/>
    <cellStyle name="Percent103" xfId="557" xr:uid="{00000000-0005-0000-0000-00002E020000}"/>
    <cellStyle name="Percent104" xfId="558" xr:uid="{00000000-0005-0000-0000-00002F020000}"/>
    <cellStyle name="Percent105" xfId="559" xr:uid="{00000000-0005-0000-0000-000030020000}"/>
    <cellStyle name="Percent106" xfId="560" xr:uid="{00000000-0005-0000-0000-000031020000}"/>
    <cellStyle name="Percent107" xfId="561" xr:uid="{00000000-0005-0000-0000-000032020000}"/>
    <cellStyle name="Percent108" xfId="562" xr:uid="{00000000-0005-0000-0000-000033020000}"/>
    <cellStyle name="Percent109" xfId="563" xr:uid="{00000000-0005-0000-0000-000034020000}"/>
    <cellStyle name="Percent11" xfId="564" xr:uid="{00000000-0005-0000-0000-000035020000}"/>
    <cellStyle name="Percent110" xfId="565" xr:uid="{00000000-0005-0000-0000-000036020000}"/>
    <cellStyle name="Percent111" xfId="566" xr:uid="{00000000-0005-0000-0000-000037020000}"/>
    <cellStyle name="Percent112" xfId="567" xr:uid="{00000000-0005-0000-0000-000038020000}"/>
    <cellStyle name="Percent113" xfId="568" xr:uid="{00000000-0005-0000-0000-000039020000}"/>
    <cellStyle name="Percent114" xfId="569" xr:uid="{00000000-0005-0000-0000-00003A020000}"/>
    <cellStyle name="Percent115" xfId="570" xr:uid="{00000000-0005-0000-0000-00003B020000}"/>
    <cellStyle name="Percent116" xfId="571" xr:uid="{00000000-0005-0000-0000-00003C020000}"/>
    <cellStyle name="Percent117" xfId="572" xr:uid="{00000000-0005-0000-0000-00003D020000}"/>
    <cellStyle name="Percent118" xfId="573" xr:uid="{00000000-0005-0000-0000-00003E020000}"/>
    <cellStyle name="Percent119" xfId="574" xr:uid="{00000000-0005-0000-0000-00003F020000}"/>
    <cellStyle name="Percent12" xfId="575" xr:uid="{00000000-0005-0000-0000-000040020000}"/>
    <cellStyle name="Percent120" xfId="576" xr:uid="{00000000-0005-0000-0000-000041020000}"/>
    <cellStyle name="Percent121" xfId="577" xr:uid="{00000000-0005-0000-0000-000042020000}"/>
    <cellStyle name="Percent122" xfId="578" xr:uid="{00000000-0005-0000-0000-000043020000}"/>
    <cellStyle name="Percent123" xfId="579" xr:uid="{00000000-0005-0000-0000-000044020000}"/>
    <cellStyle name="Percent124" xfId="580" xr:uid="{00000000-0005-0000-0000-000045020000}"/>
    <cellStyle name="Percent125" xfId="581" xr:uid="{00000000-0005-0000-0000-000046020000}"/>
    <cellStyle name="Percent126" xfId="582" xr:uid="{00000000-0005-0000-0000-000047020000}"/>
    <cellStyle name="Percent127" xfId="583" xr:uid="{00000000-0005-0000-0000-000048020000}"/>
    <cellStyle name="Percent128" xfId="584" xr:uid="{00000000-0005-0000-0000-000049020000}"/>
    <cellStyle name="Percent129" xfId="585" xr:uid="{00000000-0005-0000-0000-00004A020000}"/>
    <cellStyle name="Percent13" xfId="586" xr:uid="{00000000-0005-0000-0000-00004B020000}"/>
    <cellStyle name="Percent130" xfId="587" xr:uid="{00000000-0005-0000-0000-00004C020000}"/>
    <cellStyle name="Percent131" xfId="588" xr:uid="{00000000-0005-0000-0000-00004D020000}"/>
    <cellStyle name="Percent132" xfId="589" xr:uid="{00000000-0005-0000-0000-00004E020000}"/>
    <cellStyle name="Percent133" xfId="590" xr:uid="{00000000-0005-0000-0000-00004F020000}"/>
    <cellStyle name="Percent134" xfId="591" xr:uid="{00000000-0005-0000-0000-000050020000}"/>
    <cellStyle name="Percent135" xfId="592" xr:uid="{00000000-0005-0000-0000-000051020000}"/>
    <cellStyle name="Percent136" xfId="593" xr:uid="{00000000-0005-0000-0000-000052020000}"/>
    <cellStyle name="Percent137" xfId="594" xr:uid="{00000000-0005-0000-0000-000053020000}"/>
    <cellStyle name="Percent138" xfId="595" xr:uid="{00000000-0005-0000-0000-000054020000}"/>
    <cellStyle name="Percent139" xfId="596" xr:uid="{00000000-0005-0000-0000-000055020000}"/>
    <cellStyle name="Percent14" xfId="597" xr:uid="{00000000-0005-0000-0000-000056020000}"/>
    <cellStyle name="Percent140" xfId="598" xr:uid="{00000000-0005-0000-0000-000057020000}"/>
    <cellStyle name="Percent141" xfId="599" xr:uid="{00000000-0005-0000-0000-000058020000}"/>
    <cellStyle name="Percent142" xfId="600" xr:uid="{00000000-0005-0000-0000-000059020000}"/>
    <cellStyle name="Percent143" xfId="601" xr:uid="{00000000-0005-0000-0000-00005A020000}"/>
    <cellStyle name="Percent144" xfId="602" xr:uid="{00000000-0005-0000-0000-00005B020000}"/>
    <cellStyle name="Percent145" xfId="603" xr:uid="{00000000-0005-0000-0000-00005C020000}"/>
    <cellStyle name="Percent146" xfId="604" xr:uid="{00000000-0005-0000-0000-00005D020000}"/>
    <cellStyle name="Percent147" xfId="605" xr:uid="{00000000-0005-0000-0000-00005E020000}"/>
    <cellStyle name="Percent148" xfId="606" xr:uid="{00000000-0005-0000-0000-00005F020000}"/>
    <cellStyle name="Percent149" xfId="607" xr:uid="{00000000-0005-0000-0000-000060020000}"/>
    <cellStyle name="Percent15" xfId="608" xr:uid="{00000000-0005-0000-0000-000061020000}"/>
    <cellStyle name="Percent150" xfId="609" xr:uid="{00000000-0005-0000-0000-000062020000}"/>
    <cellStyle name="Percent151" xfId="610" xr:uid="{00000000-0005-0000-0000-000063020000}"/>
    <cellStyle name="Percent152" xfId="611" xr:uid="{00000000-0005-0000-0000-000064020000}"/>
    <cellStyle name="Percent153" xfId="612" xr:uid="{00000000-0005-0000-0000-000065020000}"/>
    <cellStyle name="Percent154" xfId="613" xr:uid="{00000000-0005-0000-0000-000066020000}"/>
    <cellStyle name="Percent155" xfId="614" xr:uid="{00000000-0005-0000-0000-000067020000}"/>
    <cellStyle name="Percent156" xfId="615" xr:uid="{00000000-0005-0000-0000-000068020000}"/>
    <cellStyle name="Percent157" xfId="616" xr:uid="{00000000-0005-0000-0000-000069020000}"/>
    <cellStyle name="Percent158" xfId="617" xr:uid="{00000000-0005-0000-0000-00006A020000}"/>
    <cellStyle name="Percent159" xfId="618" xr:uid="{00000000-0005-0000-0000-00006B020000}"/>
    <cellStyle name="Percent16" xfId="619" xr:uid="{00000000-0005-0000-0000-00006C020000}"/>
    <cellStyle name="Percent160" xfId="620" xr:uid="{00000000-0005-0000-0000-00006D020000}"/>
    <cellStyle name="Percent161" xfId="621" xr:uid="{00000000-0005-0000-0000-00006E020000}"/>
    <cellStyle name="Percent162" xfId="622" xr:uid="{00000000-0005-0000-0000-00006F020000}"/>
    <cellStyle name="Percent163" xfId="623" xr:uid="{00000000-0005-0000-0000-000070020000}"/>
    <cellStyle name="Percent164" xfId="624" xr:uid="{00000000-0005-0000-0000-000071020000}"/>
    <cellStyle name="Percent165" xfId="625" xr:uid="{00000000-0005-0000-0000-000072020000}"/>
    <cellStyle name="Percent166" xfId="626" xr:uid="{00000000-0005-0000-0000-000073020000}"/>
    <cellStyle name="Percent167" xfId="627" xr:uid="{00000000-0005-0000-0000-000074020000}"/>
    <cellStyle name="Percent168" xfId="628" xr:uid="{00000000-0005-0000-0000-000075020000}"/>
    <cellStyle name="Percent169" xfId="629" xr:uid="{00000000-0005-0000-0000-000076020000}"/>
    <cellStyle name="Percent17" xfId="630" xr:uid="{00000000-0005-0000-0000-000077020000}"/>
    <cellStyle name="Percent170" xfId="631" xr:uid="{00000000-0005-0000-0000-000078020000}"/>
    <cellStyle name="Percent171" xfId="632" xr:uid="{00000000-0005-0000-0000-000079020000}"/>
    <cellStyle name="Percent172" xfId="633" xr:uid="{00000000-0005-0000-0000-00007A020000}"/>
    <cellStyle name="Percent173" xfId="634" xr:uid="{00000000-0005-0000-0000-00007B020000}"/>
    <cellStyle name="Percent174" xfId="635" xr:uid="{00000000-0005-0000-0000-00007C020000}"/>
    <cellStyle name="Percent175" xfId="636" xr:uid="{00000000-0005-0000-0000-00007D020000}"/>
    <cellStyle name="Percent176" xfId="637" xr:uid="{00000000-0005-0000-0000-00007E020000}"/>
    <cellStyle name="Percent177" xfId="638" xr:uid="{00000000-0005-0000-0000-00007F020000}"/>
    <cellStyle name="Percent178" xfId="639" xr:uid="{00000000-0005-0000-0000-000080020000}"/>
    <cellStyle name="Percent179" xfId="640" xr:uid="{00000000-0005-0000-0000-000081020000}"/>
    <cellStyle name="Percent18" xfId="641" xr:uid="{00000000-0005-0000-0000-000082020000}"/>
    <cellStyle name="Percent180" xfId="642" xr:uid="{00000000-0005-0000-0000-000083020000}"/>
    <cellStyle name="Percent181" xfId="643" xr:uid="{00000000-0005-0000-0000-000084020000}"/>
    <cellStyle name="Percent182" xfId="644" xr:uid="{00000000-0005-0000-0000-000085020000}"/>
    <cellStyle name="Percent183" xfId="645" xr:uid="{00000000-0005-0000-0000-000086020000}"/>
    <cellStyle name="Percent184" xfId="646" xr:uid="{00000000-0005-0000-0000-000087020000}"/>
    <cellStyle name="Percent185" xfId="647" xr:uid="{00000000-0005-0000-0000-000088020000}"/>
    <cellStyle name="Percent186" xfId="648" xr:uid="{00000000-0005-0000-0000-000089020000}"/>
    <cellStyle name="Percent187" xfId="649" xr:uid="{00000000-0005-0000-0000-00008A020000}"/>
    <cellStyle name="Percent188" xfId="650" xr:uid="{00000000-0005-0000-0000-00008B020000}"/>
    <cellStyle name="Percent189" xfId="651" xr:uid="{00000000-0005-0000-0000-00008C020000}"/>
    <cellStyle name="Percent19" xfId="652" xr:uid="{00000000-0005-0000-0000-00008D020000}"/>
    <cellStyle name="Percent190" xfId="653" xr:uid="{00000000-0005-0000-0000-00008E020000}"/>
    <cellStyle name="Percent191" xfId="654" xr:uid="{00000000-0005-0000-0000-00008F020000}"/>
    <cellStyle name="Percent192" xfId="655" xr:uid="{00000000-0005-0000-0000-000090020000}"/>
    <cellStyle name="Percent193" xfId="656" xr:uid="{00000000-0005-0000-0000-000091020000}"/>
    <cellStyle name="Percent194" xfId="657" xr:uid="{00000000-0005-0000-0000-000092020000}"/>
    <cellStyle name="Percent195" xfId="658" xr:uid="{00000000-0005-0000-0000-000093020000}"/>
    <cellStyle name="Percent196" xfId="659" xr:uid="{00000000-0005-0000-0000-000094020000}"/>
    <cellStyle name="Percent197" xfId="660" xr:uid="{00000000-0005-0000-0000-000095020000}"/>
    <cellStyle name="Percent198" xfId="661" xr:uid="{00000000-0005-0000-0000-000096020000}"/>
    <cellStyle name="Percent199" xfId="662" xr:uid="{00000000-0005-0000-0000-000097020000}"/>
    <cellStyle name="Percent1Bold" xfId="663" xr:uid="{00000000-0005-0000-0000-000098020000}"/>
    <cellStyle name="Percent2" xfId="664" xr:uid="{00000000-0005-0000-0000-000099020000}"/>
    <cellStyle name="Percent20" xfId="665" xr:uid="{00000000-0005-0000-0000-00009A020000}"/>
    <cellStyle name="Percent200" xfId="666" xr:uid="{00000000-0005-0000-0000-00009B020000}"/>
    <cellStyle name="Percent201" xfId="667" xr:uid="{00000000-0005-0000-0000-00009C020000}"/>
    <cellStyle name="Percent202" xfId="668" xr:uid="{00000000-0005-0000-0000-00009D020000}"/>
    <cellStyle name="Percent203" xfId="669" xr:uid="{00000000-0005-0000-0000-00009E020000}"/>
    <cellStyle name="Percent204" xfId="670" xr:uid="{00000000-0005-0000-0000-00009F020000}"/>
    <cellStyle name="Percent205" xfId="671" xr:uid="{00000000-0005-0000-0000-0000A0020000}"/>
    <cellStyle name="Percent206" xfId="672" xr:uid="{00000000-0005-0000-0000-0000A1020000}"/>
    <cellStyle name="Percent207" xfId="673" xr:uid="{00000000-0005-0000-0000-0000A2020000}"/>
    <cellStyle name="Percent208" xfId="674" xr:uid="{00000000-0005-0000-0000-0000A3020000}"/>
    <cellStyle name="Percent209" xfId="675" xr:uid="{00000000-0005-0000-0000-0000A4020000}"/>
    <cellStyle name="Percent21" xfId="676" xr:uid="{00000000-0005-0000-0000-0000A5020000}"/>
    <cellStyle name="Percent210" xfId="677" xr:uid="{00000000-0005-0000-0000-0000A6020000}"/>
    <cellStyle name="Percent211" xfId="678" xr:uid="{00000000-0005-0000-0000-0000A7020000}"/>
    <cellStyle name="Percent212" xfId="679" xr:uid="{00000000-0005-0000-0000-0000A8020000}"/>
    <cellStyle name="Percent213" xfId="680" xr:uid="{00000000-0005-0000-0000-0000A9020000}"/>
    <cellStyle name="Percent214" xfId="681" xr:uid="{00000000-0005-0000-0000-0000AA020000}"/>
    <cellStyle name="Percent215" xfId="682" xr:uid="{00000000-0005-0000-0000-0000AB020000}"/>
    <cellStyle name="Percent216" xfId="683" xr:uid="{00000000-0005-0000-0000-0000AC020000}"/>
    <cellStyle name="Percent217" xfId="684" xr:uid="{00000000-0005-0000-0000-0000AD020000}"/>
    <cellStyle name="Percent218" xfId="685" xr:uid="{00000000-0005-0000-0000-0000AE020000}"/>
    <cellStyle name="Percent219" xfId="686" xr:uid="{00000000-0005-0000-0000-0000AF020000}"/>
    <cellStyle name="Percent22" xfId="687" xr:uid="{00000000-0005-0000-0000-0000B0020000}"/>
    <cellStyle name="Percent220" xfId="688" xr:uid="{00000000-0005-0000-0000-0000B1020000}"/>
    <cellStyle name="Percent221" xfId="689" xr:uid="{00000000-0005-0000-0000-0000B2020000}"/>
    <cellStyle name="Percent222" xfId="690" xr:uid="{00000000-0005-0000-0000-0000B3020000}"/>
    <cellStyle name="Percent223" xfId="691" xr:uid="{00000000-0005-0000-0000-0000B4020000}"/>
    <cellStyle name="Percent224" xfId="692" xr:uid="{00000000-0005-0000-0000-0000B5020000}"/>
    <cellStyle name="Percent225" xfId="693" xr:uid="{00000000-0005-0000-0000-0000B6020000}"/>
    <cellStyle name="Percent226" xfId="694" xr:uid="{00000000-0005-0000-0000-0000B7020000}"/>
    <cellStyle name="Percent227" xfId="695" xr:uid="{00000000-0005-0000-0000-0000B8020000}"/>
    <cellStyle name="Percent228" xfId="696" xr:uid="{00000000-0005-0000-0000-0000B9020000}"/>
    <cellStyle name="Percent229" xfId="697" xr:uid="{00000000-0005-0000-0000-0000BA020000}"/>
    <cellStyle name="Percent23" xfId="698" xr:uid="{00000000-0005-0000-0000-0000BB020000}"/>
    <cellStyle name="Percent230" xfId="699" xr:uid="{00000000-0005-0000-0000-0000BC020000}"/>
    <cellStyle name="Percent231" xfId="700" xr:uid="{00000000-0005-0000-0000-0000BD020000}"/>
    <cellStyle name="Percent232" xfId="701" xr:uid="{00000000-0005-0000-0000-0000BE020000}"/>
    <cellStyle name="Percent233" xfId="702" xr:uid="{00000000-0005-0000-0000-0000BF020000}"/>
    <cellStyle name="Percent234" xfId="703" xr:uid="{00000000-0005-0000-0000-0000C0020000}"/>
    <cellStyle name="Percent235" xfId="704" xr:uid="{00000000-0005-0000-0000-0000C1020000}"/>
    <cellStyle name="Percent236" xfId="705" xr:uid="{00000000-0005-0000-0000-0000C2020000}"/>
    <cellStyle name="Percent24" xfId="706" xr:uid="{00000000-0005-0000-0000-0000C3020000}"/>
    <cellStyle name="Percent25" xfId="707" xr:uid="{00000000-0005-0000-0000-0000C4020000}"/>
    <cellStyle name="Percent26" xfId="708" xr:uid="{00000000-0005-0000-0000-0000C5020000}"/>
    <cellStyle name="Percent27" xfId="709" xr:uid="{00000000-0005-0000-0000-0000C6020000}"/>
    <cellStyle name="Percent28" xfId="710" xr:uid="{00000000-0005-0000-0000-0000C7020000}"/>
    <cellStyle name="Percent29" xfId="711" xr:uid="{00000000-0005-0000-0000-0000C8020000}"/>
    <cellStyle name="Percent3" xfId="712" xr:uid="{00000000-0005-0000-0000-0000C9020000}"/>
    <cellStyle name="Percent30" xfId="713" xr:uid="{00000000-0005-0000-0000-0000CA020000}"/>
    <cellStyle name="Percent31" xfId="714" xr:uid="{00000000-0005-0000-0000-0000CB020000}"/>
    <cellStyle name="Percent32" xfId="715" xr:uid="{00000000-0005-0000-0000-0000CC020000}"/>
    <cellStyle name="Percent33" xfId="716" xr:uid="{00000000-0005-0000-0000-0000CD020000}"/>
    <cellStyle name="Percent34" xfId="717" xr:uid="{00000000-0005-0000-0000-0000CE020000}"/>
    <cellStyle name="Percent35" xfId="718" xr:uid="{00000000-0005-0000-0000-0000CF020000}"/>
    <cellStyle name="Percent36" xfId="719" xr:uid="{00000000-0005-0000-0000-0000D0020000}"/>
    <cellStyle name="Percent37" xfId="720" xr:uid="{00000000-0005-0000-0000-0000D1020000}"/>
    <cellStyle name="Percent38" xfId="721" xr:uid="{00000000-0005-0000-0000-0000D2020000}"/>
    <cellStyle name="Percent39" xfId="722" xr:uid="{00000000-0005-0000-0000-0000D3020000}"/>
    <cellStyle name="Percent4" xfId="723" xr:uid="{00000000-0005-0000-0000-0000D4020000}"/>
    <cellStyle name="Percent40" xfId="724" xr:uid="{00000000-0005-0000-0000-0000D5020000}"/>
    <cellStyle name="Percent41" xfId="725" xr:uid="{00000000-0005-0000-0000-0000D6020000}"/>
    <cellStyle name="Percent42" xfId="726" xr:uid="{00000000-0005-0000-0000-0000D7020000}"/>
    <cellStyle name="Percent43" xfId="727" xr:uid="{00000000-0005-0000-0000-0000D8020000}"/>
    <cellStyle name="Percent44" xfId="728" xr:uid="{00000000-0005-0000-0000-0000D9020000}"/>
    <cellStyle name="Percent45" xfId="729" xr:uid="{00000000-0005-0000-0000-0000DA020000}"/>
    <cellStyle name="Percent46" xfId="730" xr:uid="{00000000-0005-0000-0000-0000DB020000}"/>
    <cellStyle name="Percent47" xfId="731" xr:uid="{00000000-0005-0000-0000-0000DC020000}"/>
    <cellStyle name="Percent48" xfId="732" xr:uid="{00000000-0005-0000-0000-0000DD020000}"/>
    <cellStyle name="Percent49" xfId="733" xr:uid="{00000000-0005-0000-0000-0000DE020000}"/>
    <cellStyle name="Percent5" xfId="734" xr:uid="{00000000-0005-0000-0000-0000DF020000}"/>
    <cellStyle name="Percent50" xfId="735" xr:uid="{00000000-0005-0000-0000-0000E0020000}"/>
    <cellStyle name="Percent51" xfId="736" xr:uid="{00000000-0005-0000-0000-0000E1020000}"/>
    <cellStyle name="Percent52" xfId="737" xr:uid="{00000000-0005-0000-0000-0000E2020000}"/>
    <cellStyle name="Percent53" xfId="738" xr:uid="{00000000-0005-0000-0000-0000E3020000}"/>
    <cellStyle name="Percent54" xfId="739" xr:uid="{00000000-0005-0000-0000-0000E4020000}"/>
    <cellStyle name="Percent55" xfId="740" xr:uid="{00000000-0005-0000-0000-0000E5020000}"/>
    <cellStyle name="Percent56" xfId="741" xr:uid="{00000000-0005-0000-0000-0000E6020000}"/>
    <cellStyle name="Percent57" xfId="742" xr:uid="{00000000-0005-0000-0000-0000E7020000}"/>
    <cellStyle name="Percent58" xfId="743" xr:uid="{00000000-0005-0000-0000-0000E8020000}"/>
    <cellStyle name="Percent59" xfId="744" xr:uid="{00000000-0005-0000-0000-0000E9020000}"/>
    <cellStyle name="Percent6" xfId="745" xr:uid="{00000000-0005-0000-0000-0000EA020000}"/>
    <cellStyle name="Percent60" xfId="746" xr:uid="{00000000-0005-0000-0000-0000EB020000}"/>
    <cellStyle name="Percent61" xfId="747" xr:uid="{00000000-0005-0000-0000-0000EC020000}"/>
    <cellStyle name="Percent62" xfId="748" xr:uid="{00000000-0005-0000-0000-0000ED020000}"/>
    <cellStyle name="Percent63" xfId="749" xr:uid="{00000000-0005-0000-0000-0000EE020000}"/>
    <cellStyle name="Percent64" xfId="750" xr:uid="{00000000-0005-0000-0000-0000EF020000}"/>
    <cellStyle name="Percent65" xfId="751" xr:uid="{00000000-0005-0000-0000-0000F0020000}"/>
    <cellStyle name="Percent66" xfId="752" xr:uid="{00000000-0005-0000-0000-0000F1020000}"/>
    <cellStyle name="Percent67" xfId="753" xr:uid="{00000000-0005-0000-0000-0000F2020000}"/>
    <cellStyle name="Percent68" xfId="754" xr:uid="{00000000-0005-0000-0000-0000F3020000}"/>
    <cellStyle name="Percent69" xfId="755" xr:uid="{00000000-0005-0000-0000-0000F4020000}"/>
    <cellStyle name="Percent7" xfId="756" xr:uid="{00000000-0005-0000-0000-0000F5020000}"/>
    <cellStyle name="Percent70" xfId="757" xr:uid="{00000000-0005-0000-0000-0000F6020000}"/>
    <cellStyle name="Percent71" xfId="758" xr:uid="{00000000-0005-0000-0000-0000F7020000}"/>
    <cellStyle name="Percent72" xfId="759" xr:uid="{00000000-0005-0000-0000-0000F8020000}"/>
    <cellStyle name="Percent73" xfId="760" xr:uid="{00000000-0005-0000-0000-0000F9020000}"/>
    <cellStyle name="Percent74" xfId="761" xr:uid="{00000000-0005-0000-0000-0000FA020000}"/>
    <cellStyle name="Percent75" xfId="762" xr:uid="{00000000-0005-0000-0000-0000FB020000}"/>
    <cellStyle name="Percent76" xfId="763" xr:uid="{00000000-0005-0000-0000-0000FC020000}"/>
    <cellStyle name="Percent77" xfId="764" xr:uid="{00000000-0005-0000-0000-0000FD020000}"/>
    <cellStyle name="Percent78" xfId="765" xr:uid="{00000000-0005-0000-0000-0000FE020000}"/>
    <cellStyle name="Percent79" xfId="766" xr:uid="{00000000-0005-0000-0000-0000FF020000}"/>
    <cellStyle name="Percent8" xfId="767" xr:uid="{00000000-0005-0000-0000-000000030000}"/>
    <cellStyle name="Percent80" xfId="768" xr:uid="{00000000-0005-0000-0000-000001030000}"/>
    <cellStyle name="Percent81" xfId="769" xr:uid="{00000000-0005-0000-0000-000002030000}"/>
    <cellStyle name="Percent82" xfId="770" xr:uid="{00000000-0005-0000-0000-000003030000}"/>
    <cellStyle name="Percent83" xfId="771" xr:uid="{00000000-0005-0000-0000-000004030000}"/>
    <cellStyle name="Percent84" xfId="772" xr:uid="{00000000-0005-0000-0000-000005030000}"/>
    <cellStyle name="Percent85" xfId="773" xr:uid="{00000000-0005-0000-0000-000006030000}"/>
    <cellStyle name="Percent86" xfId="774" xr:uid="{00000000-0005-0000-0000-000007030000}"/>
    <cellStyle name="Percent87" xfId="775" xr:uid="{00000000-0005-0000-0000-000008030000}"/>
    <cellStyle name="Percent88" xfId="776" xr:uid="{00000000-0005-0000-0000-000009030000}"/>
    <cellStyle name="Percent89" xfId="777" xr:uid="{00000000-0005-0000-0000-00000A030000}"/>
    <cellStyle name="Percent9" xfId="778" xr:uid="{00000000-0005-0000-0000-00000B030000}"/>
    <cellStyle name="Percent90" xfId="779" xr:uid="{00000000-0005-0000-0000-00000C030000}"/>
    <cellStyle name="Percent91" xfId="780" xr:uid="{00000000-0005-0000-0000-00000D030000}"/>
    <cellStyle name="Percent92" xfId="781" xr:uid="{00000000-0005-0000-0000-00000E030000}"/>
    <cellStyle name="Percent93" xfId="782" xr:uid="{00000000-0005-0000-0000-00000F030000}"/>
    <cellStyle name="Percent94" xfId="783" xr:uid="{00000000-0005-0000-0000-000010030000}"/>
    <cellStyle name="Percent95" xfId="784" xr:uid="{00000000-0005-0000-0000-000011030000}"/>
    <cellStyle name="Percent96" xfId="785" xr:uid="{00000000-0005-0000-0000-000012030000}"/>
    <cellStyle name="Percent97" xfId="786" xr:uid="{00000000-0005-0000-0000-000013030000}"/>
    <cellStyle name="Percent98" xfId="787" xr:uid="{00000000-0005-0000-0000-000014030000}"/>
    <cellStyle name="Percent99" xfId="788" xr:uid="{00000000-0005-0000-0000-000015030000}"/>
    <cellStyle name="Percentage" xfId="789" xr:uid="{00000000-0005-0000-0000-000016030000}"/>
    <cellStyle name="PercentStyle" xfId="790" xr:uid="{00000000-0005-0000-0000-000017030000}"/>
    <cellStyle name="PrePop Currency (0)" xfId="791" xr:uid="{00000000-0005-0000-0000-000018030000}"/>
    <cellStyle name="PrePop Currency (2)" xfId="792" xr:uid="{00000000-0005-0000-0000-000019030000}"/>
    <cellStyle name="PrePop Units (0)" xfId="793" xr:uid="{00000000-0005-0000-0000-00001A030000}"/>
    <cellStyle name="PrePop Units (1)" xfId="794" xr:uid="{00000000-0005-0000-0000-00001B030000}"/>
    <cellStyle name="PrePop Units (2)" xfId="795" xr:uid="{00000000-0005-0000-0000-00001C030000}"/>
    <cellStyle name="Price" xfId="796" xr:uid="{00000000-0005-0000-0000-00001D030000}"/>
    <cellStyle name="Product Header" xfId="797" xr:uid="{00000000-0005-0000-0000-00001E030000}"/>
    <cellStyle name="PSChar" xfId="798" xr:uid="{00000000-0005-0000-0000-00001F030000}"/>
    <cellStyle name="PSDate" xfId="799" xr:uid="{00000000-0005-0000-0000-000020030000}"/>
    <cellStyle name="PSDec" xfId="800" xr:uid="{00000000-0005-0000-0000-000021030000}"/>
    <cellStyle name="PSHeading" xfId="801" xr:uid="{00000000-0005-0000-0000-000022030000}"/>
    <cellStyle name="PSInt" xfId="802" xr:uid="{00000000-0005-0000-0000-000023030000}"/>
    <cellStyle name="PSSpacer" xfId="803" xr:uid="{00000000-0005-0000-0000-000024030000}"/>
    <cellStyle name="r" xfId="804" xr:uid="{00000000-0005-0000-0000-000025030000}"/>
    <cellStyle name="r_F&amp;W Servicing Model" xfId="805" xr:uid="{00000000-0005-0000-0000-000026030000}"/>
    <cellStyle name="r_F&amp;W Servicing Model v2" xfId="806" xr:uid="{00000000-0005-0000-0000-000027030000}"/>
    <cellStyle name="r_Yell Servicing Model" xfId="807" xr:uid="{00000000-0005-0000-0000-000028030000}"/>
    <cellStyle name="rate" xfId="808" xr:uid="{00000000-0005-0000-0000-000029030000}"/>
    <cellStyle name="Ratio" xfId="809" xr:uid="{00000000-0005-0000-0000-00002A030000}"/>
    <cellStyle name="Ratio Comma" xfId="810" xr:uid="{00000000-0005-0000-0000-00002B030000}"/>
    <cellStyle name="Ratio_Private" xfId="811" xr:uid="{00000000-0005-0000-0000-00002C030000}"/>
    <cellStyle name="regstoresfromspecstores" xfId="812" xr:uid="{00000000-0005-0000-0000-00002D030000}"/>
    <cellStyle name="RevList" xfId="813" xr:uid="{00000000-0005-0000-0000-00002E030000}"/>
    <cellStyle name="Right" xfId="814" xr:uid="{00000000-0005-0000-0000-00002F030000}"/>
    <cellStyle name="RightBold" xfId="815" xr:uid="{00000000-0005-0000-0000-000030030000}"/>
    <cellStyle name="RightBoldBottomRule" xfId="816" xr:uid="{00000000-0005-0000-0000-000031030000}"/>
    <cellStyle name="RightBoldCenterRule" xfId="817" xr:uid="{00000000-0005-0000-0000-000032030000}"/>
    <cellStyle name="Section" xfId="818" xr:uid="{00000000-0005-0000-0000-000033030000}"/>
    <cellStyle name="SectionHeaderNormal" xfId="819" xr:uid="{00000000-0005-0000-0000-000034030000}"/>
    <cellStyle name="SHADEDSTORES" xfId="820" xr:uid="{00000000-0005-0000-0000-000035030000}"/>
    <cellStyle name="Short $" xfId="821" xr:uid="{00000000-0005-0000-0000-000036030000}"/>
    <cellStyle name="ShOut" xfId="822" xr:uid="{00000000-0005-0000-0000-000037030000}"/>
    <cellStyle name="Simple" xfId="823" xr:uid="{00000000-0005-0000-0000-000038030000}"/>
    <cellStyle name="SimpleBold" xfId="824" xr:uid="{00000000-0005-0000-0000-000039030000}"/>
    <cellStyle name="Single Accounting" xfId="825" xr:uid="{00000000-0005-0000-0000-00003A030000}"/>
    <cellStyle name="specstores" xfId="826" xr:uid="{00000000-0005-0000-0000-00003B030000}"/>
    <cellStyle name="Stock Comma" xfId="827" xr:uid="{00000000-0005-0000-0000-00003C030000}"/>
    <cellStyle name="Stock Price" xfId="828" xr:uid="{00000000-0005-0000-0000-00003D030000}"/>
    <cellStyle name="Style 1" xfId="829" xr:uid="{00000000-0005-0000-0000-00003E030000}"/>
    <cellStyle name="Style 21" xfId="830" xr:uid="{00000000-0005-0000-0000-00003F030000}"/>
    <cellStyle name="Style 22" xfId="831" xr:uid="{00000000-0005-0000-0000-000040030000}"/>
    <cellStyle name="Style 23" xfId="832" xr:uid="{00000000-0005-0000-0000-000041030000}"/>
    <cellStyle name="Style 24" xfId="833" xr:uid="{00000000-0005-0000-0000-000042030000}"/>
    <cellStyle name="Style 25" xfId="834" xr:uid="{00000000-0005-0000-0000-000043030000}"/>
    <cellStyle name="Style 26" xfId="835" xr:uid="{00000000-0005-0000-0000-000044030000}"/>
    <cellStyle name="Style 27" xfId="836" xr:uid="{00000000-0005-0000-0000-000045030000}"/>
    <cellStyle name="Style 28" xfId="837" xr:uid="{00000000-0005-0000-0000-000046030000}"/>
    <cellStyle name="Style 29" xfId="838" xr:uid="{00000000-0005-0000-0000-000047030000}"/>
    <cellStyle name="Style 30" xfId="839" xr:uid="{00000000-0005-0000-0000-000048030000}"/>
    <cellStyle name="Style 31" xfId="840" xr:uid="{00000000-0005-0000-0000-000049030000}"/>
    <cellStyle name="Style 32" xfId="841" xr:uid="{00000000-0005-0000-0000-00004A030000}"/>
    <cellStyle name="Style 33" xfId="842" xr:uid="{00000000-0005-0000-0000-00004B030000}"/>
    <cellStyle name="Style 34" xfId="843" xr:uid="{00000000-0005-0000-0000-00004C030000}"/>
    <cellStyle name="Style 35" xfId="844" xr:uid="{00000000-0005-0000-0000-00004D030000}"/>
    <cellStyle name="Style 36" xfId="845" xr:uid="{00000000-0005-0000-0000-00004E030000}"/>
    <cellStyle name="Style 37" xfId="846" xr:uid="{00000000-0005-0000-0000-00004F030000}"/>
    <cellStyle name="Style 38" xfId="847" xr:uid="{00000000-0005-0000-0000-000050030000}"/>
    <cellStyle name="Style 39" xfId="848" xr:uid="{00000000-0005-0000-0000-000051030000}"/>
    <cellStyle name="Style 40" xfId="849" xr:uid="{00000000-0005-0000-0000-000052030000}"/>
    <cellStyle name="Style 41" xfId="850" xr:uid="{00000000-0005-0000-0000-000053030000}"/>
    <cellStyle name="Style 42" xfId="851" xr:uid="{00000000-0005-0000-0000-000054030000}"/>
    <cellStyle name="Style 43" xfId="852" xr:uid="{00000000-0005-0000-0000-000055030000}"/>
    <cellStyle name="Style 44" xfId="853" xr:uid="{00000000-0005-0000-0000-000056030000}"/>
    <cellStyle name="Style 45" xfId="854" xr:uid="{00000000-0005-0000-0000-000057030000}"/>
    <cellStyle name="Style 46" xfId="855" xr:uid="{00000000-0005-0000-0000-000058030000}"/>
    <cellStyle name="Style 47" xfId="856" xr:uid="{00000000-0005-0000-0000-000059030000}"/>
    <cellStyle name="Style 48" xfId="857" xr:uid="{00000000-0005-0000-0000-00005A030000}"/>
    <cellStyle name="STYLE1" xfId="858" xr:uid="{00000000-0005-0000-0000-00005B030000}"/>
    <cellStyle name="SubScript" xfId="859" xr:uid="{00000000-0005-0000-0000-00005C030000}"/>
    <cellStyle name="Subtotal" xfId="860" xr:uid="{00000000-0005-0000-0000-00005D030000}"/>
    <cellStyle name="Sum" xfId="861" xr:uid="{00000000-0005-0000-0000-00005E030000}"/>
    <cellStyle name="SuperScript" xfId="862" xr:uid="{00000000-0005-0000-0000-00005F030000}"/>
    <cellStyle name="Table_Title" xfId="863" xr:uid="{00000000-0005-0000-0000-000060030000}"/>
    <cellStyle name="Test" xfId="864" xr:uid="{00000000-0005-0000-0000-000061030000}"/>
    <cellStyle name="Text Indent A" xfId="865" xr:uid="{00000000-0005-0000-0000-000062030000}"/>
    <cellStyle name="Text Indent B" xfId="866" xr:uid="{00000000-0005-0000-0000-000063030000}"/>
    <cellStyle name="Text Indent C" xfId="867" xr:uid="{00000000-0005-0000-0000-000064030000}"/>
    <cellStyle name="TextBold" xfId="868" xr:uid="{00000000-0005-0000-0000-000065030000}"/>
    <cellStyle name="TextItalic" xfId="869" xr:uid="{00000000-0005-0000-0000-000066030000}"/>
    <cellStyle name="TextNormal" xfId="870" xr:uid="{00000000-0005-0000-0000-000067030000}"/>
    <cellStyle name="Time" xfId="871" xr:uid="{00000000-0005-0000-0000-000068030000}"/>
    <cellStyle name="Times 10" xfId="872" xr:uid="{00000000-0005-0000-0000-000069030000}"/>
    <cellStyle name="Times 12" xfId="873" xr:uid="{00000000-0005-0000-0000-00006A030000}"/>
    <cellStyle name="Title - PROJECT" xfId="874" xr:uid="{00000000-0005-0000-0000-00006B030000}"/>
    <cellStyle name="Title - Underline" xfId="875" xr:uid="{00000000-0005-0000-0000-00006C030000}"/>
    <cellStyle name="Title1" xfId="876" xr:uid="{00000000-0005-0000-0000-00006D030000}"/>
    <cellStyle name="Title2" xfId="877" xr:uid="{00000000-0005-0000-0000-00006E030000}"/>
    <cellStyle name="TitleNormal" xfId="878" xr:uid="{00000000-0005-0000-0000-00006F030000}"/>
    <cellStyle name="Titles - Col. Headings" xfId="879" xr:uid="{00000000-0005-0000-0000-000070030000}"/>
    <cellStyle name="Titles - Other" xfId="880" xr:uid="{00000000-0005-0000-0000-000071030000}"/>
    <cellStyle name="Top Edge" xfId="881" xr:uid="{00000000-0005-0000-0000-000072030000}"/>
    <cellStyle name="Total" xfId="882" builtinId="25" customBuiltin="1"/>
    <cellStyle name="ubordinated Debt" xfId="883" xr:uid="{00000000-0005-0000-0000-000074030000}"/>
    <cellStyle name="wheat merger's and acquisitions" xfId="884" xr:uid="{00000000-0005-0000-0000-000075030000}"/>
    <cellStyle name="x" xfId="885" xr:uid="{00000000-0005-0000-0000-000076030000}"/>
    <cellStyle name="x_TSA Model - 1 8 06 - v2" xfId="886" xr:uid="{00000000-0005-0000-0000-000077030000}"/>
    <cellStyle name="Y2K Compliant Date Fmt" xfId="887" xr:uid="{00000000-0005-0000-0000-000078030000}"/>
    <cellStyle name="Years" xfId="888" xr:uid="{00000000-0005-0000-0000-000079030000}"/>
    <cellStyle name="yellow" xfId="889" xr:uid="{00000000-0005-0000-0000-00007A030000}"/>
    <cellStyle name="Yen" xfId="890" xr:uid="{00000000-0005-0000-0000-00007B030000}"/>
    <cellStyle name="YYYY" xfId="891" xr:uid="{00000000-0005-0000-0000-00007C030000}"/>
    <cellStyle name="桁区切り [0.00]_Appendix" xfId="892" xr:uid="{00000000-0005-0000-0000-00007D030000}"/>
    <cellStyle name="桁区切り_Appendix" xfId="893" xr:uid="{00000000-0005-0000-0000-00007E030000}"/>
    <cellStyle name="標準_Appendix" xfId="894" xr:uid="{00000000-0005-0000-0000-00007F030000}"/>
    <cellStyle name="通貨 [0.00]_Appendix" xfId="895" xr:uid="{00000000-0005-0000-0000-000080030000}"/>
    <cellStyle name="通貨_Appendix" xfId="896" xr:uid="{00000000-0005-0000-0000-00008103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34" Type="http://schemas.openxmlformats.org/officeDocument/2006/relationships/externalLink" Target="externalLinks/externalLink30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externalLink" Target="externalLinks/externalLink25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externalLink" Target="externalLinks/externalLink28.xml"/><Relationship Id="rId37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theme" Target="theme/theme1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31" Type="http://schemas.openxmlformats.org/officeDocument/2006/relationships/externalLink" Target="externalLinks/externalLink27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7</xdr:row>
      <xdr:rowOff>80989</xdr:rowOff>
    </xdr:from>
    <xdr:to>
      <xdr:col>6</xdr:col>
      <xdr:colOff>247650</xdr:colOff>
      <xdr:row>29</xdr:row>
      <xdr:rowOff>15969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29FEE7-960D-8220-CAC6-ABC995320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" y="1319239"/>
          <a:ext cx="6877050" cy="349733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6</xdr:col>
      <xdr:colOff>528815</xdr:colOff>
      <xdr:row>7</xdr:row>
      <xdr:rowOff>142875</xdr:rowOff>
    </xdr:from>
    <xdr:to>
      <xdr:col>17</xdr:col>
      <xdr:colOff>582224</xdr:colOff>
      <xdr:row>20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57B0C3-AE39-807D-BDAB-F40AB4F08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2065" y="1381125"/>
          <a:ext cx="6597084" cy="204787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Documents%20and%20Settings\GBlank\Local%20Settings\Temporary%20Internet%20Files\OLK39\TSA%20Model%20-%201%208%2006%20-%20v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Office\Media\COMPS%20-%20B2B%20Publisher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My%20Documents\TPG\LBO\Bally\BFT%20Forecast%20Mod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ETG%20Templ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\APPROVAL%20MEMOS\Endurance%20Media\BLT%20Work\EBM%20Quarterly%20Mode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ank%20Loan%20Team\ELK%20TEAM\Models\Presentation\Draft%20Presentation%20Files\Presentation%20Info%2022%20(Adam%20Silver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ank%20Loan%20Team\ELK%20TEAM\Models\Presentation\Draft%20Presentation%20Files\PresentationChartDat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CMP%20II\PORTFOLIO%20COMPANIES\Jobson%20Medical%20Information\Bank%20Correspondence\JMI%20Model%20(Wx%20Model%20-%20BMO%20Adjusted%205-18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CMP%20II\INACTIVE%20DEALS\Facts%20on%20File\Transaction%20Models\FOF%20Model%20v3%20(Asset%20Purchase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nsezfnp05\Barracuda\Documents%20and%20Settings\nbk7h1e\Local%20Settings\Temporary%20Internet%20Files\OLK61\Bank%20Austria\Returns@@@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als%20-%20In%20Process\TruCom\BridgeCom%20Budget%20200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-fil01\data\Wicks\Wicks%20Model\JMI%20Model%20(Wx%20Model%20-%20BMO%20Adjusted%205-18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als%20-%20In%20Process\Crescent%20Publishing%20Company,%20LLC\R0%20-%20Aug%202,%202001\CrescentPublishing%20Model%208-01%20R0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Credit%20Derivatives%20Group\Emerging\CBO\MFS\Jersey%20Street%20CLO\Warehouse\Warehouse%20Report\versions\August\Jersey%20Street%20CLO%208.7.06%20Committed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wicksgroup.com/PORTFOLIO%20COMPANIES/Bressler%20Outdoor/Financial%20Models/SubDebt%20Model%20-%20IRR%20-$30MM%20Equity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unzipped\7xbb01_\7b7k01_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TEMP\Consolidated%2012-4-00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tc-neptune\accounting\Invoices\Invoice%2099\z.December%201999\DEC99Invoice%20Summary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osetta%20Stone%20Model%20(91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marimow\My%20Documents\Companies\Univision\Model\Bank%20Model%20-%20Financing\Company%20Materials\Company%20Materials\Bank%20Model_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%20Research\_RAs\Takacs_G\PORTFOLIO%20-%20Takacs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Spring%202002\Modeling\Problem%204%20worksheet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marimow\My%20Documents\Companies\Univision\Model\Bank%20Model%20-%20Financing\Bank%20Model_21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NT14\USERS$\mm93223\My%20Documents\Templates\Servicing%20Template%20-%20MAB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EMcKee\Local%20Settings\Temporary%20Internet%20Files\OLK12\65%20UVN%207-Year%20Model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windows\TEMP\financial%20forecast%207.27.98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Beckett\Deals%20in%20process\UniFocus%20R6\Unifocus%20Model%204-02%20R6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CRothbard\Local%20Settings\Temporary%20Internet%20Files\OLK146\JMI_WMI%20Financing%20Model%20(02-09-06)_vTD4%2006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jorr\Local%20Settings\Temporary%20Internet%20Files\OLK27\MC-DW-JOB%20Merger%20Model%20for%20Syndicate%20-%203.31.05%20rjf%205.03.05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CMP%20II\PORTFOLIO%20COMPANIES\Jobson%20Medical%20Information\Corporate%20Development\JMI_WMI%20Combination\2005.11\Oct%202005\MEDCON%20Projection%20Model%20September%202005%20(09-13-05)%20v2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M&amp;A_Deal\New%20Models\dcf.sh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Returns Summary"/>
      <sheetName val="Case Logic"/>
      <sheetName val="Option Summary"/>
      <sheetName val="TRANSACTION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 Page"/>
      <sheetName val="Deal Multiples"/>
      <sheetName val="Asset Coverage"/>
      <sheetName val="Status"/>
      <sheetName val="Output"/>
      <sheetName val="Graphs"/>
      <sheetName val="Inputs"/>
      <sheetName val="WARF"/>
      <sheetName val="Comps"/>
      <sheetName val="Magazines"/>
      <sheetName val="2"/>
      <sheetName val="4"/>
      <sheetName val="5"/>
      <sheetName val="6"/>
      <sheetName val="7"/>
      <sheetName val="8"/>
      <sheetName val="10"/>
      <sheetName val="11"/>
      <sheetName val="12"/>
      <sheetName val="14"/>
      <sheetName val="16"/>
      <sheetName val="1"/>
      <sheetName val="3"/>
      <sheetName val="9"/>
      <sheetName val="13"/>
      <sheetName val="15"/>
      <sheetName val="ARP"/>
      <sheetName val="CNG"/>
      <sheetName val="F&amp;W"/>
      <sheetName val="HNW"/>
      <sheetName val="IMO"/>
      <sheetName val="JMI"/>
      <sheetName val="MMH"/>
      <sheetName val="PRM"/>
      <sheetName val="RDA"/>
      <sheetName val="SRCE"/>
      <sheetName val="SPRG"/>
      <sheetName val="WNM"/>
      <sheetName val="RVDP"/>
      <sheetName val="SMTB"/>
      <sheetName val="TMN"/>
      <sheetName val="Portfolio"/>
      <sheetName val="LBO Summary"/>
      <sheetName val="Ch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0">
          <cell r="E10" t="str">
            <v>Endurance Business Media</v>
          </cell>
        </row>
        <row r="11">
          <cell r="E11" t="str">
            <v>N/A</v>
          </cell>
        </row>
        <row r="12">
          <cell r="E12" t="str">
            <v>December</v>
          </cell>
        </row>
        <row r="13">
          <cell r="E13" t="str">
            <v>6/30/05</v>
          </cell>
        </row>
        <row r="14">
          <cell r="E14">
            <v>0.5</v>
          </cell>
        </row>
        <row r="16">
          <cell r="J16">
            <v>0</v>
          </cell>
        </row>
        <row r="17">
          <cell r="J17">
            <v>0</v>
          </cell>
        </row>
        <row r="21">
          <cell r="E21">
            <v>0</v>
          </cell>
        </row>
        <row r="23">
          <cell r="E23">
            <v>0</v>
          </cell>
        </row>
        <row r="29">
          <cell r="P29">
            <v>0</v>
          </cell>
        </row>
        <row r="42">
          <cell r="P42">
            <v>0</v>
          </cell>
        </row>
        <row r="46">
          <cell r="P46">
            <v>0</v>
          </cell>
        </row>
        <row r="61">
          <cell r="E61" t="str">
            <v>F&amp;W (NEW) Publishing</v>
          </cell>
        </row>
        <row r="62">
          <cell r="E62" t="str">
            <v>F&amp;W</v>
          </cell>
        </row>
        <row r="63">
          <cell r="E63" t="str">
            <v>December</v>
          </cell>
        </row>
        <row r="64">
          <cell r="E64" t="str">
            <v>9/30/06</v>
          </cell>
        </row>
        <row r="65">
          <cell r="E65">
            <v>0.75</v>
          </cell>
        </row>
        <row r="67">
          <cell r="J67">
            <v>0</v>
          </cell>
        </row>
        <row r="68">
          <cell r="J68">
            <v>286.15800000000002</v>
          </cell>
        </row>
        <row r="72">
          <cell r="E72">
            <v>0</v>
          </cell>
        </row>
        <row r="74">
          <cell r="E74">
            <v>0</v>
          </cell>
        </row>
        <row r="80">
          <cell r="P80">
            <v>165.315</v>
          </cell>
        </row>
        <row r="93">
          <cell r="P93">
            <v>-17.663000000000007</v>
          </cell>
        </row>
        <row r="97">
          <cell r="P97">
            <v>23.793999999999993</v>
          </cell>
        </row>
        <row r="112">
          <cell r="E112" t="str">
            <v>Jobson Medical</v>
          </cell>
        </row>
        <row r="113">
          <cell r="E113" t="str">
            <v>N/A</v>
          </cell>
        </row>
        <row r="114">
          <cell r="E114" t="str">
            <v>December</v>
          </cell>
        </row>
        <row r="115">
          <cell r="E115" t="str">
            <v>6/30/05</v>
          </cell>
        </row>
        <row r="116">
          <cell r="E116">
            <v>0.5</v>
          </cell>
        </row>
        <row r="118">
          <cell r="J118">
            <v>0</v>
          </cell>
        </row>
        <row r="119">
          <cell r="J119">
            <v>0</v>
          </cell>
        </row>
        <row r="123">
          <cell r="E123">
            <v>0</v>
          </cell>
        </row>
        <row r="125">
          <cell r="E125">
            <v>0</v>
          </cell>
        </row>
        <row r="131">
          <cell r="P131">
            <v>0</v>
          </cell>
        </row>
        <row r="144">
          <cell r="P144">
            <v>0</v>
          </cell>
        </row>
        <row r="148">
          <cell r="P148">
            <v>0</v>
          </cell>
        </row>
        <row r="163">
          <cell r="E163" t="str">
            <v>Medical Media Holdings (MMH)</v>
          </cell>
        </row>
        <row r="164">
          <cell r="E164" t="str">
            <v>N/A</v>
          </cell>
        </row>
        <row r="165">
          <cell r="E165" t="str">
            <v>December</v>
          </cell>
        </row>
        <row r="166">
          <cell r="E166" t="str">
            <v>6/30/05</v>
          </cell>
        </row>
        <row r="167">
          <cell r="E167">
            <v>0.5</v>
          </cell>
        </row>
        <row r="169">
          <cell r="J169">
            <v>0</v>
          </cell>
        </row>
        <row r="170">
          <cell r="J170">
            <v>0</v>
          </cell>
        </row>
        <row r="174">
          <cell r="E174">
            <v>0</v>
          </cell>
        </row>
        <row r="176">
          <cell r="E176">
            <v>0</v>
          </cell>
        </row>
        <row r="182">
          <cell r="P182">
            <v>0</v>
          </cell>
        </row>
        <row r="195">
          <cell r="P195">
            <v>0</v>
          </cell>
        </row>
        <row r="199">
          <cell r="P199">
            <v>0</v>
          </cell>
        </row>
        <row r="214">
          <cell r="E214" t="str">
            <v>American Reprographics Company</v>
          </cell>
        </row>
        <row r="215">
          <cell r="E215" t="str">
            <v>ARP</v>
          </cell>
        </row>
        <row r="216">
          <cell r="E216" t="str">
            <v>December</v>
          </cell>
        </row>
        <row r="217">
          <cell r="E217" t="str">
            <v>9/30/06</v>
          </cell>
        </row>
        <row r="218">
          <cell r="E218">
            <v>0.75</v>
          </cell>
        </row>
        <row r="220">
          <cell r="J220">
            <v>1426.7825558400002</v>
          </cell>
        </row>
        <row r="221">
          <cell r="J221">
            <v>1695.0005558400001</v>
          </cell>
        </row>
        <row r="225">
          <cell r="E225">
            <v>31.76</v>
          </cell>
        </row>
        <row r="227">
          <cell r="E227">
            <v>39</v>
          </cell>
        </row>
        <row r="233">
          <cell r="P233">
            <v>569.55799999999999</v>
          </cell>
        </row>
        <row r="246">
          <cell r="P246">
            <v>0.92534296455756204</v>
          </cell>
        </row>
        <row r="250">
          <cell r="P250">
            <v>124.91600000000004</v>
          </cell>
        </row>
        <row r="265">
          <cell r="E265" t="str">
            <v>Springer Science + Business Media</v>
          </cell>
        </row>
        <row r="266">
          <cell r="E266" t="str">
            <v>N/A</v>
          </cell>
        </row>
        <row r="267">
          <cell r="E267" t="str">
            <v>December</v>
          </cell>
        </row>
        <row r="268">
          <cell r="E268" t="str">
            <v>6/30/05</v>
          </cell>
        </row>
        <row r="269">
          <cell r="E269">
            <v>0.5</v>
          </cell>
        </row>
        <row r="271">
          <cell r="J271">
            <v>0</v>
          </cell>
        </row>
        <row r="272">
          <cell r="J272">
            <v>0</v>
          </cell>
        </row>
        <row r="276">
          <cell r="E276">
            <v>0</v>
          </cell>
        </row>
        <row r="278">
          <cell r="E278">
            <v>0</v>
          </cell>
        </row>
        <row r="284">
          <cell r="P284">
            <v>0</v>
          </cell>
        </row>
        <row r="297">
          <cell r="P297">
            <v>0</v>
          </cell>
        </row>
        <row r="301">
          <cell r="P301">
            <v>0</v>
          </cell>
        </row>
        <row r="316">
          <cell r="E316" t="str">
            <v>Thomas Nelson Publishers</v>
          </cell>
        </row>
        <row r="317">
          <cell r="E317" t="str">
            <v>TNM</v>
          </cell>
        </row>
        <row r="318">
          <cell r="E318" t="str">
            <v>March</v>
          </cell>
        </row>
        <row r="319">
          <cell r="E319" t="str">
            <v>9/30/06</v>
          </cell>
        </row>
        <row r="320">
          <cell r="E320">
            <v>0.5</v>
          </cell>
        </row>
        <row r="322">
          <cell r="J322">
            <v>200.5</v>
          </cell>
        </row>
        <row r="323">
          <cell r="J323">
            <v>490.05099999999999</v>
          </cell>
        </row>
        <row r="327">
          <cell r="E327">
            <v>1</v>
          </cell>
        </row>
        <row r="329">
          <cell r="E329">
            <v>0</v>
          </cell>
        </row>
        <row r="335">
          <cell r="P335">
            <v>260.279</v>
          </cell>
        </row>
        <row r="348">
          <cell r="P348">
            <v>7.7890274314214206E-2</v>
          </cell>
        </row>
        <row r="352">
          <cell r="P352">
            <v>42.807999999999971</v>
          </cell>
        </row>
        <row r="367">
          <cell r="E367" t="str">
            <v>Thomson (Source) Media</v>
          </cell>
        </row>
        <row r="368">
          <cell r="E368" t="str">
            <v>N/A</v>
          </cell>
        </row>
        <row r="369">
          <cell r="E369" t="str">
            <v>December</v>
          </cell>
        </row>
        <row r="370">
          <cell r="E370" t="str">
            <v>6/30/05</v>
          </cell>
        </row>
        <row r="371">
          <cell r="E371">
            <v>0.5</v>
          </cell>
        </row>
        <row r="373">
          <cell r="J373">
            <v>0</v>
          </cell>
        </row>
        <row r="374">
          <cell r="J374">
            <v>0</v>
          </cell>
        </row>
        <row r="378">
          <cell r="E378">
            <v>0</v>
          </cell>
        </row>
        <row r="380">
          <cell r="E380">
            <v>0</v>
          </cell>
        </row>
        <row r="386">
          <cell r="P386">
            <v>0</v>
          </cell>
        </row>
        <row r="399">
          <cell r="P399">
            <v>0</v>
          </cell>
        </row>
        <row r="403">
          <cell r="P403">
            <v>0</v>
          </cell>
        </row>
        <row r="418">
          <cell r="E418" t="str">
            <v>Reed Elsevier</v>
          </cell>
        </row>
        <row r="420">
          <cell r="E420" t="str">
            <v>December</v>
          </cell>
        </row>
        <row r="421">
          <cell r="E421" t="str">
            <v>6/30/05</v>
          </cell>
        </row>
        <row r="422">
          <cell r="E422">
            <v>0.5</v>
          </cell>
        </row>
        <row r="424">
          <cell r="J424">
            <v>0</v>
          </cell>
        </row>
        <row r="425">
          <cell r="J425">
            <v>0</v>
          </cell>
        </row>
        <row r="429">
          <cell r="E429">
            <v>0</v>
          </cell>
        </row>
        <row r="431">
          <cell r="E431">
            <v>0</v>
          </cell>
        </row>
        <row r="437">
          <cell r="P437">
            <v>0</v>
          </cell>
        </row>
        <row r="450">
          <cell r="P450">
            <v>0</v>
          </cell>
        </row>
        <row r="454">
          <cell r="P454">
            <v>0</v>
          </cell>
        </row>
        <row r="469">
          <cell r="E469" t="str">
            <v>Primedia</v>
          </cell>
        </row>
        <row r="470">
          <cell r="E470" t="str">
            <v>PRM</v>
          </cell>
        </row>
        <row r="471">
          <cell r="E471" t="str">
            <v>December</v>
          </cell>
        </row>
        <row r="472">
          <cell r="E472" t="str">
            <v>6/30/05</v>
          </cell>
        </row>
        <row r="473">
          <cell r="E473">
            <v>0.5</v>
          </cell>
        </row>
        <row r="475">
          <cell r="J475">
            <v>0</v>
          </cell>
        </row>
        <row r="476">
          <cell r="J476">
            <v>0</v>
          </cell>
        </row>
        <row r="480">
          <cell r="E480">
            <v>0</v>
          </cell>
        </row>
        <row r="482">
          <cell r="E482">
            <v>0</v>
          </cell>
        </row>
        <row r="488">
          <cell r="P488">
            <v>0</v>
          </cell>
        </row>
        <row r="501">
          <cell r="P501">
            <v>0</v>
          </cell>
        </row>
        <row r="505">
          <cell r="P505">
            <v>0</v>
          </cell>
        </row>
        <row r="522">
          <cell r="E522" t="str">
            <v>December</v>
          </cell>
        </row>
        <row r="523">
          <cell r="E523" t="str">
            <v>6/30/05</v>
          </cell>
        </row>
        <row r="524">
          <cell r="E524">
            <v>0.5</v>
          </cell>
        </row>
        <row r="526">
          <cell r="J526">
            <v>0</v>
          </cell>
        </row>
        <row r="527">
          <cell r="J527">
            <v>0</v>
          </cell>
        </row>
        <row r="531">
          <cell r="E531">
            <v>0</v>
          </cell>
        </row>
        <row r="533">
          <cell r="E533">
            <v>0</v>
          </cell>
        </row>
        <row r="539">
          <cell r="P539">
            <v>0</v>
          </cell>
        </row>
        <row r="552">
          <cell r="P552">
            <v>0</v>
          </cell>
        </row>
        <row r="556">
          <cell r="P556">
            <v>0</v>
          </cell>
        </row>
        <row r="573">
          <cell r="E573" t="str">
            <v>December</v>
          </cell>
        </row>
        <row r="574">
          <cell r="E574" t="str">
            <v>6/30/05</v>
          </cell>
        </row>
        <row r="575">
          <cell r="E575">
            <v>0.5</v>
          </cell>
        </row>
        <row r="577">
          <cell r="J577">
            <v>0</v>
          </cell>
        </row>
        <row r="578">
          <cell r="J578">
            <v>0</v>
          </cell>
        </row>
        <row r="582">
          <cell r="E582">
            <v>0</v>
          </cell>
        </row>
        <row r="584">
          <cell r="E584">
            <v>0</v>
          </cell>
        </row>
        <row r="590">
          <cell r="P590">
            <v>0</v>
          </cell>
        </row>
        <row r="603">
          <cell r="P603">
            <v>0</v>
          </cell>
        </row>
        <row r="607">
          <cell r="P607">
            <v>0</v>
          </cell>
        </row>
        <row r="624">
          <cell r="E624" t="str">
            <v>December</v>
          </cell>
        </row>
        <row r="625">
          <cell r="E625" t="str">
            <v>6/30/05</v>
          </cell>
        </row>
        <row r="626">
          <cell r="E626">
            <v>0.5</v>
          </cell>
        </row>
        <row r="628">
          <cell r="J628">
            <v>0</v>
          </cell>
        </row>
        <row r="629">
          <cell r="J629">
            <v>0</v>
          </cell>
        </row>
        <row r="633">
          <cell r="E633">
            <v>0</v>
          </cell>
        </row>
        <row r="635">
          <cell r="E635">
            <v>0</v>
          </cell>
        </row>
        <row r="641">
          <cell r="P641">
            <v>0</v>
          </cell>
        </row>
        <row r="654">
          <cell r="P654">
            <v>0</v>
          </cell>
        </row>
        <row r="658">
          <cell r="P658">
            <v>0</v>
          </cell>
        </row>
        <row r="675">
          <cell r="E675" t="str">
            <v>December</v>
          </cell>
        </row>
        <row r="676">
          <cell r="E676" t="str">
            <v>6/30/05</v>
          </cell>
        </row>
        <row r="677">
          <cell r="E677">
            <v>0.5</v>
          </cell>
        </row>
        <row r="679">
          <cell r="J679">
            <v>0</v>
          </cell>
        </row>
        <row r="680">
          <cell r="J680">
            <v>0</v>
          </cell>
        </row>
        <row r="684">
          <cell r="E684">
            <v>0</v>
          </cell>
        </row>
        <row r="686">
          <cell r="E686">
            <v>0</v>
          </cell>
        </row>
        <row r="692">
          <cell r="P692">
            <v>0</v>
          </cell>
        </row>
        <row r="705">
          <cell r="P705">
            <v>0</v>
          </cell>
        </row>
        <row r="709">
          <cell r="P709">
            <v>0</v>
          </cell>
        </row>
        <row r="726">
          <cell r="E726" t="str">
            <v>December</v>
          </cell>
        </row>
        <row r="727">
          <cell r="E727" t="str">
            <v>6/30/05</v>
          </cell>
        </row>
        <row r="728">
          <cell r="E728">
            <v>0.5</v>
          </cell>
        </row>
        <row r="730">
          <cell r="J730">
            <v>0</v>
          </cell>
        </row>
        <row r="731">
          <cell r="J731">
            <v>0</v>
          </cell>
        </row>
        <row r="735">
          <cell r="E735">
            <v>0</v>
          </cell>
        </row>
        <row r="737">
          <cell r="E737">
            <v>0</v>
          </cell>
        </row>
        <row r="743">
          <cell r="P743">
            <v>0</v>
          </cell>
        </row>
        <row r="756">
          <cell r="P756">
            <v>0</v>
          </cell>
        </row>
        <row r="760">
          <cell r="P760">
            <v>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attrition"/>
      <sheetName val="Sheet1"/>
      <sheetName val="IncStmt"/>
      <sheetName val="CashFlow"/>
      <sheetName val="BalSht"/>
      <sheetName val="Allowance"/>
      <sheetName val="CashEBITDA"/>
      <sheetName val="FxdChg"/>
      <sheetName val="Ratio"/>
      <sheetName val="Module1"/>
      <sheetName val="LBO Summary"/>
      <sheetName val="Char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Tanning Assumptions"/>
      <sheetName val="Tanning P&amp;L"/>
      <sheetName val="Tanning Balance Sheets"/>
      <sheetName val="Tanning Cash Flows"/>
      <sheetName val="Meta P&amp;L"/>
      <sheetName val="Meta Balance Sheet"/>
      <sheetName val="Meta Cash Flow"/>
      <sheetName val="Combined Balance Sheet"/>
      <sheetName val="Combined P&amp;L"/>
      <sheetName val="Combined Cash Flow"/>
      <sheetName val="Shares"/>
      <sheetName val="EssRet"/>
      <sheetName val="Meta Segments"/>
      <sheetName val="Capex"/>
      <sheetName val="Sheet5"/>
      <sheetName val="D"/>
      <sheetName val="TRANSA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Qual. Analysis"/>
      <sheetName val="Inputs"/>
      <sheetName val="Base"/>
      <sheetName val="EV_DCF Analysis"/>
      <sheetName val="VeCTOR Import"/>
      <sheetName val="Annual Summary"/>
    </sheetNames>
    <sheetDataSet>
      <sheetData sheetId="0" refreshError="1">
        <row r="8">
          <cell r="C8" t="str">
            <v>N/A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lections"/>
      <sheetName val="Calcs"/>
      <sheetName val="Account"/>
      <sheetName val="OCTrends"/>
      <sheetName val="ICTrends"/>
      <sheetName val="DivTrends"/>
      <sheetName val="WARFTrends"/>
      <sheetName val="WARFFitchTrends"/>
      <sheetName val="WASTrends"/>
      <sheetName val="WACTrends"/>
      <sheetName val="WALTrends"/>
      <sheetName val="Debt Structure"/>
      <sheetName val="Fund Schedule"/>
      <sheetName val="Principal"/>
      <sheetName val="Ineligible"/>
      <sheetName val="S&amp;P Industry"/>
      <sheetName val="Trade Activity Summary"/>
      <sheetName val="Sale Activity Bond"/>
      <sheetName val="Sale Activity"/>
      <sheetName val="Buy Activity Bond"/>
      <sheetName val="Buy Activity"/>
      <sheetName val="Default"/>
      <sheetName val="CCC"/>
      <sheetName val="CCCBond"/>
      <sheetName val="Presentation Info 22 (Adam Silv"/>
    </sheetNames>
    <sheetDataSet>
      <sheetData sheetId="0" refreshError="1">
        <row r="1">
          <cell r="A1" t="str">
            <v>ELC 00-I</v>
          </cell>
          <cell r="C1">
            <v>38078</v>
          </cell>
          <cell r="P1">
            <v>2004</v>
          </cell>
          <cell r="R1">
            <v>2004</v>
          </cell>
        </row>
        <row r="2">
          <cell r="C2">
            <v>38107</v>
          </cell>
          <cell r="L2">
            <v>3.0601851851851852E-2</v>
          </cell>
          <cell r="P2">
            <v>4</v>
          </cell>
          <cell r="R2">
            <v>4</v>
          </cell>
          <cell r="U2" t="str">
            <v>Presentation Info 22 (Adam Silver).xls</v>
          </cell>
        </row>
        <row r="3">
          <cell r="L3">
            <v>3.6354166666666667E-2</v>
          </cell>
          <cell r="P3">
            <v>1</v>
          </cell>
          <cell r="R3">
            <v>30</v>
          </cell>
        </row>
      </sheetData>
      <sheetData sheetId="1" refreshError="1">
        <row r="1">
          <cell r="B1">
            <v>524015945.15399992</v>
          </cell>
        </row>
      </sheetData>
      <sheetData sheetId="2"/>
      <sheetData sheetId="3" refreshError="1">
        <row r="1">
          <cell r="B1" t="str">
            <v>Date</v>
          </cell>
          <cell r="C1" t="str">
            <v>Actual</v>
          </cell>
          <cell r="D1" t="str">
            <v>Covenant</v>
          </cell>
          <cell r="G1" t="str">
            <v>Date</v>
          </cell>
          <cell r="H1" t="str">
            <v>Actual</v>
          </cell>
          <cell r="I1" t="str">
            <v>Covenant</v>
          </cell>
          <cell r="L1" t="str">
            <v>Date</v>
          </cell>
          <cell r="M1" t="str">
            <v>Actual</v>
          </cell>
          <cell r="N1" t="str">
            <v>Covenant</v>
          </cell>
          <cell r="Q1" t="str">
            <v>Date</v>
          </cell>
          <cell r="R1" t="str">
            <v>Actual</v>
          </cell>
          <cell r="S1" t="str">
            <v>Covenant</v>
          </cell>
          <cell r="W1" t="str">
            <v>ELC 00-I Class A Overcollateralization</v>
          </cell>
        </row>
        <row r="2">
          <cell r="B2">
            <v>36242</v>
          </cell>
          <cell r="C2">
            <v>1.3480000000000001</v>
          </cell>
          <cell r="D2">
            <v>1.3</v>
          </cell>
          <cell r="G2">
            <v>36242</v>
          </cell>
          <cell r="H2">
            <v>1.1951000000000001</v>
          </cell>
          <cell r="I2">
            <v>1.1499999999999999</v>
          </cell>
          <cell r="L2">
            <v>36242</v>
          </cell>
          <cell r="M2">
            <v>1.0789</v>
          </cell>
          <cell r="N2">
            <v>1.0625</v>
          </cell>
          <cell r="Q2">
            <v>36242</v>
          </cell>
          <cell r="R2">
            <v>0</v>
          </cell>
          <cell r="S2">
            <v>0</v>
          </cell>
        </row>
        <row r="3">
          <cell r="B3">
            <v>36273</v>
          </cell>
          <cell r="C3">
            <v>1.3477000000000001</v>
          </cell>
          <cell r="D3">
            <v>1.3</v>
          </cell>
          <cell r="G3">
            <v>36273</v>
          </cell>
          <cell r="H3">
            <v>1.1948000000000001</v>
          </cell>
          <cell r="I3">
            <v>1.1499999999999999</v>
          </cell>
          <cell r="L3">
            <v>36273</v>
          </cell>
          <cell r="M3">
            <v>1.0786</v>
          </cell>
          <cell r="N3">
            <v>1.0625</v>
          </cell>
          <cell r="Q3">
            <v>36273</v>
          </cell>
          <cell r="R3">
            <v>0</v>
          </cell>
          <cell r="S3">
            <v>0</v>
          </cell>
        </row>
        <row r="4">
          <cell r="B4">
            <v>36303</v>
          </cell>
          <cell r="C4">
            <v>1.3478999999999999</v>
          </cell>
          <cell r="D4">
            <v>1.3</v>
          </cell>
          <cell r="G4">
            <v>36303</v>
          </cell>
          <cell r="H4">
            <v>1.1950000000000001</v>
          </cell>
          <cell r="I4">
            <v>1.1499999999999999</v>
          </cell>
          <cell r="L4">
            <v>36303</v>
          </cell>
          <cell r="M4">
            <v>1.0787</v>
          </cell>
          <cell r="N4">
            <v>1.0625</v>
          </cell>
          <cell r="Q4">
            <v>36303</v>
          </cell>
          <cell r="R4">
            <v>0</v>
          </cell>
          <cell r="S4">
            <v>0</v>
          </cell>
        </row>
        <row r="5">
          <cell r="B5">
            <v>36334</v>
          </cell>
          <cell r="C5">
            <v>1.3478999999999999</v>
          </cell>
          <cell r="D5">
            <v>1.3</v>
          </cell>
          <cell r="G5">
            <v>36334</v>
          </cell>
          <cell r="H5">
            <v>1.1950000000000001</v>
          </cell>
          <cell r="I5">
            <v>1.1499999999999999</v>
          </cell>
          <cell r="L5">
            <v>36334</v>
          </cell>
          <cell r="M5">
            <v>1.0787</v>
          </cell>
          <cell r="N5">
            <v>1.0625</v>
          </cell>
          <cell r="Q5">
            <v>36334</v>
          </cell>
          <cell r="R5">
            <v>0</v>
          </cell>
          <cell r="S5">
            <v>0</v>
          </cell>
        </row>
        <row r="6">
          <cell r="B6">
            <v>36356</v>
          </cell>
          <cell r="C6">
            <v>1.3478999999999999</v>
          </cell>
          <cell r="D6">
            <v>1.3</v>
          </cell>
          <cell r="G6">
            <v>36356</v>
          </cell>
          <cell r="H6">
            <v>1.1950000000000001</v>
          </cell>
          <cell r="I6">
            <v>1.1499999999999999</v>
          </cell>
          <cell r="L6">
            <v>36356</v>
          </cell>
          <cell r="M6">
            <v>1.0787</v>
          </cell>
          <cell r="N6">
            <v>1.0625</v>
          </cell>
          <cell r="Q6">
            <v>36356</v>
          </cell>
          <cell r="R6">
            <v>0</v>
          </cell>
          <cell r="S6">
            <v>0</v>
          </cell>
        </row>
        <row r="7">
          <cell r="B7">
            <v>36395</v>
          </cell>
          <cell r="C7">
            <v>1.3485</v>
          </cell>
          <cell r="D7">
            <v>1.3</v>
          </cell>
          <cell r="G7">
            <v>36395</v>
          </cell>
          <cell r="H7">
            <v>1.1955</v>
          </cell>
          <cell r="I7">
            <v>1.1499999999999999</v>
          </cell>
          <cell r="L7">
            <v>36395</v>
          </cell>
          <cell r="M7">
            <v>1.0791999999999999</v>
          </cell>
          <cell r="N7">
            <v>1.0625</v>
          </cell>
          <cell r="Q7">
            <v>36395</v>
          </cell>
          <cell r="R7">
            <v>0</v>
          </cell>
          <cell r="S7">
            <v>0</v>
          </cell>
        </row>
        <row r="8">
          <cell r="B8">
            <v>36426</v>
          </cell>
          <cell r="C8">
            <v>1.3485</v>
          </cell>
          <cell r="D8">
            <v>1.3</v>
          </cell>
          <cell r="G8">
            <v>36426</v>
          </cell>
          <cell r="H8">
            <v>1.1955</v>
          </cell>
          <cell r="I8">
            <v>1.1499999999999999</v>
          </cell>
          <cell r="L8">
            <v>36426</v>
          </cell>
          <cell r="M8">
            <v>1.0793000000000001</v>
          </cell>
          <cell r="N8">
            <v>1.0625</v>
          </cell>
          <cell r="Q8">
            <v>36426</v>
          </cell>
          <cell r="R8">
            <v>0</v>
          </cell>
          <cell r="S8">
            <v>0</v>
          </cell>
        </row>
        <row r="9">
          <cell r="B9">
            <v>36448</v>
          </cell>
          <cell r="C9">
            <v>1.3486000000000002</v>
          </cell>
          <cell r="D9">
            <v>1.3</v>
          </cell>
          <cell r="G9">
            <v>36448</v>
          </cell>
          <cell r="H9">
            <v>1.1956</v>
          </cell>
          <cell r="I9">
            <v>1.1499999999999999</v>
          </cell>
          <cell r="L9">
            <v>36448</v>
          </cell>
          <cell r="M9">
            <v>1.0793000000000001</v>
          </cell>
          <cell r="N9">
            <v>1.0625</v>
          </cell>
          <cell r="Q9">
            <v>36448</v>
          </cell>
          <cell r="R9">
            <v>0</v>
          </cell>
          <cell r="S9">
            <v>0</v>
          </cell>
        </row>
        <row r="10">
          <cell r="B10">
            <v>36487</v>
          </cell>
          <cell r="C10">
            <v>1.3488</v>
          </cell>
          <cell r="D10">
            <v>1.3</v>
          </cell>
          <cell r="G10">
            <v>36487</v>
          </cell>
          <cell r="H10">
            <v>1.1958</v>
          </cell>
          <cell r="I10">
            <v>1.1499999999999999</v>
          </cell>
          <cell r="L10">
            <v>36487</v>
          </cell>
          <cell r="M10">
            <v>1.0795000000000001</v>
          </cell>
          <cell r="N10">
            <v>1.0625</v>
          </cell>
          <cell r="Q10">
            <v>36487</v>
          </cell>
          <cell r="R10">
            <v>0</v>
          </cell>
          <cell r="S10">
            <v>0</v>
          </cell>
        </row>
        <row r="11">
          <cell r="B11">
            <v>36517</v>
          </cell>
          <cell r="C11">
            <v>1.3491</v>
          </cell>
          <cell r="D11">
            <v>1.3</v>
          </cell>
          <cell r="G11">
            <v>36517</v>
          </cell>
          <cell r="H11">
            <v>1.196</v>
          </cell>
          <cell r="I11">
            <v>1.1499999999999999</v>
          </cell>
          <cell r="L11">
            <v>36517</v>
          </cell>
          <cell r="M11">
            <v>1.0797000000000001</v>
          </cell>
          <cell r="N11">
            <v>1.0625</v>
          </cell>
          <cell r="Q11">
            <v>36517</v>
          </cell>
          <cell r="R11">
            <v>0</v>
          </cell>
          <cell r="S11">
            <v>0</v>
          </cell>
        </row>
        <row r="12">
          <cell r="B12">
            <v>36535</v>
          </cell>
          <cell r="C12">
            <v>1.3383</v>
          </cell>
          <cell r="D12">
            <v>1.3</v>
          </cell>
          <cell r="G12">
            <v>36535</v>
          </cell>
          <cell r="H12">
            <v>1.1865000000000001</v>
          </cell>
          <cell r="I12">
            <v>1.1499999999999999</v>
          </cell>
          <cell r="L12">
            <v>36535</v>
          </cell>
          <cell r="M12">
            <v>1.0710999999999999</v>
          </cell>
          <cell r="N12">
            <v>1.0625</v>
          </cell>
          <cell r="Q12">
            <v>36535</v>
          </cell>
          <cell r="R12">
            <v>0</v>
          </cell>
          <cell r="S12">
            <v>0</v>
          </cell>
        </row>
        <row r="13">
          <cell r="B13">
            <v>36579</v>
          </cell>
          <cell r="C13">
            <v>1.3371000000000002</v>
          </cell>
          <cell r="D13">
            <v>1.3</v>
          </cell>
          <cell r="G13">
            <v>36579</v>
          </cell>
          <cell r="H13">
            <v>1.1854</v>
          </cell>
          <cell r="I13">
            <v>1.1499999999999999</v>
          </cell>
          <cell r="L13">
            <v>36579</v>
          </cell>
          <cell r="M13">
            <v>1.0701000000000001</v>
          </cell>
          <cell r="N13">
            <v>1.0625</v>
          </cell>
          <cell r="Q13">
            <v>36579</v>
          </cell>
          <cell r="R13">
            <v>0</v>
          </cell>
          <cell r="S13">
            <v>0</v>
          </cell>
        </row>
        <row r="14">
          <cell r="B14">
            <v>36608</v>
          </cell>
          <cell r="C14">
            <v>1.3381000000000001</v>
          </cell>
          <cell r="D14">
            <v>1.3</v>
          </cell>
          <cell r="G14">
            <v>36608</v>
          </cell>
          <cell r="H14">
            <v>1.1862999999999999</v>
          </cell>
          <cell r="I14">
            <v>1.1499999999999999</v>
          </cell>
          <cell r="L14">
            <v>36608</v>
          </cell>
          <cell r="M14">
            <v>1.0709</v>
          </cell>
          <cell r="N14">
            <v>1.0625</v>
          </cell>
          <cell r="Q14">
            <v>36608</v>
          </cell>
          <cell r="R14">
            <v>0</v>
          </cell>
          <cell r="S14">
            <v>0</v>
          </cell>
        </row>
        <row r="15">
          <cell r="B15">
            <v>36633</v>
          </cell>
          <cell r="C15">
            <v>1.3383</v>
          </cell>
          <cell r="D15">
            <v>1.3</v>
          </cell>
          <cell r="G15">
            <v>36633</v>
          </cell>
          <cell r="H15">
            <v>1.1865000000000001</v>
          </cell>
          <cell r="I15">
            <v>1.1499999999999999</v>
          </cell>
          <cell r="L15">
            <v>36633</v>
          </cell>
          <cell r="M15">
            <v>1.0710999999999999</v>
          </cell>
          <cell r="N15">
            <v>1.0625</v>
          </cell>
          <cell r="Q15">
            <v>36633</v>
          </cell>
          <cell r="R15">
            <v>0</v>
          </cell>
          <cell r="S15">
            <v>0</v>
          </cell>
        </row>
        <row r="16">
          <cell r="B16">
            <v>36669</v>
          </cell>
          <cell r="C16">
            <v>1.3415000000000001</v>
          </cell>
          <cell r="D16">
            <v>1.3</v>
          </cell>
          <cell r="G16">
            <v>36669</v>
          </cell>
          <cell r="H16">
            <v>1.1893</v>
          </cell>
          <cell r="I16">
            <v>1.1499999999999999</v>
          </cell>
          <cell r="L16">
            <v>36669</v>
          </cell>
          <cell r="M16">
            <v>1.0737000000000001</v>
          </cell>
          <cell r="N16">
            <v>1.0625</v>
          </cell>
          <cell r="Q16">
            <v>36669</v>
          </cell>
          <cell r="R16">
            <v>0</v>
          </cell>
          <cell r="S16">
            <v>0</v>
          </cell>
        </row>
        <row r="17">
          <cell r="B17">
            <v>36700</v>
          </cell>
          <cell r="C17">
            <v>1.3390000000000002</v>
          </cell>
          <cell r="D17">
            <v>1.3</v>
          </cell>
          <cell r="G17">
            <v>36700</v>
          </cell>
          <cell r="H17">
            <v>1.1871</v>
          </cell>
          <cell r="I17">
            <v>1.1499999999999999</v>
          </cell>
          <cell r="L17">
            <v>36700</v>
          </cell>
          <cell r="M17">
            <v>1.0715999999999999</v>
          </cell>
          <cell r="N17">
            <v>1.0625</v>
          </cell>
          <cell r="Q17">
            <v>36700</v>
          </cell>
          <cell r="R17">
            <v>0</v>
          </cell>
          <cell r="S17">
            <v>0</v>
          </cell>
        </row>
        <row r="18">
          <cell r="B18">
            <v>36717</v>
          </cell>
          <cell r="C18">
            <v>1.3388</v>
          </cell>
          <cell r="D18">
            <v>1.3</v>
          </cell>
          <cell r="G18">
            <v>36717</v>
          </cell>
          <cell r="H18">
            <v>1.1870000000000001</v>
          </cell>
          <cell r="I18">
            <v>1.1499999999999999</v>
          </cell>
          <cell r="L18">
            <v>36717</v>
          </cell>
          <cell r="M18">
            <v>1.0715000000000001</v>
          </cell>
          <cell r="N18">
            <v>1.0625</v>
          </cell>
          <cell r="Q18">
            <v>36717</v>
          </cell>
          <cell r="R18">
            <v>0</v>
          </cell>
          <cell r="S18">
            <v>0</v>
          </cell>
        </row>
        <row r="19">
          <cell r="B19">
            <v>36761</v>
          </cell>
          <cell r="C19">
            <v>1.3402000000000001</v>
          </cell>
          <cell r="D19">
            <v>1.3</v>
          </cell>
          <cell r="G19">
            <v>36761</v>
          </cell>
          <cell r="H19">
            <v>1.1881000000000002</v>
          </cell>
          <cell r="I19">
            <v>1.1499999999999999</v>
          </cell>
          <cell r="L19">
            <v>36761</v>
          </cell>
          <cell r="M19">
            <v>1.0726</v>
          </cell>
          <cell r="N19">
            <v>1.0625</v>
          </cell>
          <cell r="Q19">
            <v>36761</v>
          </cell>
          <cell r="R19">
            <v>0</v>
          </cell>
          <cell r="S19">
            <v>0</v>
          </cell>
        </row>
        <row r="20">
          <cell r="B20">
            <v>36792</v>
          </cell>
          <cell r="C20">
            <v>1.3446</v>
          </cell>
          <cell r="D20">
            <v>1.3</v>
          </cell>
          <cell r="G20">
            <v>36792</v>
          </cell>
          <cell r="H20">
            <v>1.1920999999999999</v>
          </cell>
          <cell r="I20">
            <v>1.1499999999999999</v>
          </cell>
          <cell r="L20">
            <v>36792</v>
          </cell>
          <cell r="M20">
            <v>1.0761000000000001</v>
          </cell>
          <cell r="N20">
            <v>1.0625</v>
          </cell>
          <cell r="Q20">
            <v>36792</v>
          </cell>
          <cell r="R20">
            <v>0</v>
          </cell>
          <cell r="S20">
            <v>0</v>
          </cell>
        </row>
        <row r="21">
          <cell r="B21">
            <v>36805</v>
          </cell>
          <cell r="C21">
            <v>1.34</v>
          </cell>
          <cell r="D21">
            <v>1.3</v>
          </cell>
          <cell r="G21">
            <v>36805</v>
          </cell>
          <cell r="H21">
            <v>1.1879999999999999</v>
          </cell>
          <cell r="I21">
            <v>1.1499999999999999</v>
          </cell>
          <cell r="L21">
            <v>36805</v>
          </cell>
          <cell r="M21">
            <v>1.0724</v>
          </cell>
          <cell r="N21">
            <v>1.0625</v>
          </cell>
          <cell r="Q21">
            <v>36805</v>
          </cell>
          <cell r="R21">
            <v>0</v>
          </cell>
          <cell r="S21">
            <v>0</v>
          </cell>
        </row>
        <row r="22">
          <cell r="B22">
            <v>36852</v>
          </cell>
          <cell r="C22">
            <v>1.3256000000000001</v>
          </cell>
          <cell r="D22">
            <v>1.3</v>
          </cell>
          <cell r="G22">
            <v>36852</v>
          </cell>
          <cell r="H22">
            <v>1.1752</v>
          </cell>
          <cell r="I22">
            <v>1.1499999999999999</v>
          </cell>
          <cell r="L22">
            <v>36852</v>
          </cell>
          <cell r="M22">
            <v>1.0609</v>
          </cell>
          <cell r="N22">
            <v>1.0625</v>
          </cell>
          <cell r="Q22">
            <v>36852</v>
          </cell>
          <cell r="R22">
            <v>0</v>
          </cell>
          <cell r="S22">
            <v>0</v>
          </cell>
        </row>
        <row r="23">
          <cell r="B23">
            <v>36882</v>
          </cell>
          <cell r="C23">
            <v>1.3291999999999999</v>
          </cell>
          <cell r="D23">
            <v>1.3</v>
          </cell>
          <cell r="G23">
            <v>36882</v>
          </cell>
          <cell r="H23">
            <v>1.1784000000000001</v>
          </cell>
          <cell r="I23">
            <v>1.1499999999999999</v>
          </cell>
          <cell r="L23">
            <v>36882</v>
          </cell>
          <cell r="M23">
            <v>1.0638000000000001</v>
          </cell>
          <cell r="N23">
            <v>1.0625</v>
          </cell>
          <cell r="Q23">
            <v>36882</v>
          </cell>
          <cell r="R23">
            <v>0</v>
          </cell>
          <cell r="S23">
            <v>0</v>
          </cell>
        </row>
        <row r="24">
          <cell r="B24">
            <v>36899</v>
          </cell>
          <cell r="C24">
            <v>1.3297999999999999</v>
          </cell>
          <cell r="D24">
            <v>1.3</v>
          </cell>
          <cell r="G24">
            <v>36899</v>
          </cell>
          <cell r="H24">
            <v>1.1789000000000001</v>
          </cell>
          <cell r="I24">
            <v>1.1499999999999999</v>
          </cell>
          <cell r="L24">
            <v>36899</v>
          </cell>
          <cell r="M24">
            <v>1.0643</v>
          </cell>
          <cell r="N24">
            <v>1.0625</v>
          </cell>
          <cell r="Q24">
            <v>36899</v>
          </cell>
          <cell r="R24">
            <v>0</v>
          </cell>
          <cell r="S24">
            <v>0</v>
          </cell>
        </row>
        <row r="25">
          <cell r="B25">
            <v>36945</v>
          </cell>
          <cell r="C25">
            <v>1.3340000000000001</v>
          </cell>
          <cell r="D25">
            <v>1.3</v>
          </cell>
          <cell r="G25">
            <v>36945</v>
          </cell>
          <cell r="H25">
            <v>1.1826000000000001</v>
          </cell>
          <cell r="I25">
            <v>1.1499999999999999</v>
          </cell>
          <cell r="L25">
            <v>36945</v>
          </cell>
          <cell r="M25">
            <v>1.0676000000000001</v>
          </cell>
          <cell r="N25">
            <v>1.0625</v>
          </cell>
          <cell r="Q25">
            <v>36945</v>
          </cell>
          <cell r="R25">
            <v>0</v>
          </cell>
          <cell r="S25">
            <v>0</v>
          </cell>
        </row>
        <row r="26">
          <cell r="B26">
            <v>36973</v>
          </cell>
          <cell r="C26">
            <v>1.3331</v>
          </cell>
          <cell r="D26">
            <v>1.3</v>
          </cell>
          <cell r="G26">
            <v>36973</v>
          </cell>
          <cell r="H26">
            <v>1.1819</v>
          </cell>
          <cell r="I26">
            <v>1.1499999999999999</v>
          </cell>
          <cell r="L26">
            <v>36973</v>
          </cell>
          <cell r="M26">
            <v>1.0669</v>
          </cell>
          <cell r="N26">
            <v>1.0625</v>
          </cell>
          <cell r="Q26">
            <v>36973</v>
          </cell>
          <cell r="R26">
            <v>0</v>
          </cell>
          <cell r="S26">
            <v>0</v>
          </cell>
        </row>
        <row r="27">
          <cell r="B27">
            <v>36987</v>
          </cell>
          <cell r="C27">
            <v>1.3336000000000001</v>
          </cell>
          <cell r="D27">
            <v>1.3</v>
          </cell>
          <cell r="G27">
            <v>36987</v>
          </cell>
          <cell r="H27">
            <v>1.1823000000000001</v>
          </cell>
          <cell r="I27">
            <v>1.1499999999999999</v>
          </cell>
          <cell r="L27">
            <v>36987</v>
          </cell>
          <cell r="M27">
            <v>1.0673000000000001</v>
          </cell>
          <cell r="N27">
            <v>1.0625</v>
          </cell>
          <cell r="Q27">
            <v>36987</v>
          </cell>
          <cell r="R27">
            <v>0</v>
          </cell>
          <cell r="S27">
            <v>0</v>
          </cell>
        </row>
        <row r="28">
          <cell r="B28">
            <v>37034</v>
          </cell>
          <cell r="C28">
            <v>1.3119000000000001</v>
          </cell>
          <cell r="D28">
            <v>1.3</v>
          </cell>
          <cell r="G28">
            <v>37034</v>
          </cell>
          <cell r="H28">
            <v>1.1631</v>
          </cell>
          <cell r="I28">
            <v>1.1499999999999999</v>
          </cell>
          <cell r="L28">
            <v>37034</v>
          </cell>
          <cell r="M28">
            <v>1.0499000000000001</v>
          </cell>
          <cell r="N28">
            <v>1.0625</v>
          </cell>
          <cell r="Q28">
            <v>37034</v>
          </cell>
          <cell r="R28">
            <v>0</v>
          </cell>
          <cell r="S28">
            <v>0</v>
          </cell>
        </row>
        <row r="29">
          <cell r="B29">
            <v>37065</v>
          </cell>
          <cell r="C29">
            <v>1.3108000000000002</v>
          </cell>
          <cell r="D29">
            <v>1.3</v>
          </cell>
          <cell r="G29">
            <v>37065</v>
          </cell>
          <cell r="H29">
            <v>1.1620999999999999</v>
          </cell>
          <cell r="I29">
            <v>1.1499999999999999</v>
          </cell>
          <cell r="L29">
            <v>37065</v>
          </cell>
          <cell r="M29">
            <v>1.0490999999999999</v>
          </cell>
          <cell r="N29">
            <v>1.0625</v>
          </cell>
          <cell r="Q29">
            <v>37065</v>
          </cell>
          <cell r="R29">
            <v>0</v>
          </cell>
          <cell r="S29">
            <v>0</v>
          </cell>
        </row>
        <row r="30">
          <cell r="B30">
            <v>37081</v>
          </cell>
          <cell r="C30">
            <v>1.2987</v>
          </cell>
          <cell r="D30">
            <v>1.3</v>
          </cell>
          <cell r="G30">
            <v>37081</v>
          </cell>
          <cell r="H30">
            <v>1.1514</v>
          </cell>
          <cell r="I30">
            <v>1.1499999999999999</v>
          </cell>
          <cell r="L30">
            <v>37081</v>
          </cell>
          <cell r="M30">
            <v>1.0394000000000001</v>
          </cell>
          <cell r="N30">
            <v>1.0625</v>
          </cell>
          <cell r="Q30">
            <v>37081</v>
          </cell>
          <cell r="R30">
            <v>0</v>
          </cell>
          <cell r="S30">
            <v>0</v>
          </cell>
        </row>
        <row r="31">
          <cell r="B31">
            <v>37126</v>
          </cell>
          <cell r="C31">
            <v>1.3125</v>
          </cell>
          <cell r="D31">
            <v>1.3</v>
          </cell>
          <cell r="G31">
            <v>37126</v>
          </cell>
          <cell r="H31">
            <v>1.1599999999999999</v>
          </cell>
          <cell r="I31">
            <v>1.1499999999999999</v>
          </cell>
          <cell r="L31">
            <v>37126</v>
          </cell>
          <cell r="M31">
            <v>1.0448</v>
          </cell>
          <cell r="N31">
            <v>1.0625</v>
          </cell>
          <cell r="Q31">
            <v>37126</v>
          </cell>
          <cell r="R31">
            <v>0</v>
          </cell>
          <cell r="S31">
            <v>0</v>
          </cell>
        </row>
        <row r="32">
          <cell r="B32">
            <v>37155</v>
          </cell>
          <cell r="C32">
            <v>1.3094999999999999</v>
          </cell>
          <cell r="D32">
            <v>1.3</v>
          </cell>
          <cell r="G32">
            <v>37155</v>
          </cell>
          <cell r="H32">
            <v>1.1573</v>
          </cell>
          <cell r="I32">
            <v>1.1499999999999999</v>
          </cell>
          <cell r="L32">
            <v>37155</v>
          </cell>
          <cell r="M32">
            <v>1.0422</v>
          </cell>
          <cell r="N32">
            <v>1.0625</v>
          </cell>
          <cell r="Q32">
            <v>37155</v>
          </cell>
          <cell r="R32">
            <v>0</v>
          </cell>
          <cell r="S32">
            <v>0</v>
          </cell>
        </row>
        <row r="33">
          <cell r="B33">
            <v>37169</v>
          </cell>
          <cell r="C33">
            <v>1.3082</v>
          </cell>
          <cell r="D33">
            <v>1.3</v>
          </cell>
          <cell r="G33">
            <v>37169</v>
          </cell>
          <cell r="H33">
            <v>1.1562000000000001</v>
          </cell>
          <cell r="I33">
            <v>1.1499999999999999</v>
          </cell>
          <cell r="L33">
            <v>37169</v>
          </cell>
          <cell r="M33">
            <v>1.0412000000000001</v>
          </cell>
          <cell r="N33">
            <v>1.0625</v>
          </cell>
          <cell r="Q33">
            <v>37169</v>
          </cell>
          <cell r="R33">
            <v>0</v>
          </cell>
          <cell r="S33">
            <v>0</v>
          </cell>
        </row>
        <row r="34">
          <cell r="B34">
            <v>37225</v>
          </cell>
          <cell r="C34">
            <v>1.3197999999999999</v>
          </cell>
          <cell r="D34">
            <v>1.3</v>
          </cell>
          <cell r="G34">
            <v>37225</v>
          </cell>
          <cell r="H34">
            <v>1.1629</v>
          </cell>
          <cell r="I34">
            <v>1.1499999999999999</v>
          </cell>
          <cell r="L34">
            <v>37225</v>
          </cell>
          <cell r="M34">
            <v>1.0448999999999999</v>
          </cell>
          <cell r="N34">
            <v>1.0625</v>
          </cell>
          <cell r="Q34">
            <v>37225</v>
          </cell>
          <cell r="R34">
            <v>0</v>
          </cell>
          <cell r="S34">
            <v>0</v>
          </cell>
        </row>
        <row r="35">
          <cell r="B35">
            <v>37246</v>
          </cell>
          <cell r="C35">
            <v>1.3128</v>
          </cell>
          <cell r="D35">
            <v>1.3</v>
          </cell>
          <cell r="G35">
            <v>37246</v>
          </cell>
          <cell r="H35">
            <v>1.1568000000000001</v>
          </cell>
          <cell r="I35">
            <v>1.1499999999999999</v>
          </cell>
          <cell r="L35">
            <v>37246</v>
          </cell>
          <cell r="M35">
            <v>1.0394000000000001</v>
          </cell>
          <cell r="N35">
            <v>1.0625</v>
          </cell>
          <cell r="Q35">
            <v>37246</v>
          </cell>
          <cell r="R35">
            <v>0</v>
          </cell>
          <cell r="S35">
            <v>0</v>
          </cell>
        </row>
        <row r="36">
          <cell r="B36">
            <v>37264</v>
          </cell>
          <cell r="C36">
            <v>1.3136000000000001</v>
          </cell>
          <cell r="D36">
            <v>1.3</v>
          </cell>
          <cell r="G36">
            <v>37264</v>
          </cell>
          <cell r="H36">
            <v>1.1575</v>
          </cell>
          <cell r="I36">
            <v>1.1499999999999999</v>
          </cell>
          <cell r="L36">
            <v>37264</v>
          </cell>
          <cell r="M36">
            <v>1.04</v>
          </cell>
          <cell r="N36">
            <v>1.0625</v>
          </cell>
          <cell r="Q36">
            <v>37264</v>
          </cell>
          <cell r="R36">
            <v>0</v>
          </cell>
          <cell r="S36">
            <v>0</v>
          </cell>
        </row>
        <row r="37">
          <cell r="B37">
            <v>37309</v>
          </cell>
          <cell r="C37">
            <v>1.3116000000000001</v>
          </cell>
          <cell r="D37">
            <v>1.3</v>
          </cell>
          <cell r="G37">
            <v>37309</v>
          </cell>
          <cell r="H37">
            <v>1.1518999999999999</v>
          </cell>
          <cell r="I37">
            <v>1.1499999999999999</v>
          </cell>
          <cell r="L37">
            <v>37309</v>
          </cell>
          <cell r="M37">
            <v>1.0325</v>
          </cell>
          <cell r="N37">
            <v>1.0625</v>
          </cell>
          <cell r="Q37">
            <v>37309</v>
          </cell>
          <cell r="R37">
            <v>0</v>
          </cell>
          <cell r="S37">
            <v>0</v>
          </cell>
        </row>
        <row r="38">
          <cell r="B38">
            <v>37337</v>
          </cell>
          <cell r="C38">
            <v>1.3123</v>
          </cell>
          <cell r="D38">
            <v>1.3</v>
          </cell>
          <cell r="G38">
            <v>37337</v>
          </cell>
          <cell r="H38">
            <v>1.1526000000000001</v>
          </cell>
          <cell r="I38">
            <v>1.1499999999999999</v>
          </cell>
          <cell r="L38">
            <v>37337</v>
          </cell>
          <cell r="M38">
            <v>1.0331000000000001</v>
          </cell>
          <cell r="N38">
            <v>1.0625</v>
          </cell>
          <cell r="Q38">
            <v>37337</v>
          </cell>
          <cell r="R38">
            <v>0</v>
          </cell>
          <cell r="S38">
            <v>0</v>
          </cell>
        </row>
        <row r="39">
          <cell r="B39">
            <v>37354</v>
          </cell>
          <cell r="C39">
            <v>1.3126</v>
          </cell>
          <cell r="D39">
            <v>1.3</v>
          </cell>
          <cell r="G39">
            <v>37354</v>
          </cell>
          <cell r="H39">
            <v>1.1528</v>
          </cell>
          <cell r="I39">
            <v>1.1499999999999999</v>
          </cell>
          <cell r="L39">
            <v>37354</v>
          </cell>
          <cell r="M39">
            <v>1.0333000000000001</v>
          </cell>
          <cell r="N39">
            <v>1.0625</v>
          </cell>
          <cell r="Q39">
            <v>37354</v>
          </cell>
          <cell r="R39">
            <v>0</v>
          </cell>
          <cell r="S39">
            <v>0</v>
          </cell>
        </row>
        <row r="40">
          <cell r="B40">
            <v>37399</v>
          </cell>
          <cell r="C40">
            <v>1.3322999999999998</v>
          </cell>
          <cell r="D40">
            <v>1.3</v>
          </cell>
          <cell r="G40">
            <v>37399</v>
          </cell>
          <cell r="H40">
            <v>1.165</v>
          </cell>
          <cell r="I40">
            <v>1.1499999999999999</v>
          </cell>
          <cell r="L40">
            <v>37399</v>
          </cell>
          <cell r="M40">
            <v>1.0407999999999999</v>
          </cell>
          <cell r="N40">
            <v>1.0625</v>
          </cell>
          <cell r="Q40">
            <v>37399</v>
          </cell>
          <cell r="R40">
            <v>0</v>
          </cell>
          <cell r="S40">
            <v>0</v>
          </cell>
        </row>
        <row r="41">
          <cell r="B41">
            <v>37428</v>
          </cell>
          <cell r="C41">
            <v>1.3330000000000002</v>
          </cell>
          <cell r="D41">
            <v>1.3</v>
          </cell>
          <cell r="G41">
            <v>37428</v>
          </cell>
          <cell r="H41">
            <v>1.1656</v>
          </cell>
          <cell r="I41">
            <v>1.1499999999999999</v>
          </cell>
          <cell r="L41">
            <v>37428</v>
          </cell>
          <cell r="M41">
            <v>1.0412999999999999</v>
          </cell>
          <cell r="N41">
            <v>1.0625</v>
          </cell>
          <cell r="Q41">
            <v>37428</v>
          </cell>
          <cell r="R41">
            <v>0</v>
          </cell>
          <cell r="S41">
            <v>0</v>
          </cell>
        </row>
        <row r="42">
          <cell r="B42">
            <v>37445</v>
          </cell>
          <cell r="C42">
            <v>1.3312999999999999</v>
          </cell>
          <cell r="D42">
            <v>1.3</v>
          </cell>
          <cell r="G42">
            <v>37445</v>
          </cell>
          <cell r="H42">
            <v>1.1640999999999999</v>
          </cell>
          <cell r="I42">
            <v>1.1499999999999999</v>
          </cell>
          <cell r="L42">
            <v>37445</v>
          </cell>
          <cell r="M42">
            <v>1.0401</v>
          </cell>
          <cell r="N42">
            <v>1.0625</v>
          </cell>
          <cell r="Q42">
            <v>37445</v>
          </cell>
          <cell r="R42">
            <v>0</v>
          </cell>
          <cell r="S42">
            <v>0</v>
          </cell>
        </row>
        <row r="43">
          <cell r="B43">
            <v>37522</v>
          </cell>
          <cell r="C43">
            <v>1.3573999999999999</v>
          </cell>
          <cell r="D43">
            <v>1.3</v>
          </cell>
          <cell r="G43">
            <v>37522</v>
          </cell>
          <cell r="H43">
            <v>1.1828000000000001</v>
          </cell>
          <cell r="I43">
            <v>1.1499999999999999</v>
          </cell>
          <cell r="L43">
            <v>37522</v>
          </cell>
          <cell r="M43">
            <v>1.054</v>
          </cell>
          <cell r="N43">
            <v>1.0625</v>
          </cell>
          <cell r="Q43">
            <v>37522</v>
          </cell>
          <cell r="R43">
            <v>0</v>
          </cell>
          <cell r="S43">
            <v>0</v>
          </cell>
        </row>
        <row r="44">
          <cell r="B44">
            <v>37536</v>
          </cell>
          <cell r="C44">
            <v>1.357</v>
          </cell>
          <cell r="D44">
            <v>1.3</v>
          </cell>
          <cell r="G44">
            <v>37536</v>
          </cell>
          <cell r="H44">
            <v>1.1825000000000001</v>
          </cell>
          <cell r="I44">
            <v>1.1499999999999999</v>
          </cell>
          <cell r="L44">
            <v>37536</v>
          </cell>
          <cell r="M44">
            <v>1.0537000000000001</v>
          </cell>
          <cell r="N44">
            <v>1.0625</v>
          </cell>
          <cell r="Q44">
            <v>37536</v>
          </cell>
          <cell r="R44">
            <v>0</v>
          </cell>
          <cell r="S44">
            <v>0</v>
          </cell>
        </row>
      </sheetData>
      <sheetData sheetId="4" refreshError="1">
        <row r="1">
          <cell r="B1" t="str">
            <v>Date</v>
          </cell>
          <cell r="C1" t="str">
            <v>Actual</v>
          </cell>
          <cell r="D1" t="str">
            <v>Covenant</v>
          </cell>
          <cell r="G1" t="str">
            <v>Date</v>
          </cell>
          <cell r="H1" t="str">
            <v>Actual</v>
          </cell>
          <cell r="I1" t="str">
            <v>Covenant</v>
          </cell>
          <cell r="L1" t="str">
            <v>Date</v>
          </cell>
          <cell r="M1" t="str">
            <v>Actual</v>
          </cell>
          <cell r="N1" t="str">
            <v>Covenant</v>
          </cell>
          <cell r="Q1" t="str">
            <v>Date</v>
          </cell>
          <cell r="R1" t="str">
            <v>Actual</v>
          </cell>
          <cell r="S1" t="str">
            <v>Covenant</v>
          </cell>
          <cell r="W1" t="str">
            <v>ELC 00-I Class A Interest Coverage</v>
          </cell>
        </row>
        <row r="2">
          <cell r="B2">
            <v>36242</v>
          </cell>
          <cell r="C2">
            <v>1.4983000000000002</v>
          </cell>
          <cell r="D2">
            <v>1.4</v>
          </cell>
          <cell r="G2">
            <v>36242</v>
          </cell>
          <cell r="H2">
            <v>1.3119000000000001</v>
          </cell>
          <cell r="I2">
            <v>1.3</v>
          </cell>
          <cell r="L2">
            <v>36242</v>
          </cell>
          <cell r="M2">
            <v>1.1105</v>
          </cell>
          <cell r="N2">
            <v>1.1200000000000001</v>
          </cell>
          <cell r="Q2">
            <v>36242</v>
          </cell>
          <cell r="R2">
            <v>0</v>
          </cell>
          <cell r="S2">
            <v>0</v>
          </cell>
        </row>
        <row r="3">
          <cell r="B3">
            <v>36273</v>
          </cell>
          <cell r="C3">
            <v>1.4968000000000001</v>
          </cell>
          <cell r="D3">
            <v>1.4</v>
          </cell>
          <cell r="G3">
            <v>36273</v>
          </cell>
          <cell r="H3">
            <v>1.3106</v>
          </cell>
          <cell r="I3">
            <v>1.3</v>
          </cell>
          <cell r="L3">
            <v>36273</v>
          </cell>
          <cell r="M3">
            <v>1.1093999999999999</v>
          </cell>
          <cell r="N3">
            <v>1.1200000000000001</v>
          </cell>
          <cell r="Q3">
            <v>36273</v>
          </cell>
          <cell r="R3">
            <v>0</v>
          </cell>
          <cell r="S3">
            <v>0</v>
          </cell>
        </row>
        <row r="4">
          <cell r="B4">
            <v>36303</v>
          </cell>
          <cell r="C4">
            <v>1.4855</v>
          </cell>
          <cell r="D4">
            <v>1.4</v>
          </cell>
          <cell r="G4">
            <v>36303</v>
          </cell>
          <cell r="H4">
            <v>1.3007</v>
          </cell>
          <cell r="I4">
            <v>1.3</v>
          </cell>
          <cell r="L4">
            <v>36303</v>
          </cell>
          <cell r="M4">
            <v>1.101</v>
          </cell>
          <cell r="N4">
            <v>1.1200000000000001</v>
          </cell>
          <cell r="Q4">
            <v>36303</v>
          </cell>
          <cell r="R4">
            <v>0</v>
          </cell>
          <cell r="S4">
            <v>0</v>
          </cell>
        </row>
        <row r="5">
          <cell r="B5">
            <v>36334</v>
          </cell>
          <cell r="C5">
            <v>1.5503</v>
          </cell>
          <cell r="D5">
            <v>1.4</v>
          </cell>
          <cell r="G5">
            <v>36334</v>
          </cell>
          <cell r="H5">
            <v>1.3574000000000002</v>
          </cell>
          <cell r="I5">
            <v>1.3</v>
          </cell>
          <cell r="L5">
            <v>36334</v>
          </cell>
          <cell r="M5">
            <v>1.149</v>
          </cell>
          <cell r="N5">
            <v>1.1200000000000001</v>
          </cell>
          <cell r="Q5">
            <v>36334</v>
          </cell>
          <cell r="R5">
            <v>0</v>
          </cell>
          <cell r="S5">
            <v>0</v>
          </cell>
        </row>
        <row r="6">
          <cell r="B6">
            <v>36356</v>
          </cell>
          <cell r="C6">
            <v>1.5731999999999999</v>
          </cell>
          <cell r="D6">
            <v>1.4</v>
          </cell>
          <cell r="G6">
            <v>36356</v>
          </cell>
          <cell r="H6">
            <v>1.3774999999999999</v>
          </cell>
          <cell r="I6">
            <v>1.3</v>
          </cell>
          <cell r="L6">
            <v>36356</v>
          </cell>
          <cell r="M6">
            <v>1.1659999999999999</v>
          </cell>
          <cell r="N6">
            <v>1.1200000000000001</v>
          </cell>
          <cell r="Q6">
            <v>36356</v>
          </cell>
          <cell r="R6">
            <v>0</v>
          </cell>
          <cell r="S6">
            <v>0</v>
          </cell>
        </row>
        <row r="7">
          <cell r="B7">
            <v>36395</v>
          </cell>
          <cell r="C7">
            <v>1.4891000000000001</v>
          </cell>
          <cell r="D7">
            <v>1.4</v>
          </cell>
          <cell r="G7">
            <v>36395</v>
          </cell>
          <cell r="H7">
            <v>1.3038000000000001</v>
          </cell>
          <cell r="I7">
            <v>1.3</v>
          </cell>
          <cell r="L7">
            <v>36395</v>
          </cell>
          <cell r="M7">
            <v>1.1037000000000001</v>
          </cell>
          <cell r="N7">
            <v>1.1200000000000001</v>
          </cell>
          <cell r="Q7">
            <v>36395</v>
          </cell>
          <cell r="R7">
            <v>0</v>
          </cell>
          <cell r="S7">
            <v>0</v>
          </cell>
        </row>
        <row r="8">
          <cell r="B8">
            <v>36426</v>
          </cell>
          <cell r="C8">
            <v>1.6869000000000001</v>
          </cell>
          <cell r="D8">
            <v>1.4</v>
          </cell>
          <cell r="G8">
            <v>36426</v>
          </cell>
          <cell r="H8">
            <v>1.4772999999999998</v>
          </cell>
          <cell r="I8">
            <v>1.3</v>
          </cell>
          <cell r="L8">
            <v>36426</v>
          </cell>
          <cell r="M8">
            <v>1.2515000000000001</v>
          </cell>
          <cell r="N8">
            <v>1.1200000000000001</v>
          </cell>
          <cell r="Q8">
            <v>36426</v>
          </cell>
          <cell r="R8">
            <v>0</v>
          </cell>
          <cell r="S8">
            <v>0</v>
          </cell>
        </row>
        <row r="9">
          <cell r="B9">
            <v>36448</v>
          </cell>
          <cell r="C9">
            <v>1.8959000000000001</v>
          </cell>
          <cell r="D9">
            <v>1.4</v>
          </cell>
          <cell r="G9">
            <v>36448</v>
          </cell>
          <cell r="H9">
            <v>1.6603000000000001</v>
          </cell>
          <cell r="I9">
            <v>1.3</v>
          </cell>
          <cell r="L9">
            <v>36448</v>
          </cell>
          <cell r="M9">
            <v>1.4065000000000001</v>
          </cell>
          <cell r="N9">
            <v>1.1200000000000001</v>
          </cell>
          <cell r="Q9">
            <v>36448</v>
          </cell>
          <cell r="R9">
            <v>0</v>
          </cell>
          <cell r="S9">
            <v>0</v>
          </cell>
        </row>
        <row r="10">
          <cell r="B10">
            <v>36487</v>
          </cell>
          <cell r="C10">
            <v>1.6156999999999999</v>
          </cell>
          <cell r="D10">
            <v>1.4</v>
          </cell>
          <cell r="G10">
            <v>36487</v>
          </cell>
          <cell r="H10">
            <v>1.4171</v>
          </cell>
          <cell r="I10">
            <v>1.3</v>
          </cell>
          <cell r="L10">
            <v>36487</v>
          </cell>
          <cell r="M10">
            <v>1.2099</v>
          </cell>
          <cell r="N10">
            <v>1.1200000000000001</v>
          </cell>
          <cell r="Q10">
            <v>36487</v>
          </cell>
          <cell r="R10">
            <v>0</v>
          </cell>
          <cell r="S10">
            <v>0</v>
          </cell>
        </row>
        <row r="11">
          <cell r="B11">
            <v>36517</v>
          </cell>
          <cell r="C11">
            <v>1.5327999999999999</v>
          </cell>
          <cell r="D11">
            <v>1.4</v>
          </cell>
          <cell r="G11">
            <v>36517</v>
          </cell>
          <cell r="H11">
            <v>1.3444</v>
          </cell>
          <cell r="I11">
            <v>1.3</v>
          </cell>
          <cell r="L11">
            <v>36517</v>
          </cell>
          <cell r="M11">
            <v>1.1477999999999999</v>
          </cell>
          <cell r="N11">
            <v>1.1200000000000001</v>
          </cell>
          <cell r="Q11">
            <v>36517</v>
          </cell>
          <cell r="R11">
            <v>0</v>
          </cell>
          <cell r="S11">
            <v>0</v>
          </cell>
        </row>
        <row r="12">
          <cell r="B12">
            <v>36535</v>
          </cell>
          <cell r="C12">
            <v>1.6268</v>
          </cell>
          <cell r="D12">
            <v>1.4</v>
          </cell>
          <cell r="G12">
            <v>36535</v>
          </cell>
          <cell r="H12">
            <v>1.4269000000000001</v>
          </cell>
          <cell r="I12">
            <v>1.3</v>
          </cell>
          <cell r="L12">
            <v>36535</v>
          </cell>
          <cell r="M12">
            <v>1.2181999999999999</v>
          </cell>
          <cell r="N12">
            <v>1.1200000000000001</v>
          </cell>
          <cell r="Q12">
            <v>36535</v>
          </cell>
          <cell r="R12">
            <v>0</v>
          </cell>
          <cell r="S12">
            <v>0</v>
          </cell>
        </row>
        <row r="13">
          <cell r="B13">
            <v>36579</v>
          </cell>
          <cell r="C13">
            <v>1.5194999999999999</v>
          </cell>
          <cell r="D13">
            <v>1.4</v>
          </cell>
          <cell r="G13">
            <v>36579</v>
          </cell>
          <cell r="H13">
            <v>1.3327000000000002</v>
          </cell>
          <cell r="I13">
            <v>1.3</v>
          </cell>
          <cell r="L13">
            <v>36579</v>
          </cell>
          <cell r="M13">
            <v>1.1378000000000001</v>
          </cell>
          <cell r="N13">
            <v>1.1200000000000001</v>
          </cell>
          <cell r="Q13">
            <v>36579</v>
          </cell>
          <cell r="R13">
            <v>0</v>
          </cell>
          <cell r="S13">
            <v>0</v>
          </cell>
        </row>
        <row r="14">
          <cell r="B14">
            <v>36608</v>
          </cell>
          <cell r="C14">
            <v>1.6318000000000001</v>
          </cell>
          <cell r="D14">
            <v>1.4</v>
          </cell>
          <cell r="G14">
            <v>36608</v>
          </cell>
          <cell r="H14">
            <v>1.4309000000000001</v>
          </cell>
          <cell r="I14">
            <v>1.3</v>
          </cell>
          <cell r="L14">
            <v>36608</v>
          </cell>
          <cell r="M14">
            <v>1.2202999999999999</v>
          </cell>
          <cell r="N14">
            <v>1.1200000000000001</v>
          </cell>
          <cell r="Q14">
            <v>36608</v>
          </cell>
          <cell r="R14">
            <v>0</v>
          </cell>
          <cell r="S14">
            <v>0</v>
          </cell>
        </row>
        <row r="15">
          <cell r="B15">
            <v>36633</v>
          </cell>
          <cell r="C15">
            <v>1.7391000000000001</v>
          </cell>
          <cell r="D15">
            <v>1.4</v>
          </cell>
          <cell r="G15">
            <v>36633</v>
          </cell>
          <cell r="H15">
            <v>1.5249999999999999</v>
          </cell>
          <cell r="I15">
            <v>1.3</v>
          </cell>
          <cell r="L15">
            <v>36633</v>
          </cell>
          <cell r="M15">
            <v>1.3006</v>
          </cell>
          <cell r="N15">
            <v>1.1200000000000001</v>
          </cell>
          <cell r="Q15">
            <v>36633</v>
          </cell>
          <cell r="R15">
            <v>0</v>
          </cell>
          <cell r="S15">
            <v>0</v>
          </cell>
        </row>
        <row r="16">
          <cell r="B16">
            <v>36669</v>
          </cell>
          <cell r="C16">
            <v>1.5441</v>
          </cell>
          <cell r="D16">
            <v>1.4</v>
          </cell>
          <cell r="G16">
            <v>36669</v>
          </cell>
          <cell r="H16">
            <v>1.3544999999999998</v>
          </cell>
          <cell r="I16">
            <v>1.3</v>
          </cell>
          <cell r="L16">
            <v>36669</v>
          </cell>
          <cell r="M16">
            <v>1.1573</v>
          </cell>
          <cell r="N16">
            <v>1.1200000000000001</v>
          </cell>
          <cell r="Q16">
            <v>36669</v>
          </cell>
          <cell r="R16">
            <v>0</v>
          </cell>
          <cell r="S16">
            <v>0</v>
          </cell>
        </row>
        <row r="17">
          <cell r="B17">
            <v>36700</v>
          </cell>
          <cell r="C17">
            <v>1.629</v>
          </cell>
          <cell r="D17">
            <v>1.4</v>
          </cell>
          <cell r="G17">
            <v>36700</v>
          </cell>
          <cell r="H17">
            <v>1.4284999999999999</v>
          </cell>
          <cell r="I17">
            <v>1.3</v>
          </cell>
          <cell r="L17">
            <v>36700</v>
          </cell>
          <cell r="M17">
            <v>1.2181999999999999</v>
          </cell>
          <cell r="N17">
            <v>1.1200000000000001</v>
          </cell>
          <cell r="Q17">
            <v>36700</v>
          </cell>
          <cell r="R17">
            <v>0</v>
          </cell>
          <cell r="S17">
            <v>0</v>
          </cell>
        </row>
        <row r="18">
          <cell r="B18">
            <v>36717</v>
          </cell>
          <cell r="C18">
            <v>1.6879</v>
          </cell>
          <cell r="D18">
            <v>1.4</v>
          </cell>
          <cell r="G18">
            <v>36717</v>
          </cell>
          <cell r="H18">
            <v>1.4806999999999999</v>
          </cell>
          <cell r="I18">
            <v>1.3</v>
          </cell>
          <cell r="L18">
            <v>36717</v>
          </cell>
          <cell r="M18">
            <v>1.2651999999999999</v>
          </cell>
          <cell r="N18">
            <v>1.1200000000000001</v>
          </cell>
          <cell r="Q18">
            <v>36717</v>
          </cell>
          <cell r="R18">
            <v>0</v>
          </cell>
          <cell r="S18">
            <v>0</v>
          </cell>
        </row>
        <row r="19">
          <cell r="B19">
            <v>36761</v>
          </cell>
          <cell r="C19">
            <v>1.6977000000000002</v>
          </cell>
          <cell r="D19">
            <v>1.4</v>
          </cell>
          <cell r="G19">
            <v>36761</v>
          </cell>
          <cell r="H19">
            <v>1.4903</v>
          </cell>
          <cell r="I19">
            <v>1.3</v>
          </cell>
          <cell r="L19">
            <v>36761</v>
          </cell>
          <cell r="M19">
            <v>1.2775000000000001</v>
          </cell>
          <cell r="N19">
            <v>1.1200000000000001</v>
          </cell>
          <cell r="Q19">
            <v>36761</v>
          </cell>
          <cell r="R19">
            <v>0</v>
          </cell>
          <cell r="S19">
            <v>0</v>
          </cell>
        </row>
        <row r="20">
          <cell r="B20">
            <v>36792</v>
          </cell>
          <cell r="C20">
            <v>1.8129</v>
          </cell>
          <cell r="D20">
            <v>1.4</v>
          </cell>
          <cell r="G20">
            <v>36792</v>
          </cell>
          <cell r="H20">
            <v>1.5913999999999999</v>
          </cell>
          <cell r="I20">
            <v>1.3</v>
          </cell>
          <cell r="L20">
            <v>36792</v>
          </cell>
          <cell r="M20">
            <v>1.3641000000000001</v>
          </cell>
          <cell r="N20">
            <v>1.1200000000000001</v>
          </cell>
          <cell r="Q20">
            <v>36792</v>
          </cell>
          <cell r="R20">
            <v>0</v>
          </cell>
          <cell r="S20">
            <v>0</v>
          </cell>
        </row>
        <row r="21">
          <cell r="B21">
            <v>36805</v>
          </cell>
          <cell r="C21">
            <v>1.8116000000000001</v>
          </cell>
          <cell r="D21">
            <v>1.4</v>
          </cell>
          <cell r="G21">
            <v>36805</v>
          </cell>
          <cell r="H21">
            <v>1.5900999999999998</v>
          </cell>
          <cell r="I21">
            <v>1.3</v>
          </cell>
          <cell r="L21">
            <v>36805</v>
          </cell>
          <cell r="M21">
            <v>1.3630000000000002</v>
          </cell>
          <cell r="N21">
            <v>1.1200000000000001</v>
          </cell>
          <cell r="Q21">
            <v>36805</v>
          </cell>
          <cell r="R21">
            <v>0</v>
          </cell>
          <cell r="S21">
            <v>0</v>
          </cell>
        </row>
        <row r="22">
          <cell r="B22">
            <v>36852</v>
          </cell>
          <cell r="C22">
            <v>1.4950000000000001</v>
          </cell>
          <cell r="D22">
            <v>1.4</v>
          </cell>
          <cell r="G22">
            <v>36852</v>
          </cell>
          <cell r="H22">
            <v>1.3224</v>
          </cell>
          <cell r="I22">
            <v>1.3</v>
          </cell>
          <cell r="L22">
            <v>36852</v>
          </cell>
          <cell r="M22">
            <v>1.1254999999999999</v>
          </cell>
          <cell r="N22">
            <v>1.1200000000000001</v>
          </cell>
          <cell r="Q22">
            <v>36852</v>
          </cell>
          <cell r="R22">
            <v>0</v>
          </cell>
          <cell r="S22">
            <v>0</v>
          </cell>
        </row>
        <row r="23">
          <cell r="B23">
            <v>36882</v>
          </cell>
          <cell r="C23">
            <v>1.6296000000000002</v>
          </cell>
          <cell r="D23">
            <v>1.4</v>
          </cell>
          <cell r="G23">
            <v>36882</v>
          </cell>
          <cell r="H23">
            <v>1.4306000000000001</v>
          </cell>
          <cell r="I23">
            <v>1.3</v>
          </cell>
          <cell r="L23">
            <v>36882</v>
          </cell>
          <cell r="M23">
            <v>1.2268000000000001</v>
          </cell>
          <cell r="N23">
            <v>1.1200000000000001</v>
          </cell>
          <cell r="Q23">
            <v>36882</v>
          </cell>
          <cell r="R23">
            <v>0</v>
          </cell>
          <cell r="S23">
            <v>0</v>
          </cell>
        </row>
        <row r="24">
          <cell r="B24">
            <v>36899</v>
          </cell>
          <cell r="C24">
            <v>1.5921000000000001</v>
          </cell>
          <cell r="D24">
            <v>1.4</v>
          </cell>
          <cell r="G24">
            <v>36899</v>
          </cell>
          <cell r="H24">
            <v>1.4</v>
          </cell>
          <cell r="I24">
            <v>1.3</v>
          </cell>
          <cell r="L24">
            <v>36899</v>
          </cell>
          <cell r="M24">
            <v>1.1986000000000001</v>
          </cell>
          <cell r="N24">
            <v>1.1200000000000001</v>
          </cell>
          <cell r="Q24">
            <v>36899</v>
          </cell>
          <cell r="R24">
            <v>0</v>
          </cell>
          <cell r="S24">
            <v>0</v>
          </cell>
        </row>
        <row r="25">
          <cell r="B25">
            <v>36945</v>
          </cell>
          <cell r="C25">
            <v>1.7321000000000002</v>
          </cell>
          <cell r="D25">
            <v>1.4</v>
          </cell>
          <cell r="G25">
            <v>36945</v>
          </cell>
          <cell r="H25">
            <v>1.5179</v>
          </cell>
          <cell r="I25">
            <v>1.3</v>
          </cell>
          <cell r="L25">
            <v>36945</v>
          </cell>
          <cell r="M25">
            <v>1.2904</v>
          </cell>
          <cell r="N25">
            <v>1.1200000000000001</v>
          </cell>
          <cell r="Q25">
            <v>36945</v>
          </cell>
          <cell r="R25">
            <v>0</v>
          </cell>
          <cell r="S25">
            <v>0</v>
          </cell>
        </row>
        <row r="26">
          <cell r="B26">
            <v>36973</v>
          </cell>
          <cell r="C26">
            <v>1.7665999999999999</v>
          </cell>
          <cell r="D26">
            <v>1.4</v>
          </cell>
          <cell r="G26">
            <v>36973</v>
          </cell>
          <cell r="H26">
            <v>1.5482</v>
          </cell>
          <cell r="I26">
            <v>1.3</v>
          </cell>
          <cell r="L26">
            <v>36973</v>
          </cell>
          <cell r="M26">
            <v>1.3162</v>
          </cell>
          <cell r="N26">
            <v>1.1200000000000001</v>
          </cell>
          <cell r="Q26">
            <v>36973</v>
          </cell>
          <cell r="R26">
            <v>0</v>
          </cell>
          <cell r="S26">
            <v>0</v>
          </cell>
        </row>
        <row r="27">
          <cell r="B27">
            <v>36987</v>
          </cell>
          <cell r="C27">
            <v>1.7986000000000002</v>
          </cell>
          <cell r="D27">
            <v>1.4</v>
          </cell>
          <cell r="G27">
            <v>36987</v>
          </cell>
          <cell r="H27">
            <v>1.5762</v>
          </cell>
          <cell r="I27">
            <v>1.3</v>
          </cell>
          <cell r="L27">
            <v>36987</v>
          </cell>
          <cell r="M27">
            <v>1.34</v>
          </cell>
          <cell r="N27">
            <v>1.1200000000000001</v>
          </cell>
          <cell r="Q27">
            <v>36987</v>
          </cell>
          <cell r="R27">
            <v>0</v>
          </cell>
          <cell r="S27">
            <v>0</v>
          </cell>
        </row>
        <row r="28">
          <cell r="B28">
            <v>37034</v>
          </cell>
          <cell r="C28">
            <v>1.6863999999999999</v>
          </cell>
          <cell r="D28">
            <v>1.4</v>
          </cell>
          <cell r="G28">
            <v>37034</v>
          </cell>
          <cell r="H28">
            <v>1.4750000000000001</v>
          </cell>
          <cell r="I28">
            <v>1.3</v>
          </cell>
          <cell r="L28">
            <v>37034</v>
          </cell>
          <cell r="M28">
            <v>1.2419</v>
          </cell>
          <cell r="N28">
            <v>1.1200000000000001</v>
          </cell>
          <cell r="Q28">
            <v>37034</v>
          </cell>
          <cell r="R28">
            <v>0</v>
          </cell>
          <cell r="S28">
            <v>0</v>
          </cell>
        </row>
        <row r="29">
          <cell r="B29">
            <v>37065</v>
          </cell>
          <cell r="C29">
            <v>1.7261000000000002</v>
          </cell>
          <cell r="D29">
            <v>1.4</v>
          </cell>
          <cell r="G29">
            <v>37065</v>
          </cell>
          <cell r="H29">
            <v>1.5097</v>
          </cell>
          <cell r="I29">
            <v>1.3</v>
          </cell>
          <cell r="L29">
            <v>37065</v>
          </cell>
          <cell r="M29">
            <v>1.2711000000000001</v>
          </cell>
          <cell r="N29">
            <v>1.1200000000000001</v>
          </cell>
          <cell r="Q29">
            <v>37065</v>
          </cell>
          <cell r="R29">
            <v>0</v>
          </cell>
          <cell r="S29">
            <v>0</v>
          </cell>
        </row>
        <row r="30">
          <cell r="B30">
            <v>37081</v>
          </cell>
          <cell r="C30">
            <v>1.7261000000000002</v>
          </cell>
          <cell r="D30">
            <v>1.4</v>
          </cell>
          <cell r="G30">
            <v>37081</v>
          </cell>
          <cell r="H30">
            <v>1.5097</v>
          </cell>
          <cell r="I30">
            <v>1.3</v>
          </cell>
          <cell r="L30">
            <v>37081</v>
          </cell>
          <cell r="M30">
            <v>1.2711000000000001</v>
          </cell>
          <cell r="N30">
            <v>1.1200000000000001</v>
          </cell>
          <cell r="Q30">
            <v>37081</v>
          </cell>
          <cell r="R30">
            <v>0</v>
          </cell>
          <cell r="S30">
            <v>0</v>
          </cell>
        </row>
        <row r="31">
          <cell r="B31">
            <v>37126</v>
          </cell>
          <cell r="C31">
            <v>1.8016999999999999</v>
          </cell>
          <cell r="D31">
            <v>1.4</v>
          </cell>
          <cell r="G31">
            <v>37126</v>
          </cell>
          <cell r="H31">
            <v>1.5655000000000001</v>
          </cell>
          <cell r="I31">
            <v>1.3</v>
          </cell>
          <cell r="L31">
            <v>37126</v>
          </cell>
          <cell r="M31">
            <v>1.2934000000000001</v>
          </cell>
          <cell r="N31">
            <v>1.1200000000000001</v>
          </cell>
          <cell r="Q31">
            <v>37126</v>
          </cell>
          <cell r="R31">
            <v>0</v>
          </cell>
          <cell r="S31">
            <v>0</v>
          </cell>
        </row>
        <row r="32">
          <cell r="B32">
            <v>37155</v>
          </cell>
          <cell r="C32">
            <v>1.9087000000000001</v>
          </cell>
          <cell r="D32">
            <v>1.4</v>
          </cell>
          <cell r="G32">
            <v>37155</v>
          </cell>
          <cell r="H32">
            <v>1.6585000000000001</v>
          </cell>
          <cell r="I32">
            <v>1.3</v>
          </cell>
          <cell r="L32">
            <v>37155</v>
          </cell>
          <cell r="M32">
            <v>1.3703000000000001</v>
          </cell>
          <cell r="N32">
            <v>1.1200000000000001</v>
          </cell>
          <cell r="Q32">
            <v>37155</v>
          </cell>
          <cell r="R32">
            <v>0</v>
          </cell>
          <cell r="S32">
            <v>0</v>
          </cell>
        </row>
        <row r="33">
          <cell r="B33">
            <v>37169</v>
          </cell>
          <cell r="C33">
            <v>1.9092</v>
          </cell>
          <cell r="D33">
            <v>1.4</v>
          </cell>
          <cell r="G33">
            <v>37169</v>
          </cell>
          <cell r="H33">
            <v>1.659</v>
          </cell>
          <cell r="I33">
            <v>1.3</v>
          </cell>
          <cell r="L33">
            <v>37169</v>
          </cell>
          <cell r="M33">
            <v>1.3707</v>
          </cell>
          <cell r="N33">
            <v>1.1200000000000001</v>
          </cell>
          <cell r="Q33">
            <v>37169</v>
          </cell>
          <cell r="R33">
            <v>0</v>
          </cell>
          <cell r="S33">
            <v>0</v>
          </cell>
        </row>
        <row r="34">
          <cell r="B34">
            <v>37225</v>
          </cell>
          <cell r="C34">
            <v>2.5794999999999999</v>
          </cell>
          <cell r="D34">
            <v>1.4</v>
          </cell>
          <cell r="G34">
            <v>37225</v>
          </cell>
          <cell r="H34">
            <v>2.2172000000000001</v>
          </cell>
          <cell r="I34">
            <v>1.3</v>
          </cell>
          <cell r="L34">
            <v>37225</v>
          </cell>
          <cell r="M34">
            <v>1.7619</v>
          </cell>
          <cell r="N34">
            <v>1.1200000000000001</v>
          </cell>
          <cell r="Q34">
            <v>37225</v>
          </cell>
          <cell r="R34">
            <v>0</v>
          </cell>
          <cell r="S34">
            <v>0</v>
          </cell>
        </row>
        <row r="35">
          <cell r="B35">
            <v>37246</v>
          </cell>
          <cell r="C35">
            <v>2.319</v>
          </cell>
          <cell r="D35">
            <v>1.4</v>
          </cell>
          <cell r="G35">
            <v>37246</v>
          </cell>
          <cell r="H35">
            <v>1.9933000000000001</v>
          </cell>
          <cell r="I35">
            <v>1.3</v>
          </cell>
          <cell r="L35">
            <v>37246</v>
          </cell>
          <cell r="M35">
            <v>1.5840000000000001</v>
          </cell>
          <cell r="N35">
            <v>1.1200000000000001</v>
          </cell>
          <cell r="Q35">
            <v>37246</v>
          </cell>
          <cell r="R35">
            <v>0</v>
          </cell>
          <cell r="S35">
            <v>0</v>
          </cell>
        </row>
        <row r="36">
          <cell r="B36">
            <v>37264</v>
          </cell>
          <cell r="C36">
            <v>2.3199999999999998</v>
          </cell>
          <cell r="D36">
            <v>1.4</v>
          </cell>
          <cell r="G36">
            <v>37264</v>
          </cell>
          <cell r="H36">
            <v>1.9942</v>
          </cell>
          <cell r="I36">
            <v>1.3</v>
          </cell>
          <cell r="L36">
            <v>37264</v>
          </cell>
          <cell r="M36">
            <v>1.5847</v>
          </cell>
          <cell r="N36">
            <v>1.1200000000000001</v>
          </cell>
          <cell r="Q36">
            <v>37264</v>
          </cell>
          <cell r="R36">
            <v>0</v>
          </cell>
          <cell r="S36">
            <v>0</v>
          </cell>
        </row>
        <row r="37">
          <cell r="B37">
            <v>37309</v>
          </cell>
          <cell r="C37">
            <v>2.5493000000000001</v>
          </cell>
          <cell r="D37">
            <v>1.4</v>
          </cell>
          <cell r="G37">
            <v>37309</v>
          </cell>
          <cell r="H37">
            <v>2.1697000000000002</v>
          </cell>
          <cell r="I37">
            <v>1.3</v>
          </cell>
          <cell r="L37">
            <v>37309</v>
          </cell>
          <cell r="M37">
            <v>1.6695</v>
          </cell>
          <cell r="N37">
            <v>1.1200000000000001</v>
          </cell>
          <cell r="Q37">
            <v>37309</v>
          </cell>
          <cell r="R37">
            <v>0</v>
          </cell>
          <cell r="S37">
            <v>0</v>
          </cell>
        </row>
        <row r="38">
          <cell r="B38">
            <v>37337</v>
          </cell>
          <cell r="C38">
            <v>2.5939999999999999</v>
          </cell>
          <cell r="D38">
            <v>1.4</v>
          </cell>
          <cell r="G38">
            <v>37337</v>
          </cell>
          <cell r="H38">
            <v>2.2077</v>
          </cell>
          <cell r="I38">
            <v>1.3</v>
          </cell>
          <cell r="L38">
            <v>37337</v>
          </cell>
          <cell r="M38">
            <v>1.6987000000000001</v>
          </cell>
          <cell r="N38">
            <v>1.1200000000000001</v>
          </cell>
          <cell r="Q38">
            <v>37337</v>
          </cell>
          <cell r="R38">
            <v>0</v>
          </cell>
          <cell r="S38">
            <v>0</v>
          </cell>
        </row>
        <row r="39">
          <cell r="B39">
            <v>37354</v>
          </cell>
          <cell r="C39">
            <v>2.7010000000000001</v>
          </cell>
          <cell r="D39">
            <v>1.4</v>
          </cell>
          <cell r="G39">
            <v>37354</v>
          </cell>
          <cell r="H39">
            <v>2.2987000000000002</v>
          </cell>
          <cell r="I39">
            <v>1.3</v>
          </cell>
          <cell r="L39">
            <v>37354</v>
          </cell>
          <cell r="M39">
            <v>1.7687999999999999</v>
          </cell>
          <cell r="N39">
            <v>1.1200000000000001</v>
          </cell>
          <cell r="Q39">
            <v>37354</v>
          </cell>
          <cell r="R39">
            <v>0</v>
          </cell>
          <cell r="S39">
            <v>0</v>
          </cell>
        </row>
        <row r="40">
          <cell r="B40">
            <v>37399</v>
          </cell>
          <cell r="C40">
            <v>2.3835000000000002</v>
          </cell>
          <cell r="D40">
            <v>1.4</v>
          </cell>
          <cell r="G40">
            <v>37399</v>
          </cell>
          <cell r="H40">
            <v>2.0213999999999999</v>
          </cell>
          <cell r="I40">
            <v>1.3</v>
          </cell>
          <cell r="L40">
            <v>37399</v>
          </cell>
          <cell r="M40">
            <v>1.5572999999999999</v>
          </cell>
          <cell r="N40">
            <v>1.1200000000000001</v>
          </cell>
          <cell r="Q40">
            <v>37399</v>
          </cell>
          <cell r="R40">
            <v>0</v>
          </cell>
          <cell r="S40">
            <v>0</v>
          </cell>
        </row>
        <row r="41">
          <cell r="B41">
            <v>37428</v>
          </cell>
          <cell r="C41">
            <v>2.4549000000000003</v>
          </cell>
          <cell r="D41">
            <v>1.4</v>
          </cell>
          <cell r="G41">
            <v>37428</v>
          </cell>
          <cell r="H41">
            <v>2.0819999999999999</v>
          </cell>
          <cell r="I41">
            <v>1.3</v>
          </cell>
          <cell r="L41">
            <v>37428</v>
          </cell>
          <cell r="M41">
            <v>1.6156999999999999</v>
          </cell>
          <cell r="N41">
            <v>1.1200000000000001</v>
          </cell>
          <cell r="Q41">
            <v>37428</v>
          </cell>
          <cell r="R41">
            <v>0</v>
          </cell>
          <cell r="S41">
            <v>0</v>
          </cell>
        </row>
        <row r="42">
          <cell r="B42">
            <v>37445</v>
          </cell>
          <cell r="C42">
            <v>2.5127000000000002</v>
          </cell>
          <cell r="D42">
            <v>1.4</v>
          </cell>
          <cell r="G42">
            <v>37445</v>
          </cell>
          <cell r="H42">
            <v>2.1309999999999998</v>
          </cell>
          <cell r="I42">
            <v>1.3</v>
          </cell>
          <cell r="L42">
            <v>37445</v>
          </cell>
          <cell r="M42">
            <v>1.6038999999999999</v>
          </cell>
          <cell r="N42">
            <v>1.1200000000000001</v>
          </cell>
          <cell r="Q42">
            <v>37445</v>
          </cell>
          <cell r="R42">
            <v>0</v>
          </cell>
          <cell r="S42">
            <v>0</v>
          </cell>
        </row>
        <row r="43">
          <cell r="B43">
            <v>37522</v>
          </cell>
          <cell r="C43">
            <v>2.1962000000000002</v>
          </cell>
          <cell r="D43">
            <v>1.4</v>
          </cell>
          <cell r="G43">
            <v>37522</v>
          </cell>
          <cell r="H43">
            <v>1.8520000000000001</v>
          </cell>
          <cell r="I43">
            <v>1.3</v>
          </cell>
          <cell r="L43">
            <v>37522</v>
          </cell>
          <cell r="M43">
            <v>1.41</v>
          </cell>
          <cell r="N43">
            <v>1.1200000000000001</v>
          </cell>
          <cell r="Q43">
            <v>37522</v>
          </cell>
          <cell r="R43">
            <v>0</v>
          </cell>
          <cell r="S43">
            <v>0</v>
          </cell>
        </row>
        <row r="44">
          <cell r="B44">
            <v>37536</v>
          </cell>
          <cell r="C44">
            <v>2.2406999999999999</v>
          </cell>
          <cell r="D44">
            <v>1.4</v>
          </cell>
          <cell r="G44">
            <v>37536</v>
          </cell>
          <cell r="H44">
            <v>1.8895999999999999</v>
          </cell>
          <cell r="I44">
            <v>1.3</v>
          </cell>
          <cell r="L44">
            <v>37536</v>
          </cell>
          <cell r="M44">
            <v>1.4386000000000001</v>
          </cell>
          <cell r="N44">
            <v>1.1200000000000001</v>
          </cell>
          <cell r="Q44">
            <v>37536</v>
          </cell>
          <cell r="R44">
            <v>0</v>
          </cell>
          <cell r="S44">
            <v>0</v>
          </cell>
        </row>
      </sheetData>
      <sheetData sheetId="5" refreshError="1">
        <row r="1">
          <cell r="B1" t="str">
            <v>Date</v>
          </cell>
          <cell r="C1" t="str">
            <v>Actual</v>
          </cell>
          <cell r="D1" t="str">
            <v>Covenant</v>
          </cell>
        </row>
        <row r="2">
          <cell r="B2">
            <v>36242</v>
          </cell>
          <cell r="C2">
            <v>38.380000000000003</v>
          </cell>
          <cell r="D2">
            <v>38</v>
          </cell>
        </row>
        <row r="3">
          <cell r="B3">
            <v>36273</v>
          </cell>
          <cell r="C3">
            <v>38.729999999999997</v>
          </cell>
          <cell r="D3">
            <v>38</v>
          </cell>
        </row>
        <row r="4">
          <cell r="B4">
            <v>36303</v>
          </cell>
          <cell r="C4">
            <v>38.1</v>
          </cell>
          <cell r="D4">
            <v>38</v>
          </cell>
        </row>
        <row r="5">
          <cell r="B5">
            <v>36334</v>
          </cell>
          <cell r="C5">
            <v>38.1</v>
          </cell>
          <cell r="D5">
            <v>38</v>
          </cell>
        </row>
        <row r="6">
          <cell r="B6">
            <v>36356</v>
          </cell>
          <cell r="C6">
            <v>39.03</v>
          </cell>
          <cell r="D6">
            <v>38</v>
          </cell>
        </row>
        <row r="7">
          <cell r="B7">
            <v>36395</v>
          </cell>
          <cell r="C7">
            <v>38.5</v>
          </cell>
          <cell r="D7">
            <v>38</v>
          </cell>
        </row>
        <row r="8">
          <cell r="B8">
            <v>36426</v>
          </cell>
          <cell r="C8">
            <v>38.25</v>
          </cell>
          <cell r="D8">
            <v>38</v>
          </cell>
        </row>
        <row r="9">
          <cell r="B9">
            <v>36448</v>
          </cell>
          <cell r="C9">
            <v>38.729999999999997</v>
          </cell>
          <cell r="D9">
            <v>38</v>
          </cell>
        </row>
        <row r="10">
          <cell r="B10">
            <v>36487</v>
          </cell>
          <cell r="C10">
            <v>38.619999999999997</v>
          </cell>
          <cell r="D10">
            <v>38</v>
          </cell>
        </row>
        <row r="11">
          <cell r="B11">
            <v>36517</v>
          </cell>
          <cell r="C11">
            <v>39.78</v>
          </cell>
          <cell r="D11">
            <v>38</v>
          </cell>
        </row>
        <row r="12">
          <cell r="B12">
            <v>36535</v>
          </cell>
          <cell r="C12">
            <v>40.619999999999997</v>
          </cell>
          <cell r="D12">
            <v>38</v>
          </cell>
        </row>
        <row r="13">
          <cell r="B13">
            <v>36579</v>
          </cell>
          <cell r="C13">
            <v>41.63</v>
          </cell>
          <cell r="D13">
            <v>38</v>
          </cell>
        </row>
        <row r="14">
          <cell r="B14">
            <v>36608</v>
          </cell>
          <cell r="C14">
            <v>42.47</v>
          </cell>
          <cell r="D14">
            <v>38</v>
          </cell>
        </row>
        <row r="15">
          <cell r="B15">
            <v>36633</v>
          </cell>
          <cell r="C15">
            <v>42.38</v>
          </cell>
          <cell r="D15">
            <v>38</v>
          </cell>
        </row>
        <row r="16">
          <cell r="B16">
            <v>36669</v>
          </cell>
          <cell r="C16">
            <v>40.97</v>
          </cell>
          <cell r="D16">
            <v>38</v>
          </cell>
        </row>
        <row r="17">
          <cell r="B17">
            <v>36700</v>
          </cell>
          <cell r="C17">
            <v>40.53</v>
          </cell>
          <cell r="D17">
            <v>38</v>
          </cell>
        </row>
        <row r="18">
          <cell r="B18">
            <v>36717</v>
          </cell>
          <cell r="C18">
            <v>40.869999999999997</v>
          </cell>
          <cell r="D18">
            <v>38</v>
          </cell>
        </row>
        <row r="19">
          <cell r="B19">
            <v>36761</v>
          </cell>
          <cell r="C19">
            <v>42.97</v>
          </cell>
          <cell r="D19">
            <v>38</v>
          </cell>
        </row>
        <row r="20">
          <cell r="B20">
            <v>36792</v>
          </cell>
          <cell r="C20">
            <v>44.75</v>
          </cell>
          <cell r="D20">
            <v>38</v>
          </cell>
        </row>
        <row r="21">
          <cell r="B21">
            <v>36805</v>
          </cell>
          <cell r="C21">
            <v>42.75</v>
          </cell>
          <cell r="D21">
            <v>38</v>
          </cell>
        </row>
        <row r="22">
          <cell r="B22">
            <v>36852</v>
          </cell>
          <cell r="C22">
            <v>43.43</v>
          </cell>
          <cell r="D22">
            <v>38</v>
          </cell>
        </row>
        <row r="23">
          <cell r="B23">
            <v>36882</v>
          </cell>
          <cell r="C23">
            <v>43.26</v>
          </cell>
          <cell r="D23">
            <v>38</v>
          </cell>
        </row>
        <row r="24">
          <cell r="B24">
            <v>36899</v>
          </cell>
          <cell r="C24">
            <v>42.98</v>
          </cell>
          <cell r="D24">
            <v>38</v>
          </cell>
        </row>
        <row r="25">
          <cell r="B25">
            <v>36945</v>
          </cell>
          <cell r="C25">
            <v>43.6</v>
          </cell>
          <cell r="D25">
            <v>38</v>
          </cell>
        </row>
        <row r="26">
          <cell r="B26">
            <v>36973</v>
          </cell>
          <cell r="C26">
            <v>43.67</v>
          </cell>
          <cell r="D26">
            <v>38</v>
          </cell>
        </row>
        <row r="27">
          <cell r="B27">
            <v>36987</v>
          </cell>
          <cell r="C27">
            <v>44.87</v>
          </cell>
          <cell r="D27">
            <v>38</v>
          </cell>
        </row>
        <row r="28">
          <cell r="B28">
            <v>37034</v>
          </cell>
          <cell r="C28">
            <v>45.37</v>
          </cell>
          <cell r="D28">
            <v>38</v>
          </cell>
        </row>
        <row r="29">
          <cell r="B29">
            <v>37065</v>
          </cell>
          <cell r="C29">
            <v>44.47</v>
          </cell>
          <cell r="D29">
            <v>38</v>
          </cell>
        </row>
        <row r="30">
          <cell r="B30">
            <v>37081</v>
          </cell>
          <cell r="C30">
            <v>47.39</v>
          </cell>
          <cell r="D30">
            <v>38</v>
          </cell>
        </row>
        <row r="31">
          <cell r="B31">
            <v>37126</v>
          </cell>
          <cell r="C31">
            <v>46.89</v>
          </cell>
          <cell r="D31">
            <v>38</v>
          </cell>
        </row>
        <row r="32">
          <cell r="B32">
            <v>37155</v>
          </cell>
          <cell r="C32">
            <v>47.9</v>
          </cell>
          <cell r="D32">
            <v>38</v>
          </cell>
        </row>
        <row r="33">
          <cell r="B33">
            <v>37169</v>
          </cell>
          <cell r="C33">
            <v>47.86</v>
          </cell>
          <cell r="D33">
            <v>38</v>
          </cell>
        </row>
        <row r="34">
          <cell r="B34">
            <v>37225</v>
          </cell>
          <cell r="C34">
            <v>47.26</v>
          </cell>
          <cell r="D34">
            <v>38</v>
          </cell>
        </row>
        <row r="35">
          <cell r="B35">
            <v>37246</v>
          </cell>
          <cell r="C35">
            <v>45.82</v>
          </cell>
          <cell r="D35">
            <v>38</v>
          </cell>
        </row>
        <row r="36">
          <cell r="B36">
            <v>37264</v>
          </cell>
          <cell r="C36">
            <v>45.72</v>
          </cell>
          <cell r="D36">
            <v>38</v>
          </cell>
        </row>
        <row r="37">
          <cell r="B37">
            <v>37309</v>
          </cell>
          <cell r="C37">
            <v>43.62</v>
          </cell>
          <cell r="D37">
            <v>38</v>
          </cell>
        </row>
        <row r="38">
          <cell r="B38">
            <v>37337</v>
          </cell>
          <cell r="C38">
            <v>44.77</v>
          </cell>
          <cell r="D38">
            <v>38</v>
          </cell>
        </row>
        <row r="39">
          <cell r="B39">
            <v>37354</v>
          </cell>
          <cell r="C39">
            <v>45.02</v>
          </cell>
          <cell r="D39">
            <v>38</v>
          </cell>
        </row>
        <row r="40">
          <cell r="B40">
            <v>37399</v>
          </cell>
          <cell r="C40">
            <v>42.95</v>
          </cell>
          <cell r="D40">
            <v>38</v>
          </cell>
        </row>
        <row r="41">
          <cell r="B41">
            <v>37428</v>
          </cell>
          <cell r="C41">
            <v>43.08</v>
          </cell>
          <cell r="D41">
            <v>38</v>
          </cell>
        </row>
        <row r="42">
          <cell r="B42">
            <v>37445</v>
          </cell>
          <cell r="C42">
            <v>41.07</v>
          </cell>
          <cell r="D42">
            <v>38</v>
          </cell>
        </row>
        <row r="43">
          <cell r="B43">
            <v>37522</v>
          </cell>
          <cell r="C43">
            <v>38.729999999999997</v>
          </cell>
          <cell r="D43">
            <v>38</v>
          </cell>
        </row>
        <row r="44">
          <cell r="B44">
            <v>37536</v>
          </cell>
          <cell r="C44">
            <v>38.549999999999997</v>
          </cell>
          <cell r="D44">
            <v>38</v>
          </cell>
        </row>
      </sheetData>
      <sheetData sheetId="6" refreshError="1">
        <row r="1">
          <cell r="B1" t="str">
            <v>Date</v>
          </cell>
          <cell r="C1" t="str">
            <v>Actual</v>
          </cell>
          <cell r="D1" t="str">
            <v>Covenant</v>
          </cell>
        </row>
        <row r="2">
          <cell r="B2">
            <v>36242</v>
          </cell>
          <cell r="C2">
            <v>2578</v>
          </cell>
          <cell r="D2">
            <v>2720</v>
          </cell>
        </row>
        <row r="3">
          <cell r="B3">
            <v>36273</v>
          </cell>
          <cell r="C3">
            <v>2556</v>
          </cell>
          <cell r="D3">
            <v>2720</v>
          </cell>
        </row>
        <row r="4">
          <cell r="B4">
            <v>36303</v>
          </cell>
          <cell r="C4">
            <v>2584</v>
          </cell>
          <cell r="D4">
            <v>2720</v>
          </cell>
        </row>
        <row r="5">
          <cell r="B5">
            <v>36334</v>
          </cell>
          <cell r="C5">
            <v>2582</v>
          </cell>
          <cell r="D5">
            <v>2720</v>
          </cell>
        </row>
        <row r="6">
          <cell r="B6">
            <v>36356</v>
          </cell>
          <cell r="C6">
            <v>2556</v>
          </cell>
          <cell r="D6">
            <v>2720</v>
          </cell>
        </row>
        <row r="7">
          <cell r="B7">
            <v>36395</v>
          </cell>
          <cell r="C7">
            <v>2692</v>
          </cell>
          <cell r="D7">
            <v>2720</v>
          </cell>
        </row>
        <row r="8">
          <cell r="B8">
            <v>36426</v>
          </cell>
          <cell r="C8">
            <v>2693</v>
          </cell>
          <cell r="D8">
            <v>2720</v>
          </cell>
        </row>
        <row r="9">
          <cell r="B9">
            <v>36448</v>
          </cell>
          <cell r="C9">
            <v>2653</v>
          </cell>
          <cell r="D9">
            <v>2720</v>
          </cell>
        </row>
        <row r="10">
          <cell r="B10">
            <v>36487</v>
          </cell>
          <cell r="C10">
            <v>2630</v>
          </cell>
          <cell r="D10">
            <v>2720</v>
          </cell>
        </row>
        <row r="11">
          <cell r="B11">
            <v>36517</v>
          </cell>
          <cell r="C11">
            <v>2658</v>
          </cell>
          <cell r="D11">
            <v>2720</v>
          </cell>
        </row>
        <row r="12">
          <cell r="B12">
            <v>36535</v>
          </cell>
          <cell r="C12">
            <v>2716</v>
          </cell>
          <cell r="D12">
            <v>2720</v>
          </cell>
        </row>
        <row r="13">
          <cell r="B13">
            <v>36579</v>
          </cell>
          <cell r="C13">
            <v>2661</v>
          </cell>
          <cell r="D13">
            <v>2720</v>
          </cell>
        </row>
        <row r="14">
          <cell r="B14">
            <v>36608</v>
          </cell>
          <cell r="C14">
            <v>2722</v>
          </cell>
          <cell r="D14">
            <v>2720</v>
          </cell>
        </row>
        <row r="15">
          <cell r="B15">
            <v>36633</v>
          </cell>
          <cell r="C15">
            <v>2681</v>
          </cell>
          <cell r="D15">
            <v>2720</v>
          </cell>
        </row>
        <row r="16">
          <cell r="B16">
            <v>36669</v>
          </cell>
          <cell r="C16">
            <v>2724</v>
          </cell>
          <cell r="D16">
            <v>2720</v>
          </cell>
        </row>
        <row r="17">
          <cell r="B17">
            <v>36700</v>
          </cell>
          <cell r="C17">
            <v>2649</v>
          </cell>
          <cell r="D17">
            <v>2720</v>
          </cell>
        </row>
        <row r="18">
          <cell r="B18">
            <v>36717</v>
          </cell>
          <cell r="C18">
            <v>2663</v>
          </cell>
          <cell r="D18">
            <v>2720</v>
          </cell>
        </row>
        <row r="19">
          <cell r="B19">
            <v>36761</v>
          </cell>
          <cell r="C19">
            <v>2661</v>
          </cell>
          <cell r="D19">
            <v>2720</v>
          </cell>
        </row>
        <row r="20">
          <cell r="B20">
            <v>36792</v>
          </cell>
          <cell r="C20">
            <v>2471.48</v>
          </cell>
          <cell r="D20">
            <v>2720</v>
          </cell>
        </row>
        <row r="21">
          <cell r="B21">
            <v>36805</v>
          </cell>
          <cell r="C21">
            <v>2472.52</v>
          </cell>
          <cell r="D21">
            <v>2720</v>
          </cell>
        </row>
        <row r="22">
          <cell r="B22">
            <v>36852</v>
          </cell>
          <cell r="C22">
            <v>2284</v>
          </cell>
          <cell r="D22">
            <v>2720</v>
          </cell>
        </row>
        <row r="23">
          <cell r="B23">
            <v>36882</v>
          </cell>
          <cell r="C23">
            <v>2281</v>
          </cell>
          <cell r="D23">
            <v>2720</v>
          </cell>
        </row>
        <row r="24">
          <cell r="B24">
            <v>36899</v>
          </cell>
          <cell r="C24">
            <v>2312</v>
          </cell>
          <cell r="D24">
            <v>2720</v>
          </cell>
        </row>
        <row r="25">
          <cell r="B25">
            <v>36945</v>
          </cell>
          <cell r="C25">
            <v>2309</v>
          </cell>
          <cell r="D25">
            <v>2720</v>
          </cell>
        </row>
        <row r="26">
          <cell r="B26">
            <v>36973</v>
          </cell>
          <cell r="C26">
            <v>2340</v>
          </cell>
          <cell r="D26">
            <v>2720</v>
          </cell>
        </row>
        <row r="27">
          <cell r="B27">
            <v>36987</v>
          </cell>
          <cell r="C27">
            <v>2332</v>
          </cell>
          <cell r="D27">
            <v>2720</v>
          </cell>
        </row>
        <row r="28">
          <cell r="B28">
            <v>37034</v>
          </cell>
          <cell r="C28">
            <v>2456</v>
          </cell>
          <cell r="D28">
            <v>2720</v>
          </cell>
        </row>
        <row r="29">
          <cell r="B29">
            <v>37065</v>
          </cell>
          <cell r="C29">
            <v>2507</v>
          </cell>
          <cell r="D29">
            <v>2720</v>
          </cell>
        </row>
        <row r="30">
          <cell r="B30">
            <v>37081</v>
          </cell>
          <cell r="C30">
            <v>2447</v>
          </cell>
          <cell r="D30">
            <v>2720</v>
          </cell>
        </row>
        <row r="31">
          <cell r="B31">
            <v>37126</v>
          </cell>
          <cell r="C31">
            <v>2390</v>
          </cell>
          <cell r="D31">
            <v>2720</v>
          </cell>
        </row>
        <row r="32">
          <cell r="B32">
            <v>37155</v>
          </cell>
          <cell r="C32">
            <v>2462</v>
          </cell>
          <cell r="D32">
            <v>2720</v>
          </cell>
        </row>
        <row r="33">
          <cell r="B33">
            <v>37169</v>
          </cell>
          <cell r="C33">
            <v>2459</v>
          </cell>
          <cell r="D33">
            <v>2720</v>
          </cell>
        </row>
        <row r="34">
          <cell r="B34">
            <v>37225</v>
          </cell>
          <cell r="C34">
            <v>2510</v>
          </cell>
          <cell r="D34">
            <v>2720</v>
          </cell>
        </row>
        <row r="35">
          <cell r="B35">
            <v>37246</v>
          </cell>
          <cell r="C35">
            <v>2865</v>
          </cell>
          <cell r="D35">
            <v>2720</v>
          </cell>
        </row>
        <row r="36">
          <cell r="B36">
            <v>37264</v>
          </cell>
          <cell r="C36">
            <v>2868</v>
          </cell>
          <cell r="D36">
            <v>2720</v>
          </cell>
        </row>
        <row r="37">
          <cell r="B37">
            <v>37309</v>
          </cell>
          <cell r="C37">
            <v>2627</v>
          </cell>
          <cell r="D37">
            <v>2720</v>
          </cell>
        </row>
        <row r="38">
          <cell r="B38">
            <v>37337</v>
          </cell>
          <cell r="C38">
            <v>2553</v>
          </cell>
          <cell r="D38">
            <v>2720</v>
          </cell>
        </row>
        <row r="39">
          <cell r="B39">
            <v>37354</v>
          </cell>
          <cell r="C39">
            <v>2549</v>
          </cell>
          <cell r="D39">
            <v>2720</v>
          </cell>
        </row>
        <row r="40">
          <cell r="B40">
            <v>37399</v>
          </cell>
          <cell r="C40">
            <v>2751</v>
          </cell>
          <cell r="D40">
            <v>2720</v>
          </cell>
        </row>
        <row r="41">
          <cell r="B41">
            <v>37428</v>
          </cell>
          <cell r="C41">
            <v>2825</v>
          </cell>
          <cell r="D41">
            <v>2720</v>
          </cell>
        </row>
        <row r="42">
          <cell r="B42">
            <v>37445</v>
          </cell>
          <cell r="C42">
            <v>2817</v>
          </cell>
          <cell r="D42">
            <v>2720</v>
          </cell>
        </row>
        <row r="43">
          <cell r="B43">
            <v>37522</v>
          </cell>
          <cell r="C43">
            <v>2772</v>
          </cell>
          <cell r="D43">
            <v>2720</v>
          </cell>
        </row>
        <row r="44">
          <cell r="B44">
            <v>37536</v>
          </cell>
          <cell r="C44">
            <v>2817</v>
          </cell>
          <cell r="D44">
            <v>2720</v>
          </cell>
        </row>
      </sheetData>
      <sheetData sheetId="7"/>
      <sheetData sheetId="8" refreshError="1">
        <row r="1">
          <cell r="B1" t="str">
            <v>Date</v>
          </cell>
          <cell r="C1" t="str">
            <v>Actual</v>
          </cell>
          <cell r="D1" t="str">
            <v>Covenant</v>
          </cell>
        </row>
        <row r="2">
          <cell r="B2">
            <v>36242</v>
          </cell>
          <cell r="C2">
            <v>0.03</v>
          </cell>
          <cell r="D2">
            <v>2.6499999999999999E-2</v>
          </cell>
        </row>
        <row r="3">
          <cell r="B3">
            <v>36273</v>
          </cell>
          <cell r="C3">
            <v>3.0800000000000001E-2</v>
          </cell>
          <cell r="D3">
            <v>2.6499999999999999E-2</v>
          </cell>
        </row>
        <row r="4">
          <cell r="B4">
            <v>36303</v>
          </cell>
          <cell r="C4">
            <v>3.04E-2</v>
          </cell>
          <cell r="D4">
            <v>2.6499999999999999E-2</v>
          </cell>
        </row>
        <row r="5">
          <cell r="B5">
            <v>36334</v>
          </cell>
          <cell r="C5">
            <v>3.04E-2</v>
          </cell>
          <cell r="D5">
            <v>2.6499999999999999E-2</v>
          </cell>
        </row>
        <row r="6">
          <cell r="B6">
            <v>36356</v>
          </cell>
          <cell r="C6">
            <v>3.0300000000000001E-2</v>
          </cell>
          <cell r="D6">
            <v>2.6499999999999999E-2</v>
          </cell>
        </row>
        <row r="7">
          <cell r="B7">
            <v>36395</v>
          </cell>
          <cell r="C7">
            <v>3.0700000000000002E-2</v>
          </cell>
          <cell r="D7">
            <v>2.6499999999999999E-2</v>
          </cell>
        </row>
        <row r="8">
          <cell r="B8">
            <v>36426</v>
          </cell>
          <cell r="C8">
            <v>3.04E-2</v>
          </cell>
          <cell r="D8">
            <v>2.6499999999999999E-2</v>
          </cell>
        </row>
        <row r="9">
          <cell r="B9">
            <v>36448</v>
          </cell>
          <cell r="C9">
            <v>3.0300000000000001E-2</v>
          </cell>
          <cell r="D9">
            <v>2.6499999999999999E-2</v>
          </cell>
        </row>
        <row r="10">
          <cell r="B10">
            <v>36487</v>
          </cell>
          <cell r="C10">
            <v>3.04E-2</v>
          </cell>
          <cell r="D10">
            <v>2.6499999999999999E-2</v>
          </cell>
        </row>
        <row r="11">
          <cell r="B11">
            <v>36517</v>
          </cell>
          <cell r="C11">
            <v>3.09E-2</v>
          </cell>
          <cell r="D11">
            <v>2.6499999999999999E-2</v>
          </cell>
        </row>
        <row r="12">
          <cell r="B12">
            <v>36535</v>
          </cell>
          <cell r="C12">
            <v>3.0599999999999999E-2</v>
          </cell>
          <cell r="D12">
            <v>2.6499999999999999E-2</v>
          </cell>
        </row>
        <row r="13">
          <cell r="B13">
            <v>36579</v>
          </cell>
          <cell r="C13">
            <v>3.0599999999999999E-2</v>
          </cell>
          <cell r="D13">
            <v>2.6499999999999999E-2</v>
          </cell>
        </row>
        <row r="14">
          <cell r="B14">
            <v>36608</v>
          </cell>
          <cell r="C14">
            <v>3.0599999999999999E-2</v>
          </cell>
          <cell r="D14">
            <v>2.6499999999999999E-2</v>
          </cell>
        </row>
        <row r="15">
          <cell r="B15">
            <v>36633</v>
          </cell>
          <cell r="C15">
            <v>3.1E-2</v>
          </cell>
          <cell r="D15">
            <v>2.6499999999999999E-2</v>
          </cell>
        </row>
        <row r="16">
          <cell r="B16">
            <v>36669</v>
          </cell>
          <cell r="C16">
            <v>3.1300000000000001E-2</v>
          </cell>
          <cell r="D16">
            <v>2.6499999999999999E-2</v>
          </cell>
        </row>
        <row r="17">
          <cell r="B17">
            <v>36700</v>
          </cell>
          <cell r="C17">
            <v>3.0800000000000001E-2</v>
          </cell>
          <cell r="D17">
            <v>2.6499999999999999E-2</v>
          </cell>
        </row>
        <row r="18">
          <cell r="B18">
            <v>36717</v>
          </cell>
          <cell r="C18">
            <v>3.09E-2</v>
          </cell>
          <cell r="D18">
            <v>2.6499999999999999E-2</v>
          </cell>
        </row>
        <row r="19">
          <cell r="B19">
            <v>36761</v>
          </cell>
          <cell r="C19">
            <v>3.0200000000000001E-2</v>
          </cell>
          <cell r="D19">
            <v>2.6499999999999999E-2</v>
          </cell>
        </row>
        <row r="20">
          <cell r="B20">
            <v>36792</v>
          </cell>
          <cell r="C20">
            <v>2.7099999999999999E-2</v>
          </cell>
          <cell r="D20">
            <v>2.6499999999999999E-2</v>
          </cell>
        </row>
        <row r="21">
          <cell r="B21">
            <v>36805</v>
          </cell>
          <cell r="C21">
            <v>2.7E-2</v>
          </cell>
          <cell r="D21">
            <v>2.6499999999999999E-2</v>
          </cell>
        </row>
        <row r="22">
          <cell r="B22">
            <v>36852</v>
          </cell>
          <cell r="C22">
            <v>2.7300000000000001E-2</v>
          </cell>
          <cell r="D22">
            <v>2.6499999999999999E-2</v>
          </cell>
        </row>
        <row r="23">
          <cell r="B23">
            <v>36882</v>
          </cell>
          <cell r="C23">
            <v>2.7799999999999998E-2</v>
          </cell>
          <cell r="D23">
            <v>2.6499999999999999E-2</v>
          </cell>
        </row>
        <row r="24">
          <cell r="B24">
            <v>36899</v>
          </cell>
          <cell r="C24">
            <v>2.7699999999999999E-2</v>
          </cell>
          <cell r="D24">
            <v>2.6499999999999999E-2</v>
          </cell>
        </row>
        <row r="25">
          <cell r="B25">
            <v>36945</v>
          </cell>
          <cell r="C25">
            <v>2.76E-2</v>
          </cell>
          <cell r="D25">
            <v>2.6499999999999999E-2</v>
          </cell>
        </row>
        <row r="26">
          <cell r="B26">
            <v>36973</v>
          </cell>
          <cell r="C26">
            <v>2.8199999999999999E-2</v>
          </cell>
          <cell r="D26">
            <v>2.6499999999999999E-2</v>
          </cell>
        </row>
        <row r="27">
          <cell r="B27">
            <v>36987</v>
          </cell>
          <cell r="C27">
            <v>2.8199999999999999E-2</v>
          </cell>
          <cell r="D27">
            <v>2.6499999999999999E-2</v>
          </cell>
        </row>
        <row r="28">
          <cell r="B28">
            <v>37034</v>
          </cell>
          <cell r="C28">
            <v>2.8799999999999999E-2</v>
          </cell>
          <cell r="D28">
            <v>2.6499999999999999E-2</v>
          </cell>
        </row>
        <row r="29">
          <cell r="B29">
            <v>37065</v>
          </cell>
          <cell r="C29">
            <v>2.9499999999999998E-2</v>
          </cell>
          <cell r="D29">
            <v>2.6499999999999999E-2</v>
          </cell>
        </row>
        <row r="30">
          <cell r="B30">
            <v>37081</v>
          </cell>
          <cell r="C30">
            <v>2.8799999999999999E-2</v>
          </cell>
          <cell r="D30">
            <v>2.6499999999999999E-2</v>
          </cell>
        </row>
        <row r="31">
          <cell r="B31">
            <v>37126</v>
          </cell>
          <cell r="C31">
            <v>2.9399999999999999E-2</v>
          </cell>
          <cell r="D31">
            <v>2.6499999999999999E-2</v>
          </cell>
        </row>
        <row r="32">
          <cell r="B32">
            <v>37155</v>
          </cell>
          <cell r="C32">
            <v>3.04E-2</v>
          </cell>
          <cell r="D32">
            <v>2.6499999999999999E-2</v>
          </cell>
        </row>
        <row r="33">
          <cell r="B33">
            <v>37169</v>
          </cell>
          <cell r="C33">
            <v>3.0300000000000001E-2</v>
          </cell>
          <cell r="D33">
            <v>2.6499999999999999E-2</v>
          </cell>
        </row>
        <row r="34">
          <cell r="B34">
            <v>37225</v>
          </cell>
          <cell r="C34">
            <v>3.1099999999999999E-2</v>
          </cell>
          <cell r="D34">
            <v>2.6499999999999999E-2</v>
          </cell>
        </row>
        <row r="35">
          <cell r="B35">
            <v>37246</v>
          </cell>
          <cell r="C35">
            <v>3.1099999999999999E-2</v>
          </cell>
          <cell r="D35">
            <v>2.6499999999999999E-2</v>
          </cell>
        </row>
        <row r="36">
          <cell r="B36">
            <v>37264</v>
          </cell>
          <cell r="C36">
            <v>3.0700000000000002E-2</v>
          </cell>
          <cell r="D36">
            <v>2.6499999999999999E-2</v>
          </cell>
        </row>
        <row r="37">
          <cell r="B37">
            <v>37309</v>
          </cell>
          <cell r="C37">
            <v>3.1E-2</v>
          </cell>
          <cell r="D37">
            <v>2.6499999999999999E-2</v>
          </cell>
        </row>
        <row r="38">
          <cell r="B38">
            <v>37337</v>
          </cell>
          <cell r="C38">
            <v>3.09E-2</v>
          </cell>
          <cell r="D38">
            <v>2.6499999999999999E-2</v>
          </cell>
        </row>
        <row r="39">
          <cell r="B39">
            <v>37354</v>
          </cell>
          <cell r="C39">
            <v>3.1099999999999999E-2</v>
          </cell>
          <cell r="D39">
            <v>2.6499999999999999E-2</v>
          </cell>
        </row>
        <row r="40">
          <cell r="B40">
            <v>37399</v>
          </cell>
          <cell r="C40">
            <v>3.2000000000000001E-2</v>
          </cell>
          <cell r="D40">
            <v>2.6499999999999999E-2</v>
          </cell>
        </row>
        <row r="41">
          <cell r="B41">
            <v>37428</v>
          </cell>
          <cell r="C41">
            <v>3.1699999999999999E-2</v>
          </cell>
          <cell r="D41">
            <v>2.6499999999999999E-2</v>
          </cell>
        </row>
        <row r="42">
          <cell r="B42">
            <v>37445</v>
          </cell>
          <cell r="C42">
            <v>3.1899999999999998E-2</v>
          </cell>
          <cell r="D42">
            <v>2.6499999999999999E-2</v>
          </cell>
        </row>
        <row r="43">
          <cell r="B43">
            <v>37522</v>
          </cell>
          <cell r="C43">
            <v>3.0300000000000001E-2</v>
          </cell>
          <cell r="D43">
            <v>2.6499999999999999E-2</v>
          </cell>
        </row>
        <row r="44">
          <cell r="B44">
            <v>37536</v>
          </cell>
          <cell r="C44">
            <v>3.1199999999999999E-2</v>
          </cell>
          <cell r="D44">
            <v>2.6499999999999999E-2</v>
          </cell>
        </row>
      </sheetData>
      <sheetData sheetId="9" refreshError="1">
        <row r="1">
          <cell r="B1" t="str">
            <v>Date</v>
          </cell>
          <cell r="C1" t="str">
            <v>Actual</v>
          </cell>
          <cell r="D1" t="str">
            <v>Covenant</v>
          </cell>
        </row>
        <row r="2">
          <cell r="B2">
            <v>36494</v>
          </cell>
          <cell r="C2">
            <v>0.1007</v>
          </cell>
          <cell r="D2">
            <v>9.5000000000000001E-2</v>
          </cell>
        </row>
        <row r="3">
          <cell r="B3">
            <v>36525</v>
          </cell>
          <cell r="C3">
            <v>0.1009</v>
          </cell>
          <cell r="D3">
            <v>9.5000000000000001E-2</v>
          </cell>
        </row>
        <row r="4">
          <cell r="B4">
            <v>36556</v>
          </cell>
          <cell r="C4">
            <v>0.10059999999999999</v>
          </cell>
          <cell r="D4">
            <v>9.5000000000000001E-2</v>
          </cell>
        </row>
        <row r="5">
          <cell r="B5">
            <v>36585</v>
          </cell>
          <cell r="C5">
            <v>0.10059999999999999</v>
          </cell>
          <cell r="D5">
            <v>9.5000000000000001E-2</v>
          </cell>
        </row>
        <row r="6">
          <cell r="B6">
            <v>36600</v>
          </cell>
          <cell r="C6">
            <v>0.10009999999999999</v>
          </cell>
          <cell r="D6">
            <v>9.5000000000000001E-2</v>
          </cell>
        </row>
        <row r="7">
          <cell r="B7">
            <v>36644</v>
          </cell>
          <cell r="C7">
            <v>9.9900000000000003E-2</v>
          </cell>
          <cell r="D7">
            <v>9.5000000000000001E-2</v>
          </cell>
        </row>
        <row r="8">
          <cell r="B8">
            <v>36677</v>
          </cell>
          <cell r="C8">
            <v>0.10009999999999999</v>
          </cell>
          <cell r="D8">
            <v>9.5000000000000001E-2</v>
          </cell>
        </row>
        <row r="9">
          <cell r="B9">
            <v>36707</v>
          </cell>
          <cell r="C9">
            <v>0.10009999999999999</v>
          </cell>
          <cell r="D9">
            <v>9.5000000000000001E-2</v>
          </cell>
        </row>
        <row r="10">
          <cell r="B10">
            <v>36738</v>
          </cell>
          <cell r="C10">
            <v>0.1002</v>
          </cell>
          <cell r="D10">
            <v>9.5000000000000001E-2</v>
          </cell>
        </row>
        <row r="11">
          <cell r="B11">
            <v>36768</v>
          </cell>
          <cell r="C11">
            <v>9.9599999999999994E-2</v>
          </cell>
          <cell r="D11">
            <v>9.5000000000000001E-2</v>
          </cell>
        </row>
        <row r="12">
          <cell r="B12">
            <v>36784</v>
          </cell>
          <cell r="C12">
            <v>9.9599999999999994E-2</v>
          </cell>
          <cell r="D12">
            <v>9.5000000000000001E-2</v>
          </cell>
        </row>
        <row r="13">
          <cell r="B13">
            <v>36830</v>
          </cell>
          <cell r="C13">
            <v>9.9699999999999997E-2</v>
          </cell>
          <cell r="D13">
            <v>9.5000000000000001E-2</v>
          </cell>
        </row>
        <row r="14">
          <cell r="B14">
            <v>36860</v>
          </cell>
          <cell r="C14">
            <v>9.98E-2</v>
          </cell>
          <cell r="D14">
            <v>9.5000000000000001E-2</v>
          </cell>
        </row>
        <row r="15">
          <cell r="B15">
            <v>36891</v>
          </cell>
          <cell r="C15">
            <v>9.9599999999999994E-2</v>
          </cell>
          <cell r="D15">
            <v>9.5000000000000001E-2</v>
          </cell>
        </row>
        <row r="16">
          <cell r="B16">
            <v>36922</v>
          </cell>
          <cell r="C16">
            <v>0.1</v>
          </cell>
          <cell r="D16">
            <v>9.5000000000000001E-2</v>
          </cell>
        </row>
        <row r="17">
          <cell r="B17">
            <v>36950</v>
          </cell>
          <cell r="C17">
            <v>9.9900000000000003E-2</v>
          </cell>
          <cell r="D17">
            <v>9.5000000000000001E-2</v>
          </cell>
        </row>
        <row r="18">
          <cell r="B18">
            <v>36958</v>
          </cell>
          <cell r="C18">
            <v>9.9599999999999994E-2</v>
          </cell>
          <cell r="D18">
            <v>9.5000000000000001E-2</v>
          </cell>
        </row>
        <row r="19">
          <cell r="B19">
            <v>37011</v>
          </cell>
          <cell r="C19">
            <v>9.8299999999999998E-2</v>
          </cell>
          <cell r="D19">
            <v>9.5000000000000001E-2</v>
          </cell>
        </row>
        <row r="20">
          <cell r="B20">
            <v>37042</v>
          </cell>
          <cell r="C20">
            <v>9.7500000000000003E-2</v>
          </cell>
          <cell r="D20">
            <v>9.5000000000000001E-2</v>
          </cell>
        </row>
        <row r="21">
          <cell r="B21">
            <v>37071</v>
          </cell>
          <cell r="C21">
            <v>9.6600000000000005E-2</v>
          </cell>
          <cell r="D21">
            <v>9.5000000000000001E-2</v>
          </cell>
        </row>
        <row r="22">
          <cell r="B22">
            <v>37103</v>
          </cell>
          <cell r="C22">
            <v>9.7000000000000003E-2</v>
          </cell>
          <cell r="D22">
            <v>9.5000000000000001E-2</v>
          </cell>
        </row>
        <row r="23">
          <cell r="B23">
            <v>37134</v>
          </cell>
          <cell r="C23">
            <v>9.69E-2</v>
          </cell>
          <cell r="D23">
            <v>9.5000000000000001E-2</v>
          </cell>
        </row>
        <row r="24">
          <cell r="B24">
            <v>37144</v>
          </cell>
          <cell r="C24">
            <v>9.69E-2</v>
          </cell>
          <cell r="D24">
            <v>9.5000000000000001E-2</v>
          </cell>
        </row>
        <row r="25">
          <cell r="B25">
            <v>37195</v>
          </cell>
          <cell r="C25">
            <v>9.6299999999999997E-2</v>
          </cell>
          <cell r="D25">
            <v>9.5000000000000001E-2</v>
          </cell>
        </row>
        <row r="26">
          <cell r="B26">
            <v>37225</v>
          </cell>
          <cell r="C26">
            <v>9.6600000000000005E-2</v>
          </cell>
          <cell r="D26">
            <v>9.5000000000000001E-2</v>
          </cell>
        </row>
        <row r="27">
          <cell r="B27">
            <v>37256</v>
          </cell>
          <cell r="C27">
            <v>9.6199999999999994E-2</v>
          </cell>
          <cell r="D27">
            <v>9.5000000000000001E-2</v>
          </cell>
        </row>
        <row r="28">
          <cell r="B28">
            <v>37287</v>
          </cell>
          <cell r="C28">
            <v>9.6199999999999994E-2</v>
          </cell>
          <cell r="D28">
            <v>9.5000000000000001E-2</v>
          </cell>
        </row>
        <row r="29">
          <cell r="B29">
            <v>37323</v>
          </cell>
          <cell r="C29">
            <v>9.5200000000000007E-2</v>
          </cell>
          <cell r="D29">
            <v>9.5000000000000001E-2</v>
          </cell>
        </row>
        <row r="30">
          <cell r="B30">
            <v>37346</v>
          </cell>
          <cell r="C30">
            <v>9.4899999999999998E-2</v>
          </cell>
          <cell r="D30">
            <v>9.5000000000000001E-2</v>
          </cell>
        </row>
        <row r="31">
          <cell r="B31">
            <v>37376</v>
          </cell>
          <cell r="C31">
            <v>9.4799999999999995E-2</v>
          </cell>
          <cell r="D31">
            <v>9.5000000000000001E-2</v>
          </cell>
        </row>
        <row r="32">
          <cell r="B32">
            <v>37407</v>
          </cell>
          <cell r="C32">
            <v>9.4399999999999998E-2</v>
          </cell>
          <cell r="D32">
            <v>9.5000000000000001E-2</v>
          </cell>
        </row>
        <row r="33">
          <cell r="B33">
            <v>37435</v>
          </cell>
          <cell r="C33">
            <v>9.4799999999999995E-2</v>
          </cell>
          <cell r="D33">
            <v>9.5000000000000001E-2</v>
          </cell>
        </row>
        <row r="34">
          <cell r="B34">
            <v>37468</v>
          </cell>
          <cell r="C34">
            <v>9.4500000000000001E-2</v>
          </cell>
          <cell r="D34">
            <v>9.5000000000000001E-2</v>
          </cell>
        </row>
        <row r="35">
          <cell r="B35">
            <v>37499</v>
          </cell>
          <cell r="C35">
            <v>9.4500000000000001E-2</v>
          </cell>
          <cell r="D35">
            <v>9.5000000000000001E-2</v>
          </cell>
        </row>
        <row r="36">
          <cell r="B36">
            <v>37508</v>
          </cell>
          <cell r="C36">
            <v>9.4600000000000017E-2</v>
          </cell>
          <cell r="D36">
            <v>9.5000000000000001E-2</v>
          </cell>
        </row>
        <row r="37">
          <cell r="B37">
            <v>37529</v>
          </cell>
          <cell r="C37">
            <v>9.4600000000000017E-2</v>
          </cell>
          <cell r="D37">
            <v>9.5000000000000001E-2</v>
          </cell>
        </row>
        <row r="38">
          <cell r="B38">
            <v>37560</v>
          </cell>
          <cell r="C38">
            <v>9.5100000000000004E-2</v>
          </cell>
          <cell r="D38">
            <v>9.5000000000000001E-2</v>
          </cell>
        </row>
      </sheetData>
      <sheetData sheetId="10" refreshError="1">
        <row r="1">
          <cell r="B1" t="str">
            <v>Date</v>
          </cell>
          <cell r="C1" t="str">
            <v>Actual</v>
          </cell>
          <cell r="D1" t="str">
            <v>Covenant</v>
          </cell>
        </row>
        <row r="2">
          <cell r="B2">
            <v>36242</v>
          </cell>
          <cell r="C2">
            <v>5.65</v>
          </cell>
          <cell r="D2">
            <v>7</v>
          </cell>
        </row>
        <row r="3">
          <cell r="B3">
            <v>36273</v>
          </cell>
          <cell r="C3">
            <v>5.65</v>
          </cell>
          <cell r="D3">
            <v>7</v>
          </cell>
        </row>
        <row r="4">
          <cell r="B4">
            <v>36303</v>
          </cell>
          <cell r="C4">
            <v>5.56</v>
          </cell>
          <cell r="D4">
            <v>7</v>
          </cell>
        </row>
        <row r="5">
          <cell r="B5">
            <v>36334</v>
          </cell>
          <cell r="C5">
            <v>5.48</v>
          </cell>
          <cell r="D5">
            <v>7</v>
          </cell>
        </row>
        <row r="6">
          <cell r="B6">
            <v>36356</v>
          </cell>
          <cell r="C6">
            <v>5.44</v>
          </cell>
          <cell r="D6">
            <v>7</v>
          </cell>
        </row>
        <row r="7">
          <cell r="B7">
            <v>36395</v>
          </cell>
          <cell r="C7">
            <v>5.39</v>
          </cell>
          <cell r="D7">
            <v>7</v>
          </cell>
        </row>
        <row r="8">
          <cell r="B8">
            <v>36426</v>
          </cell>
          <cell r="C8">
            <v>5.31</v>
          </cell>
          <cell r="D8">
            <v>7</v>
          </cell>
        </row>
        <row r="9">
          <cell r="B9">
            <v>36448</v>
          </cell>
          <cell r="C9">
            <v>5.26</v>
          </cell>
          <cell r="D9">
            <v>7</v>
          </cell>
        </row>
        <row r="10">
          <cell r="B10">
            <v>36487</v>
          </cell>
          <cell r="C10">
            <v>5.22</v>
          </cell>
          <cell r="D10">
            <v>7</v>
          </cell>
        </row>
        <row r="11">
          <cell r="B11">
            <v>36517</v>
          </cell>
          <cell r="C11">
            <v>5.12</v>
          </cell>
          <cell r="D11">
            <v>7</v>
          </cell>
        </row>
        <row r="12">
          <cell r="B12">
            <v>36535</v>
          </cell>
          <cell r="C12">
            <v>5.14</v>
          </cell>
          <cell r="D12">
            <v>7</v>
          </cell>
        </row>
        <row r="13">
          <cell r="B13">
            <v>36579</v>
          </cell>
          <cell r="C13">
            <v>5.15</v>
          </cell>
          <cell r="D13">
            <v>7</v>
          </cell>
        </row>
        <row r="14">
          <cell r="B14">
            <v>36608</v>
          </cell>
          <cell r="C14">
            <v>5.28</v>
          </cell>
          <cell r="D14">
            <v>7</v>
          </cell>
        </row>
        <row r="15">
          <cell r="B15">
            <v>36633</v>
          </cell>
          <cell r="C15">
            <v>5.31</v>
          </cell>
          <cell r="D15">
            <v>7</v>
          </cell>
        </row>
        <row r="16">
          <cell r="B16">
            <v>36669</v>
          </cell>
          <cell r="C16">
            <v>5.12</v>
          </cell>
          <cell r="D16">
            <v>7</v>
          </cell>
        </row>
        <row r="17">
          <cell r="B17">
            <v>36700</v>
          </cell>
          <cell r="C17">
            <v>5.03</v>
          </cell>
          <cell r="D17">
            <v>7</v>
          </cell>
        </row>
        <row r="18">
          <cell r="B18">
            <v>36717</v>
          </cell>
          <cell r="C18">
            <v>4.9800000000000004</v>
          </cell>
          <cell r="D18">
            <v>7</v>
          </cell>
        </row>
        <row r="19">
          <cell r="B19">
            <v>36761</v>
          </cell>
          <cell r="C19">
            <v>4.8499999999999996</v>
          </cell>
          <cell r="D19">
            <v>7</v>
          </cell>
        </row>
        <row r="20">
          <cell r="B20">
            <v>36792</v>
          </cell>
          <cell r="C20">
            <v>4.92</v>
          </cell>
          <cell r="D20">
            <v>7</v>
          </cell>
        </row>
        <row r="21">
          <cell r="B21">
            <v>36805</v>
          </cell>
          <cell r="C21">
            <v>4.92</v>
          </cell>
          <cell r="D21">
            <v>7</v>
          </cell>
        </row>
        <row r="22">
          <cell r="B22">
            <v>36852</v>
          </cell>
          <cell r="C22">
            <v>4.8499999999999996</v>
          </cell>
          <cell r="D22">
            <v>7</v>
          </cell>
        </row>
        <row r="23">
          <cell r="B23">
            <v>36882</v>
          </cell>
          <cell r="C23">
            <v>4.76</v>
          </cell>
          <cell r="D23">
            <v>7</v>
          </cell>
        </row>
        <row r="24">
          <cell r="B24">
            <v>36899</v>
          </cell>
          <cell r="C24">
            <v>4.76</v>
          </cell>
          <cell r="D24">
            <v>7</v>
          </cell>
        </row>
        <row r="25">
          <cell r="B25">
            <v>36945</v>
          </cell>
          <cell r="C25">
            <v>4.68</v>
          </cell>
          <cell r="D25">
            <v>7</v>
          </cell>
        </row>
        <row r="26">
          <cell r="B26">
            <v>36973</v>
          </cell>
          <cell r="C26">
            <v>4.71</v>
          </cell>
          <cell r="D26">
            <v>7</v>
          </cell>
        </row>
        <row r="27">
          <cell r="B27">
            <v>36987</v>
          </cell>
          <cell r="C27">
            <v>4.75</v>
          </cell>
          <cell r="D27">
            <v>7</v>
          </cell>
        </row>
        <row r="28">
          <cell r="B28">
            <v>37034</v>
          </cell>
          <cell r="C28">
            <v>4.78</v>
          </cell>
          <cell r="D28">
            <v>7</v>
          </cell>
        </row>
        <row r="29">
          <cell r="B29">
            <v>37065</v>
          </cell>
          <cell r="C29">
            <v>4.78</v>
          </cell>
          <cell r="D29">
            <v>7</v>
          </cell>
        </row>
        <row r="30">
          <cell r="B30">
            <v>37081</v>
          </cell>
          <cell r="C30">
            <v>4.6100000000000003</v>
          </cell>
          <cell r="D30">
            <v>7</v>
          </cell>
        </row>
        <row r="31">
          <cell r="B31">
            <v>37126</v>
          </cell>
          <cell r="C31">
            <v>4.5</v>
          </cell>
          <cell r="D31">
            <v>7</v>
          </cell>
        </row>
        <row r="32">
          <cell r="B32">
            <v>37155</v>
          </cell>
          <cell r="C32">
            <v>4.3899999999999997</v>
          </cell>
          <cell r="D32">
            <v>7</v>
          </cell>
        </row>
        <row r="33">
          <cell r="B33">
            <v>37169</v>
          </cell>
          <cell r="C33">
            <v>4.43</v>
          </cell>
          <cell r="D33">
            <v>7</v>
          </cell>
        </row>
        <row r="34">
          <cell r="B34">
            <v>37225</v>
          </cell>
          <cell r="C34">
            <v>4.24</v>
          </cell>
          <cell r="D34">
            <v>7</v>
          </cell>
        </row>
        <row r="35">
          <cell r="B35">
            <v>37246</v>
          </cell>
          <cell r="C35">
            <v>4.18</v>
          </cell>
          <cell r="D35">
            <v>7</v>
          </cell>
        </row>
        <row r="36">
          <cell r="B36">
            <v>37264</v>
          </cell>
          <cell r="C36">
            <v>4.18</v>
          </cell>
          <cell r="D36">
            <v>7</v>
          </cell>
        </row>
        <row r="37">
          <cell r="B37">
            <v>37309</v>
          </cell>
          <cell r="C37">
            <v>4.0599999999999996</v>
          </cell>
          <cell r="D37">
            <v>7</v>
          </cell>
        </row>
        <row r="38">
          <cell r="B38">
            <v>37337</v>
          </cell>
          <cell r="C38">
            <v>3.93</v>
          </cell>
          <cell r="D38">
            <v>7</v>
          </cell>
        </row>
        <row r="39">
          <cell r="B39">
            <v>37354</v>
          </cell>
          <cell r="C39">
            <v>3.88</v>
          </cell>
          <cell r="D39">
            <v>7</v>
          </cell>
        </row>
        <row r="40">
          <cell r="B40">
            <v>37399</v>
          </cell>
          <cell r="C40">
            <v>3.87</v>
          </cell>
          <cell r="D40">
            <v>7</v>
          </cell>
        </row>
        <row r="41">
          <cell r="B41">
            <v>37428</v>
          </cell>
          <cell r="C41">
            <v>3.81</v>
          </cell>
          <cell r="D41">
            <v>7</v>
          </cell>
        </row>
        <row r="42">
          <cell r="B42">
            <v>37445</v>
          </cell>
          <cell r="C42">
            <v>3.78</v>
          </cell>
          <cell r="D42">
            <v>7</v>
          </cell>
        </row>
        <row r="43">
          <cell r="B43">
            <v>37522</v>
          </cell>
          <cell r="C43">
            <v>3.63</v>
          </cell>
          <cell r="D43">
            <v>7</v>
          </cell>
        </row>
        <row r="44">
          <cell r="B44">
            <v>37536</v>
          </cell>
          <cell r="C44">
            <v>3.62</v>
          </cell>
          <cell r="D44">
            <v>7</v>
          </cell>
        </row>
      </sheetData>
      <sheetData sheetId="11"/>
      <sheetData sheetId="12"/>
      <sheetData sheetId="13" refreshError="1">
        <row r="5">
          <cell r="G5">
            <v>44768465.8442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M YTD 2000"/>
      <sheetName val="AUM_Chart"/>
      <sheetName val="Cap Structure"/>
      <sheetName val="TOP10"/>
      <sheetName val="DefaultHistory"/>
      <sheetName val="DefaultedSecuritySummary"/>
      <sheetName val="DefaultedSecuritySummary2"/>
      <sheetName val="DefaultedSecurityData"/>
      <sheetName val="Actual vs Covenant"/>
      <sheetName val="APEX"/>
      <sheetName val="APEX_MR"/>
      <sheetName val="APEX_SR"/>
      <sheetName val="APEX_MI"/>
      <sheetName val="APEX_SI"/>
      <sheetName val="ELC1"/>
      <sheetName val="ELC1_SR"/>
      <sheetName val="ELC1_MR"/>
      <sheetName val="ELC1_FR"/>
      <sheetName val="ELC1_SI"/>
      <sheetName val="ELC1_MI"/>
      <sheetName val="ELC2"/>
      <sheetName val="ELC2_SR"/>
      <sheetName val="ELC2_FR"/>
      <sheetName val="ELC2_SI"/>
      <sheetName val="ELC2_MI"/>
      <sheetName val="ELC3"/>
      <sheetName val="ELC3_MR"/>
      <sheetName val="ELC3_SR"/>
      <sheetName val="ELC3_FR"/>
      <sheetName val="ELC3_MI"/>
      <sheetName val="ELC3_SI"/>
      <sheetName val="ELC4"/>
      <sheetName val="ELC4_MR"/>
      <sheetName val="ELC4_SR"/>
      <sheetName val="ELC4_MI"/>
      <sheetName val="ELC4_SI"/>
      <sheetName val="ELC5"/>
      <sheetName val="ELC5_MR"/>
      <sheetName val="ELC5_SR"/>
      <sheetName val="ELC5_MI"/>
      <sheetName val="ELC5_SI"/>
      <sheetName val="TRYN"/>
      <sheetName val="TRYN_MR"/>
      <sheetName val="TRYN_SR"/>
      <sheetName val="TRYN_SI"/>
      <sheetName val="TRYN_MI"/>
      <sheetName val="SaleData"/>
      <sheetName val="SH_Results"/>
      <sheetName val="SH_APEX"/>
      <sheetName val="SH_ELC1"/>
      <sheetName val="SH_ELC2"/>
      <sheetName val="SH_ELC3"/>
      <sheetName val="SH_ELC4"/>
      <sheetName val="SH_ELC5"/>
      <sheetName val="SH_TRYN"/>
    </sheetNames>
    <sheetDataSet>
      <sheetData sheetId="0" refreshError="1">
        <row r="1">
          <cell r="W1" t="str">
            <v>As of 6/28/2002</v>
          </cell>
        </row>
      </sheetData>
      <sheetData sheetId="1" refreshError="1"/>
      <sheetData sheetId="2" refreshError="1"/>
      <sheetData sheetId="3" refreshError="1">
        <row r="3">
          <cell r="D3" t="str">
            <v>Broadstreet Ltd. Series 3</v>
          </cell>
          <cell r="G3" t="str">
            <v>Charter Communications Operating LLC and Marcus Cable Operating Company LLC</v>
          </cell>
          <cell r="J3" t="str">
            <v>Nextel Finance, Inc.(AKA Nextel Commun)</v>
          </cell>
          <cell r="M3" t="str">
            <v>American Cellular Corporation</v>
          </cell>
          <cell r="P3" t="str">
            <v>Century Cable Holdings</v>
          </cell>
          <cell r="S3" t="str">
            <v>Huntsman Corporation</v>
          </cell>
        </row>
        <row r="8">
          <cell r="D8" t="str">
            <v>Allied Waste North America, Inc.</v>
          </cell>
          <cell r="G8" t="str">
            <v>Gen Tek - Noma Ind</v>
          </cell>
          <cell r="J8" t="str">
            <v>Woodlands Commercial Properties, Inc., The</v>
          </cell>
          <cell r="M8" t="str">
            <v>Sealy Mattress Company</v>
          </cell>
          <cell r="P8" t="str">
            <v>Graham Packaging Company</v>
          </cell>
          <cell r="S8" t="str">
            <v>Century Cable Holdings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>
        <row r="11">
          <cell r="Q11" t="str">
            <v>WA Rating</v>
          </cell>
        </row>
        <row r="12">
          <cell r="P12" t="str">
            <v>ELC 99-I *F</v>
          </cell>
          <cell r="Q12">
            <v>64</v>
          </cell>
        </row>
        <row r="13">
          <cell r="P13" t="str">
            <v>ELC 99-II</v>
          </cell>
          <cell r="Q13">
            <v>-30</v>
          </cell>
        </row>
        <row r="14">
          <cell r="P14" t="str">
            <v>ELC 98-I</v>
          </cell>
          <cell r="Q14">
            <v>-96</v>
          </cell>
        </row>
        <row r="15">
          <cell r="P15" t="str">
            <v>APEX</v>
          </cell>
          <cell r="Q15">
            <v>249</v>
          </cell>
        </row>
        <row r="16">
          <cell r="P16" t="str">
            <v>ELC 99-III</v>
          </cell>
          <cell r="Q16">
            <v>343</v>
          </cell>
        </row>
        <row r="17">
          <cell r="P17" t="str">
            <v>TRYON</v>
          </cell>
          <cell r="Q17">
            <v>220</v>
          </cell>
        </row>
        <row r="18">
          <cell r="P18" t="str">
            <v>ELC 2000</v>
          </cell>
          <cell r="Q18">
            <v>290</v>
          </cell>
        </row>
        <row r="21">
          <cell r="Q21" t="str">
            <v>Most Senior Class O/C Cushion</v>
          </cell>
        </row>
        <row r="22">
          <cell r="P22" t="str">
            <v>ELC 99-I</v>
          </cell>
          <cell r="Q22">
            <v>1.1294476757668592E-2</v>
          </cell>
        </row>
        <row r="23">
          <cell r="P23" t="str">
            <v>ELC 98-I</v>
          </cell>
          <cell r="Q23">
            <v>3.1042227221065755E-2</v>
          </cell>
        </row>
        <row r="24">
          <cell r="P24" t="str">
            <v>APEX</v>
          </cell>
          <cell r="Q24">
            <v>1.6199999999999992E-2</v>
          </cell>
        </row>
        <row r="25">
          <cell r="P25" t="str">
            <v>ELC 2000</v>
          </cell>
          <cell r="Q25">
            <v>6.9000000000001283E-3</v>
          </cell>
        </row>
        <row r="26">
          <cell r="P26" t="str">
            <v>ELC 99-III</v>
          </cell>
          <cell r="Q26">
            <v>2.8999999999999027E-3</v>
          </cell>
        </row>
        <row r="27">
          <cell r="P27" t="str">
            <v>ELC 99-II</v>
          </cell>
          <cell r="Q27">
            <v>2.2499999999999964E-2</v>
          </cell>
        </row>
        <row r="28">
          <cell r="P28" t="str">
            <v>TRYON</v>
          </cell>
          <cell r="Q28">
            <v>0.14759999999999995</v>
          </cell>
        </row>
        <row r="31">
          <cell r="Q31" t="str">
            <v>Most Senior Class I/C Cushion</v>
          </cell>
        </row>
        <row r="32">
          <cell r="P32" t="str">
            <v>ELC 99-I</v>
          </cell>
          <cell r="Q32">
            <v>0.9212720767841347</v>
          </cell>
        </row>
        <row r="33">
          <cell r="P33" t="str">
            <v>ELC 98-I</v>
          </cell>
          <cell r="Q33">
            <v>1.1597336069622766</v>
          </cell>
        </row>
        <row r="34">
          <cell r="P34" t="str">
            <v>APEX</v>
          </cell>
          <cell r="Q34">
            <v>1.0044000000000002</v>
          </cell>
        </row>
        <row r="35">
          <cell r="P35" t="str">
            <v>ELC 99-II</v>
          </cell>
          <cell r="Q35">
            <v>1.30307</v>
          </cell>
        </row>
        <row r="36">
          <cell r="P36" t="str">
            <v>TRYON</v>
          </cell>
          <cell r="Q36">
            <v>1.5772999999999999</v>
          </cell>
        </row>
        <row r="37">
          <cell r="P37" t="str">
            <v>ELC 2000</v>
          </cell>
          <cell r="Q37">
            <v>1.3357999999999999</v>
          </cell>
        </row>
        <row r="38">
          <cell r="P38" t="str">
            <v>ELC 99-III</v>
          </cell>
          <cell r="Q38">
            <v>1.3809999999999998</v>
          </cell>
        </row>
        <row r="41">
          <cell r="Q41" t="str">
            <v>Diversity Score Cushion</v>
          </cell>
        </row>
        <row r="42">
          <cell r="P42" t="str">
            <v>ELC 98-I</v>
          </cell>
          <cell r="Q42">
            <v>3.2665999999999968</v>
          </cell>
        </row>
        <row r="43">
          <cell r="P43" t="str">
            <v>TRYON</v>
          </cell>
          <cell r="Q43">
            <v>17.5</v>
          </cell>
        </row>
        <row r="44">
          <cell r="P44" t="str">
            <v>APEX</v>
          </cell>
          <cell r="Q44">
            <v>16.869999999999997</v>
          </cell>
        </row>
        <row r="45">
          <cell r="P45" t="str">
            <v>ELC 2000</v>
          </cell>
          <cell r="Q45">
            <v>15.600000000000001</v>
          </cell>
        </row>
        <row r="46">
          <cell r="P46" t="str">
            <v>ELC 99-III</v>
          </cell>
          <cell r="Q46">
            <v>15.530000000000001</v>
          </cell>
        </row>
        <row r="47">
          <cell r="P47" t="str">
            <v>ELC 99-II</v>
          </cell>
          <cell r="Q47">
            <v>21.799999999999997</v>
          </cell>
        </row>
        <row r="48">
          <cell r="P48" t="str">
            <v>ELC 99-I</v>
          </cell>
        </row>
      </sheetData>
      <sheetData sheetId="9"/>
      <sheetData sheetId="10" refreshError="1"/>
      <sheetData sheetId="11" refreshError="1"/>
      <sheetData sheetId="12" refreshError="1"/>
      <sheetData sheetId="13" refreshError="1"/>
      <sheetData sheetId="14" refreshError="1">
        <row r="2">
          <cell r="A2" t="str">
            <v>A2</v>
          </cell>
          <cell r="B2">
            <v>3.7385200383301176E-2</v>
          </cell>
          <cell r="D2" t="str">
            <v>A</v>
          </cell>
          <cell r="E2">
            <v>3.7385200383301176E-2</v>
          </cell>
          <cell r="G2" t="str">
            <v>BBB</v>
          </cell>
          <cell r="H2">
            <v>1.4472274683180467E-2</v>
          </cell>
        </row>
        <row r="3">
          <cell r="A3" t="str">
            <v>Baa2</v>
          </cell>
          <cell r="B3">
            <v>1.4472274683180473E-2</v>
          </cell>
          <cell r="D3" t="str">
            <v>BBB</v>
          </cell>
          <cell r="E3">
            <v>1.4472274683180469E-2</v>
          </cell>
          <cell r="G3" t="str">
            <v>BBB-</v>
          </cell>
          <cell r="H3">
            <v>2.4426446632877446E-2</v>
          </cell>
        </row>
        <row r="4">
          <cell r="A4" t="str">
            <v>Ba1</v>
          </cell>
          <cell r="B4">
            <v>2.4761480655376422E-2</v>
          </cell>
          <cell r="D4" t="str">
            <v>BBB-</v>
          </cell>
          <cell r="E4">
            <v>3.0920676150355346E-3</v>
          </cell>
          <cell r="G4" t="str">
            <v>BB+</v>
          </cell>
          <cell r="H4">
            <v>5.9832471946688878E-2</v>
          </cell>
        </row>
        <row r="5">
          <cell r="A5" t="str">
            <v>Ba2</v>
          </cell>
          <cell r="B5">
            <v>3.0546824143718444E-2</v>
          </cell>
          <cell r="D5" t="str">
            <v>BB+</v>
          </cell>
          <cell r="E5">
            <v>6.6508232988844299E-2</v>
          </cell>
          <cell r="G5" t="str">
            <v>BB</v>
          </cell>
          <cell r="H5">
            <v>0.15771565067703916</v>
          </cell>
        </row>
        <row r="6">
          <cell r="A6" t="str">
            <v>Ba3</v>
          </cell>
          <cell r="B6">
            <v>0.17307449645544418</v>
          </cell>
          <cell r="D6" t="str">
            <v>BB</v>
          </cell>
          <cell r="E6">
            <v>0.12034060105106804</v>
          </cell>
          <cell r="G6" t="str">
            <v>BB-</v>
          </cell>
          <cell r="H6">
            <v>0.2290754763632431</v>
          </cell>
        </row>
        <row r="7">
          <cell r="A7" t="str">
            <v>B1</v>
          </cell>
          <cell r="B7">
            <v>0.24088373367521954</v>
          </cell>
          <cell r="D7" t="str">
            <v>BB-</v>
          </cell>
          <cell r="E7">
            <v>0.19520178501319538</v>
          </cell>
          <cell r="G7" t="str">
            <v>B+</v>
          </cell>
          <cell r="H7">
            <v>0.16588844407070169</v>
          </cell>
        </row>
        <row r="8">
          <cell r="A8" t="str">
            <v>B2</v>
          </cell>
          <cell r="B8">
            <v>0.16641393737258628</v>
          </cell>
          <cell r="D8" t="str">
            <v>B+</v>
          </cell>
          <cell r="E8">
            <v>0.22211172891772987</v>
          </cell>
          <cell r="G8" t="str">
            <v>B</v>
          </cell>
          <cell r="H8">
            <v>5.855325427369789E-2</v>
          </cell>
        </row>
        <row r="9">
          <cell r="A9" t="str">
            <v>B3</v>
          </cell>
          <cell r="B9">
            <v>0.14004645787885178</v>
          </cell>
          <cell r="D9" t="str">
            <v>B</v>
          </cell>
          <cell r="E9">
            <v>9.9383389950119194E-2</v>
          </cell>
          <cell r="G9" t="str">
            <v>B-</v>
          </cell>
          <cell r="H9">
            <v>0.13062766572578416</v>
          </cell>
        </row>
        <row r="10">
          <cell r="A10" t="str">
            <v>Caa1</v>
          </cell>
          <cell r="B10">
            <v>1.557716681921E-2</v>
          </cell>
          <cell r="D10" t="str">
            <v>B-</v>
          </cell>
          <cell r="E10">
            <v>6.867407844236989E-2</v>
          </cell>
          <cell r="G10" t="str">
            <v>CCC+</v>
          </cell>
          <cell r="H10">
            <v>2.4292367476655259E-2</v>
          </cell>
        </row>
        <row r="11">
          <cell r="A11" t="str">
            <v>Caa2</v>
          </cell>
          <cell r="B11">
            <v>3.1351969506423057E-2</v>
          </cell>
          <cell r="D11" t="str">
            <v>CCC+</v>
          </cell>
          <cell r="E11">
            <v>2.4292367476655263E-2</v>
          </cell>
          <cell r="G11" t="str">
            <v>CCC</v>
          </cell>
          <cell r="H11">
            <v>3.4467402871698159E-2</v>
          </cell>
        </row>
        <row r="12">
          <cell r="A12" t="str">
            <v>Caa3</v>
          </cell>
          <cell r="B12">
            <v>6.3466299475839053E-2</v>
          </cell>
          <cell r="D12" t="str">
            <v>CCC</v>
          </cell>
          <cell r="E12">
            <v>3.2312561450331442E-2</v>
          </cell>
        </row>
        <row r="13">
          <cell r="A13" t="str">
            <v>Ca</v>
          </cell>
          <cell r="B13">
            <v>1.4477602117228072E-2</v>
          </cell>
          <cell r="D13" t="str">
            <v>CC</v>
          </cell>
          <cell r="E13">
            <v>1.5577166826375491E-2</v>
          </cell>
        </row>
        <row r="14">
          <cell r="A14" t="str">
            <v>D</v>
          </cell>
          <cell r="B14">
            <v>4.7542556833621658E-2</v>
          </cell>
          <cell r="D14" t="str">
            <v>D</v>
          </cell>
          <cell r="E14">
            <v>0.10064854520179405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2">
          <cell r="A2" t="str">
            <v>A2</v>
          </cell>
          <cell r="B2">
            <v>2.1073684081758345E-2</v>
          </cell>
          <cell r="D2" t="str">
            <v>A</v>
          </cell>
          <cell r="E2">
            <v>2.1073684081758342E-2</v>
          </cell>
          <cell r="G2" t="str">
            <v>BBB</v>
          </cell>
          <cell r="H2">
            <v>8.2574435361467136E-3</v>
          </cell>
        </row>
        <row r="3">
          <cell r="A3" t="str">
            <v>Baa2</v>
          </cell>
          <cell r="B3">
            <v>4.0427067197950466E-3</v>
          </cell>
          <cell r="D3" t="str">
            <v>BBB+</v>
          </cell>
          <cell r="E3">
            <v>2.9439596573484607E-18</v>
          </cell>
          <cell r="G3" t="str">
            <v>BBB-</v>
          </cell>
          <cell r="H3">
            <v>3.9407778867585841E-2</v>
          </cell>
        </row>
        <row r="4">
          <cell r="A4" t="str">
            <v>Baa3</v>
          </cell>
          <cell r="B4">
            <v>1.365047883867055E-2</v>
          </cell>
          <cell r="D4" t="str">
            <v>BBB</v>
          </cell>
          <cell r="E4">
            <v>8.0591029799963326E-3</v>
          </cell>
          <cell r="G4" t="str">
            <v>BB+</v>
          </cell>
          <cell r="H4">
            <v>8.6955430401145631E-2</v>
          </cell>
        </row>
        <row r="5">
          <cell r="A5" t="str">
            <v>Ba1</v>
          </cell>
          <cell r="B5">
            <v>3.4782105192462838E-2</v>
          </cell>
          <cell r="D5" t="str">
            <v>BBB-</v>
          </cell>
          <cell r="E5">
            <v>7.9605341397017814E-3</v>
          </cell>
          <cell r="G5" t="str">
            <v>BB</v>
          </cell>
          <cell r="H5">
            <v>0.17784737057545774</v>
          </cell>
        </row>
        <row r="6">
          <cell r="A6" t="str">
            <v>Ba2</v>
          </cell>
          <cell r="B6">
            <v>9.8476365851369346E-2</v>
          </cell>
          <cell r="D6" t="str">
            <v>BB+</v>
          </cell>
          <cell r="E6">
            <v>0.11347173821622754</v>
          </cell>
          <cell r="G6" t="str">
            <v>BB-</v>
          </cell>
          <cell r="H6">
            <v>0.2724973058797191</v>
          </cell>
        </row>
        <row r="7">
          <cell r="A7" t="str">
            <v>Ba3</v>
          </cell>
          <cell r="B7">
            <v>0.20169572397538385</v>
          </cell>
          <cell r="D7" t="str">
            <v>BB</v>
          </cell>
          <cell r="E7">
            <v>0.17479335134035975</v>
          </cell>
          <cell r="G7" t="str">
            <v>B+</v>
          </cell>
          <cell r="H7">
            <v>0.13660906243384091</v>
          </cell>
        </row>
        <row r="8">
          <cell r="A8" t="str">
            <v>B1</v>
          </cell>
          <cell r="B8">
            <v>0.27068006806125805</v>
          </cell>
          <cell r="D8" t="str">
            <v>BB-</v>
          </cell>
          <cell r="E8">
            <v>0.24588452987488188</v>
          </cell>
          <cell r="G8" t="str">
            <v>B</v>
          </cell>
          <cell r="H8">
            <v>4.8445035609986566E-2</v>
          </cell>
        </row>
        <row r="9">
          <cell r="A9" t="str">
            <v>B2</v>
          </cell>
          <cell r="B9">
            <v>0.14040094403536021</v>
          </cell>
          <cell r="D9" t="str">
            <v>B+</v>
          </cell>
          <cell r="E9">
            <v>0.16964464675160323</v>
          </cell>
          <cell r="G9" t="str">
            <v>B-</v>
          </cell>
          <cell r="H9">
            <v>0.15189195287431512</v>
          </cell>
        </row>
        <row r="10">
          <cell r="A10" t="str">
            <v>B3</v>
          </cell>
          <cell r="B10">
            <v>0.1046194730428283</v>
          </cell>
          <cell r="D10" t="str">
            <v>B</v>
          </cell>
          <cell r="E10">
            <v>8.077919558483232E-2</v>
          </cell>
          <cell r="G10" t="str">
            <v>CCC+</v>
          </cell>
          <cell r="H10">
            <v>2.2114159988298118E-2</v>
          </cell>
        </row>
        <row r="11">
          <cell r="A11" t="str">
            <v>Caa1</v>
          </cell>
          <cell r="B11">
            <v>2.5298721940588333E-2</v>
          </cell>
          <cell r="D11" t="str">
            <v>B-</v>
          </cell>
          <cell r="E11">
            <v>7.2547953323204017E-2</v>
          </cell>
          <cell r="G11" t="str">
            <v>CCC</v>
          </cell>
          <cell r="H11">
            <v>1.7697927163304615E-2</v>
          </cell>
        </row>
        <row r="12">
          <cell r="A12" t="str">
            <v>Caa2</v>
          </cell>
          <cell r="B12">
            <v>1.5204663066253066E-2</v>
          </cell>
          <cell r="D12" t="str">
            <v>CCC+</v>
          </cell>
          <cell r="E12">
            <v>2.2114159988298129E-2</v>
          </cell>
          <cell r="G12" t="str">
            <v>CCC-</v>
          </cell>
          <cell r="H12">
            <v>5.2684210204395846E-3</v>
          </cell>
        </row>
        <row r="13">
          <cell r="A13" t="str">
            <v>Caa3</v>
          </cell>
          <cell r="B13">
            <v>5.5154950129177462E-2</v>
          </cell>
          <cell r="D13" t="str">
            <v>CCC</v>
          </cell>
          <cell r="E13">
            <v>2.2428222945905192E-2</v>
          </cell>
        </row>
        <row r="14">
          <cell r="A14" t="str">
            <v>Ca</v>
          </cell>
          <cell r="B14">
            <v>4.2147368163516687E-3</v>
          </cell>
          <cell r="D14" t="str">
            <v>CC</v>
          </cell>
          <cell r="E14">
            <v>1.7697927163304619E-2</v>
          </cell>
        </row>
        <row r="15">
          <cell r="A15" t="str">
            <v>D</v>
          </cell>
          <cell r="B15">
            <v>1.0705378248743036E-2</v>
          </cell>
          <cell r="D15" t="str">
            <v>D</v>
          </cell>
          <cell r="E15">
            <v>4.3544953609926815E-2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>
        <row r="2">
          <cell r="A2" t="str">
            <v>A3</v>
          </cell>
          <cell r="B2">
            <v>5.3232097096345956E-3</v>
          </cell>
          <cell r="D2" t="str">
            <v>A</v>
          </cell>
          <cell r="E2">
            <v>5.3232097096345965E-3</v>
          </cell>
          <cell r="G2" t="str">
            <v>A</v>
          </cell>
          <cell r="H2">
            <v>5.3232097096345965E-3</v>
          </cell>
        </row>
        <row r="3">
          <cell r="A3" t="str">
            <v>Baa2</v>
          </cell>
          <cell r="B3">
            <v>1.0744323374139858E-2</v>
          </cell>
          <cell r="D3" t="str">
            <v>BBB+</v>
          </cell>
          <cell r="E3">
            <v>7.3058820222693648E-3</v>
          </cell>
          <cell r="G3" t="str">
            <v>BBB</v>
          </cell>
          <cell r="H3">
            <v>1.074432337413986E-2</v>
          </cell>
        </row>
        <row r="4">
          <cell r="A4" t="str">
            <v>Baa3</v>
          </cell>
          <cell r="B4">
            <v>4.8355477880716417E-3</v>
          </cell>
          <cell r="D4" t="str">
            <v>BBB</v>
          </cell>
          <cell r="E4">
            <v>1.4422302410345275E-2</v>
          </cell>
          <cell r="G4" t="str">
            <v>BBB-</v>
          </cell>
          <cell r="H4">
            <v>2.5313041613611739E-2</v>
          </cell>
        </row>
        <row r="5">
          <cell r="A5" t="str">
            <v>Ba1</v>
          </cell>
          <cell r="B5">
            <v>8.9558753095749042E-3</v>
          </cell>
          <cell r="D5" t="str">
            <v>BBB-</v>
          </cell>
          <cell r="E5">
            <v>4.821021823464609E-3</v>
          </cell>
          <cell r="G5" t="str">
            <v>BB+</v>
          </cell>
          <cell r="H5">
            <v>3.4530890234526754E-2</v>
          </cell>
        </row>
        <row r="6">
          <cell r="A6" t="str">
            <v>Ba2</v>
          </cell>
          <cell r="B6">
            <v>4.3705165613627896E-2</v>
          </cell>
          <cell r="D6" t="str">
            <v>BB+</v>
          </cell>
          <cell r="E6">
            <v>9.417418632077984E-2</v>
          </cell>
          <cell r="G6" t="str">
            <v>BB</v>
          </cell>
          <cell r="H6">
            <v>0.11585256604371132</v>
          </cell>
        </row>
        <row r="7">
          <cell r="A7" t="str">
            <v>Ba3</v>
          </cell>
          <cell r="B7">
            <v>0.18142443926036059</v>
          </cell>
          <cell r="D7" t="str">
            <v>BB</v>
          </cell>
          <cell r="E7">
            <v>0.1501774247484601</v>
          </cell>
          <cell r="G7" t="str">
            <v>BB-</v>
          </cell>
          <cell r="H7">
            <v>0.19032001954503694</v>
          </cell>
        </row>
        <row r="8">
          <cell r="A8" t="str">
            <v>B1</v>
          </cell>
          <cell r="B8">
            <v>0.27298119305761098</v>
          </cell>
          <cell r="D8" t="str">
            <v>BB-</v>
          </cell>
          <cell r="E8">
            <v>0.20854955556265084</v>
          </cell>
          <cell r="G8" t="str">
            <v>B+</v>
          </cell>
          <cell r="H8">
            <v>0.15271295161647225</v>
          </cell>
        </row>
        <row r="9">
          <cell r="A9" t="str">
            <v>B2</v>
          </cell>
          <cell r="B9">
            <v>0.17477234244575249</v>
          </cell>
          <cell r="D9" t="str">
            <v>B+</v>
          </cell>
          <cell r="E9">
            <v>0.20610405646213698</v>
          </cell>
          <cell r="G9" t="str">
            <v>B</v>
          </cell>
          <cell r="H9">
            <v>9.6481564985583565E-2</v>
          </cell>
        </row>
        <row r="10">
          <cell r="A10" t="str">
            <v>B3</v>
          </cell>
          <cell r="B10">
            <v>0.11834919165573861</v>
          </cell>
          <cell r="D10" t="str">
            <v>B</v>
          </cell>
          <cell r="E10">
            <v>0.11842893337375515</v>
          </cell>
          <cell r="G10" t="str">
            <v>B-</v>
          </cell>
          <cell r="H10">
            <v>0.19615859452918999</v>
          </cell>
        </row>
        <row r="11">
          <cell r="A11" t="str">
            <v>Caa1</v>
          </cell>
          <cell r="B11">
            <v>4.9034042156617857E-2</v>
          </cell>
          <cell r="D11" t="str">
            <v>B-</v>
          </cell>
          <cell r="E11">
            <v>6.2144586336809839E-2</v>
          </cell>
          <cell r="G11" t="str">
            <v>CCC+</v>
          </cell>
          <cell r="H11">
            <v>5.057221411514045E-2</v>
          </cell>
        </row>
        <row r="12">
          <cell r="A12" t="str">
            <v>Caa2</v>
          </cell>
          <cell r="B12">
            <v>2.9964628358706048E-2</v>
          </cell>
          <cell r="D12" t="str">
            <v>CCC+</v>
          </cell>
          <cell r="E12">
            <v>2.5637606695251336E-2</v>
          </cell>
          <cell r="G12" t="str">
            <v>CCC</v>
          </cell>
          <cell r="H12">
            <v>3.0643451173688808E-2</v>
          </cell>
        </row>
        <row r="13">
          <cell r="A13" t="str">
            <v>Caa3</v>
          </cell>
          <cell r="B13">
            <v>3.150544013171195E-2</v>
          </cell>
          <cell r="D13" t="str">
            <v>CCC</v>
          </cell>
          <cell r="E13">
            <v>1.2088869533251466E-3</v>
          </cell>
          <cell r="G13" t="str">
            <v>CCC-</v>
          </cell>
          <cell r="H13">
            <v>1.6745712318669205E-2</v>
          </cell>
        </row>
        <row r="14">
          <cell r="A14" t="str">
            <v>Ca</v>
          </cell>
          <cell r="B14">
            <v>6.3492845200729432E-3</v>
          </cell>
          <cell r="D14" t="str">
            <v>CCC-</v>
          </cell>
          <cell r="E14">
            <v>1.6703664076814419E-2</v>
          </cell>
          <cell r="G14" t="str">
            <v>CC</v>
          </cell>
          <cell r="H14">
            <v>6.3492845200729441E-3</v>
          </cell>
        </row>
        <row r="15">
          <cell r="A15" t="str">
            <v>D</v>
          </cell>
          <cell r="B15">
            <v>6.2055316618379514E-2</v>
          </cell>
          <cell r="D15" t="str">
            <v>CC</v>
          </cell>
          <cell r="E15">
            <v>1.4759727813042751E-2</v>
          </cell>
        </row>
        <row r="16">
          <cell r="D16" t="str">
            <v>D</v>
          </cell>
          <cell r="E16">
            <v>7.023895569125975E-2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>
        <row r="2">
          <cell r="A2" t="str">
            <v>Baa2</v>
          </cell>
          <cell r="B2">
            <v>5.9946772315449927E-3</v>
          </cell>
          <cell r="D2" t="str">
            <v>BBB</v>
          </cell>
          <cell r="E2">
            <v>5.9946772315449936E-3</v>
          </cell>
        </row>
        <row r="3">
          <cell r="A3" t="str">
            <v>Baa3</v>
          </cell>
          <cell r="B3">
            <v>2.1502434672717848E-2</v>
          </cell>
          <cell r="D3" t="str">
            <v>BBB-</v>
          </cell>
          <cell r="E3">
            <v>7.7234551547616711E-3</v>
          </cell>
        </row>
        <row r="4">
          <cell r="A4" t="str">
            <v>Ba1</v>
          </cell>
          <cell r="B4">
            <v>2.9661423012898407E-2</v>
          </cell>
          <cell r="D4" t="str">
            <v>BB+</v>
          </cell>
          <cell r="E4">
            <v>0.13981433282892808</v>
          </cell>
        </row>
        <row r="5">
          <cell r="A5" t="str">
            <v>Ba2</v>
          </cell>
          <cell r="B5">
            <v>7.3481876253466527E-2</v>
          </cell>
          <cell r="D5" t="str">
            <v>BB</v>
          </cell>
          <cell r="E5">
            <v>0.13683183875616364</v>
          </cell>
        </row>
        <row r="6">
          <cell r="A6" t="str">
            <v>Ba3</v>
          </cell>
          <cell r="B6">
            <v>0.20093774038661363</v>
          </cell>
          <cell r="D6" t="str">
            <v>BB-</v>
          </cell>
          <cell r="E6">
            <v>0.23501796394076405</v>
          </cell>
        </row>
        <row r="7">
          <cell r="A7" t="str">
            <v>B1</v>
          </cell>
          <cell r="B7">
            <v>0.3263672425224084</v>
          </cell>
          <cell r="D7" t="str">
            <v>B+</v>
          </cell>
          <cell r="E7">
            <v>0.22416807448746529</v>
          </cell>
        </row>
        <row r="8">
          <cell r="A8" t="str">
            <v>B2</v>
          </cell>
          <cell r="B8">
            <v>0.17578056446008242</v>
          </cell>
          <cell r="D8" t="str">
            <v>B</v>
          </cell>
          <cell r="E8">
            <v>6.9611117817670778E-2</v>
          </cell>
        </row>
        <row r="9">
          <cell r="A9" t="str">
            <v>B3</v>
          </cell>
          <cell r="B9">
            <v>8.1164621172892609E-2</v>
          </cell>
          <cell r="D9" t="str">
            <v>B-</v>
          </cell>
          <cell r="E9">
            <v>5.9467038025883767E-2</v>
          </cell>
        </row>
        <row r="10">
          <cell r="A10" t="str">
            <v>Caa1</v>
          </cell>
          <cell r="B10">
            <v>2.2847379310057363E-2</v>
          </cell>
          <cell r="D10" t="str">
            <v>CCC+</v>
          </cell>
          <cell r="E10">
            <v>3.3234163536274529E-2</v>
          </cell>
        </row>
        <row r="11">
          <cell r="A11" t="str">
            <v>Caa2</v>
          </cell>
          <cell r="B11">
            <v>1.3395198014716446E-2</v>
          </cell>
          <cell r="D11" t="str">
            <v>CCC</v>
          </cell>
          <cell r="E11">
            <v>1.3602939917771997E-2</v>
          </cell>
        </row>
        <row r="12">
          <cell r="A12" t="str">
            <v>Caa3</v>
          </cell>
          <cell r="B12">
            <v>3.0971248740898925E-2</v>
          </cell>
          <cell r="D12" t="str">
            <v>CCC-</v>
          </cell>
          <cell r="E12">
            <v>2.8403216032799394E-2</v>
          </cell>
        </row>
        <row r="13">
          <cell r="A13" t="str">
            <v>D</v>
          </cell>
          <cell r="B13">
            <v>1.7895594221702341E-2</v>
          </cell>
          <cell r="D13" t="str">
            <v>CC</v>
          </cell>
          <cell r="E13">
            <v>1.5485624370449464E-2</v>
          </cell>
        </row>
        <row r="14">
          <cell r="D14" t="str">
            <v>D</v>
          </cell>
          <cell r="E14">
            <v>3.0645557899522367E-2</v>
          </cell>
        </row>
      </sheetData>
      <sheetData sheetId="32" refreshError="1"/>
      <sheetData sheetId="33" refreshError="1"/>
      <sheetData sheetId="34" refreshError="1"/>
      <sheetData sheetId="35" refreshError="1"/>
      <sheetData sheetId="36" refreshError="1">
        <row r="2">
          <cell r="A2" t="str">
            <v>Baa2</v>
          </cell>
          <cell r="B2">
            <v>5.8171832567974913E-3</v>
          </cell>
          <cell r="D2" t="str">
            <v>BBB+</v>
          </cell>
          <cell r="E2">
            <v>9.3626895225603886E-4</v>
          </cell>
        </row>
        <row r="3">
          <cell r="A3" t="str">
            <v>Baa3</v>
          </cell>
          <cell r="B3">
            <v>1.0412017893144915E-2</v>
          </cell>
          <cell r="D3" t="str">
            <v>BBB</v>
          </cell>
          <cell r="E3">
            <v>9.7949494628859785E-3</v>
          </cell>
        </row>
        <row r="4">
          <cell r="A4" t="str">
            <v>Ba1</v>
          </cell>
          <cell r="B4">
            <v>3.8734854608280578E-2</v>
          </cell>
          <cell r="D4" t="str">
            <v>BBB-</v>
          </cell>
          <cell r="E4">
            <v>5.5499717215846869E-3</v>
          </cell>
        </row>
        <row r="5">
          <cell r="A5" t="str">
            <v>Ba2</v>
          </cell>
          <cell r="B5">
            <v>7.1637776741333772E-2</v>
          </cell>
          <cell r="D5" t="str">
            <v>BB+</v>
          </cell>
          <cell r="E5">
            <v>0.12581418550008469</v>
          </cell>
        </row>
        <row r="6">
          <cell r="A6" t="str">
            <v>Ba3</v>
          </cell>
          <cell r="B6">
            <v>0.22048285940705969</v>
          </cell>
          <cell r="D6" t="str">
            <v>BB</v>
          </cell>
          <cell r="E6">
            <v>0.18552905183788448</v>
          </cell>
        </row>
        <row r="7">
          <cell r="A7" t="str">
            <v>B1</v>
          </cell>
          <cell r="B7">
            <v>0.28532402532341361</v>
          </cell>
          <cell r="D7" t="str">
            <v>BB-</v>
          </cell>
          <cell r="E7">
            <v>0.2210240740181855</v>
          </cell>
        </row>
        <row r="8">
          <cell r="A8" t="str">
            <v>B2</v>
          </cell>
          <cell r="B8">
            <v>0.14304347534272696</v>
          </cell>
          <cell r="D8" t="str">
            <v>B+</v>
          </cell>
          <cell r="E8">
            <v>0.19206162138303387</v>
          </cell>
        </row>
        <row r="9">
          <cell r="A9" t="str">
            <v>B3</v>
          </cell>
          <cell r="B9">
            <v>0.11136149830346929</v>
          </cell>
          <cell r="D9" t="str">
            <v>B</v>
          </cell>
          <cell r="E9">
            <v>8.8491534774621475E-2</v>
          </cell>
        </row>
        <row r="10">
          <cell r="A10" t="str">
            <v>Caa1</v>
          </cell>
          <cell r="B10">
            <v>1.394378153064308E-2</v>
          </cell>
          <cell r="D10" t="str">
            <v>B-</v>
          </cell>
          <cell r="E10">
            <v>5.9322495127190469E-2</v>
          </cell>
        </row>
        <row r="11">
          <cell r="A11" t="str">
            <v>Caa2</v>
          </cell>
          <cell r="B11">
            <v>2.912808312544226E-2</v>
          </cell>
          <cell r="D11" t="str">
            <v>CCC+</v>
          </cell>
          <cell r="E11">
            <v>2.2508433969376157E-2</v>
          </cell>
        </row>
        <row r="12">
          <cell r="A12" t="str">
            <v>Caa3</v>
          </cell>
          <cell r="B12">
            <v>2.7350033586114864E-2</v>
          </cell>
          <cell r="D12" t="str">
            <v>CCC</v>
          </cell>
          <cell r="E12">
            <v>2.9144978452407856E-2</v>
          </cell>
        </row>
        <row r="13">
          <cell r="A13" t="str">
            <v>Ca</v>
          </cell>
          <cell r="B13">
            <v>1.9899573460405103E-2</v>
          </cell>
          <cell r="D13" t="str">
            <v>CC</v>
          </cell>
          <cell r="E13">
            <v>1.0435497763111918E-2</v>
          </cell>
        </row>
        <row r="14">
          <cell r="A14" t="str">
            <v>D</v>
          </cell>
          <cell r="B14">
            <v>2.2864837421168276E-2</v>
          </cell>
          <cell r="D14" t="str">
            <v>D</v>
          </cell>
          <cell r="E14">
            <v>4.9386937037376906E-2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>
        <row r="2">
          <cell r="A2" t="str">
            <v>A2</v>
          </cell>
          <cell r="B2">
            <v>5.4281138971520333E-3</v>
          </cell>
          <cell r="D2" t="str">
            <v>A</v>
          </cell>
          <cell r="E2">
            <v>5.4281138971520341E-3</v>
          </cell>
        </row>
        <row r="3">
          <cell r="A3" t="str">
            <v>Baa2</v>
          </cell>
          <cell r="B3">
            <v>8.271250134241943E-3</v>
          </cell>
          <cell r="D3" t="str">
            <v>BBB+</v>
          </cell>
          <cell r="E3">
            <v>9.6172450542385648E-4</v>
          </cell>
        </row>
        <row r="4">
          <cell r="A4" t="str">
            <v>Baa3</v>
          </cell>
          <cell r="B4">
            <v>1.5757255043349943E-2</v>
          </cell>
          <cell r="D4" t="str">
            <v>BBB</v>
          </cell>
          <cell r="E4">
            <v>8.0694765601691948E-3</v>
          </cell>
        </row>
        <row r="5">
          <cell r="A5" t="str">
            <v>Ba1</v>
          </cell>
          <cell r="B5">
            <v>2.7692355296492693E-2</v>
          </cell>
          <cell r="D5" t="str">
            <v>BBB-</v>
          </cell>
          <cell r="E5">
            <v>2.956484622908034E-2</v>
          </cell>
        </row>
        <row r="6">
          <cell r="A6" t="str">
            <v>Ba2</v>
          </cell>
          <cell r="B6">
            <v>0.15440978913814124</v>
          </cell>
          <cell r="D6" t="str">
            <v>BB+</v>
          </cell>
          <cell r="E6">
            <v>8.5558206342447804E-2</v>
          </cell>
        </row>
        <row r="7">
          <cell r="A7" t="str">
            <v>Ba3</v>
          </cell>
          <cell r="B7">
            <v>0.34523375103438464</v>
          </cell>
          <cell r="D7" t="str">
            <v>BB</v>
          </cell>
          <cell r="E7">
            <v>0.19004889479452075</v>
          </cell>
        </row>
        <row r="8">
          <cell r="A8" t="str">
            <v>B1</v>
          </cell>
          <cell r="B8">
            <v>0.2504426660956347</v>
          </cell>
          <cell r="D8" t="str">
            <v>BB-</v>
          </cell>
          <cell r="E8">
            <v>0.27387535191146356</v>
          </cell>
        </row>
        <row r="9">
          <cell r="A9" t="str">
            <v>B2</v>
          </cell>
          <cell r="B9">
            <v>9.3370535710470964E-2</v>
          </cell>
          <cell r="D9" t="str">
            <v>B+</v>
          </cell>
          <cell r="E9">
            <v>0.20202036814548255</v>
          </cell>
        </row>
        <row r="10">
          <cell r="A10" t="str">
            <v>B3</v>
          </cell>
          <cell r="B10">
            <v>2.2429970167819897E-2</v>
          </cell>
          <cell r="D10" t="str">
            <v>B</v>
          </cell>
          <cell r="E10">
            <v>7.129751852236367E-2</v>
          </cell>
        </row>
        <row r="11">
          <cell r="A11" t="str">
            <v>Caa1</v>
          </cell>
          <cell r="B11">
            <v>2.1438442235850266E-3</v>
          </cell>
          <cell r="D11" t="str">
            <v>B-</v>
          </cell>
          <cell r="E11">
            <v>7.2034749610489113E-2</v>
          </cell>
        </row>
        <row r="12">
          <cell r="A12" t="str">
            <v>Caa2</v>
          </cell>
          <cell r="B12">
            <v>4.7753534037208667E-2</v>
          </cell>
          <cell r="D12" t="str">
            <v>CCC+</v>
          </cell>
          <cell r="E12">
            <v>1.0610672048442177E-3</v>
          </cell>
        </row>
        <row r="13">
          <cell r="A13" t="str">
            <v>Caa3</v>
          </cell>
          <cell r="B13">
            <v>9.9625702209942997E-3</v>
          </cell>
          <cell r="D13" t="str">
            <v>CCC</v>
          </cell>
          <cell r="E13">
            <v>1.0502382707401984E-2</v>
          </cell>
        </row>
        <row r="14">
          <cell r="A14" t="str">
            <v>Ca</v>
          </cell>
          <cell r="B14">
            <v>1.0478038642771817E-2</v>
          </cell>
          <cell r="D14" t="str">
            <v>CC</v>
          </cell>
          <cell r="E14">
            <v>1.7150753788680213E-2</v>
          </cell>
        </row>
        <row r="15">
          <cell r="A15" t="str">
            <v>D</v>
          </cell>
          <cell r="B15">
            <v>6.6263263577521049E-3</v>
          </cell>
          <cell r="D15" t="str">
            <v>D</v>
          </cell>
          <cell r="E15">
            <v>2.1948507137708972E-2</v>
          </cell>
        </row>
      </sheetData>
      <sheetData sheetId="42" refreshError="1"/>
      <sheetData sheetId="43" refreshError="1"/>
      <sheetData sheetId="44" refreshError="1"/>
      <sheetData sheetId="45" refreshError="1"/>
      <sheetData sheetId="46" refreshError="1">
        <row r="3">
          <cell r="M3">
            <v>36903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DISPLAY"/>
      <sheetName val="CONTROL"/>
    </sheetNames>
    <sheetDataSet>
      <sheetData sheetId="0" refreshError="1"/>
      <sheetData sheetId="1" refreshError="1"/>
      <sheetData sheetId="2" refreshError="1"/>
      <sheetData sheetId="3" refreshError="1">
        <row r="5">
          <cell r="U5">
            <v>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>
        <row r="7">
          <cell r="D7" t="str">
            <v>Wicks Medical Information, L.L.C.</v>
          </cell>
        </row>
        <row r="8">
          <cell r="D8" t="str">
            <v>Acquisitions of Jobson and DesignWrite</v>
          </cell>
        </row>
        <row r="9">
          <cell r="D9" t="str">
            <v>MODEL VERSION: BASE CASE</v>
          </cell>
        </row>
        <row r="10">
          <cell r="D10" t="str">
            <v>CONFIDENTIAL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&amp;U"/>
      <sheetName val="BS"/>
      <sheetName val="IS"/>
      <sheetName val="CFS"/>
      <sheetName val="REV"/>
      <sheetName val="RATIO"/>
      <sheetName val="RETURN"/>
      <sheetName val="CONTROL"/>
      <sheetName val="D&amp;A"/>
    </sheetNames>
    <sheetDataSet>
      <sheetData sheetId="0" refreshError="1">
        <row r="2">
          <cell r="K2" t="str">
            <v>(Dollars in Thousands)</v>
          </cell>
        </row>
        <row r="12">
          <cell r="E12">
            <v>19250</v>
          </cell>
        </row>
        <row r="21">
          <cell r="J21">
            <v>0.85</v>
          </cell>
        </row>
      </sheetData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>
        <row r="12">
          <cell r="A12" t="str">
            <v>Management / Base Case</v>
          </cell>
        </row>
        <row r="13">
          <cell r="A13" t="str">
            <v>Wicks Case</v>
          </cell>
        </row>
        <row r="14">
          <cell r="A14" t="str">
            <v>Other</v>
          </cell>
        </row>
      </sheetData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flows"/>
      <sheetName val="OC-IC"/>
      <sheetName val="Sources and Uses"/>
      <sheetName val="After Tax"/>
      <sheetName val="Tax Report"/>
      <sheetName val="Price Yield"/>
      <sheetName val="LIBOR"/>
      <sheetName val="Revolver"/>
      <sheetName val="PV Calc"/>
      <sheetName val="Module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DRIVER"/>
      <sheetName val="Sheet1"/>
      <sheetName val="Bcom IS-Mnthly"/>
      <sheetName val="Conversion Balance Sheet"/>
      <sheetName val="Bcom BS-Mnthly"/>
      <sheetName val="Bcom FAS95-Mnthly"/>
      <sheetName val="Bcom Rollup-Income"/>
      <sheetName val="Bcom Rollup- Balance"/>
      <sheetName val="Bcom Conversion Charge Adj"/>
      <sheetName val="Bcom Debt"/>
      <sheetName val="Bcom Fixed Assets"/>
      <sheetName val="Bcom Lines"/>
      <sheetName val="Bcom New AE Efficiency"/>
      <sheetName val="Bcom Rev"/>
      <sheetName val="Bcom COGS"/>
      <sheetName val="Bcom-SG&amp;A,Taxes"/>
      <sheetName val="Bcom HEADCOUNT"/>
      <sheetName val="MasterDriverTrucom"/>
      <sheetName val="TruCom IS"/>
      <sheetName val="TruCom BS"/>
      <sheetName val="TruCom FAS95-Mnthly"/>
      <sheetName val="TruCom Rev"/>
      <sheetName val="TruCom COGS"/>
      <sheetName val="TruCom Lines"/>
      <sheetName val="TruCom-SG&amp;A,Taxes"/>
      <sheetName val="TruCom HEADCOUNT"/>
      <sheetName val="TruCom Amort."/>
      <sheetName val="TruCom Fixed Assets"/>
      <sheetName val="TruCom Debt"/>
      <sheetName val="TruCom Debt worksheet"/>
      <sheetName val="Cap Tables"/>
      <sheetName val="TruCom Cash Acct. Recon."/>
      <sheetName val="MASTER"/>
    </sheetNames>
    <sheetDataSet>
      <sheetData sheetId="0" refreshError="1">
        <row r="5">
          <cell r="C5" t="str">
            <v>2000 Q1</v>
          </cell>
          <cell r="D5">
            <v>3</v>
          </cell>
        </row>
        <row r="6">
          <cell r="C6" t="str">
            <v>2000 Q2</v>
          </cell>
          <cell r="D6">
            <v>4</v>
          </cell>
        </row>
        <row r="7">
          <cell r="C7" t="str">
            <v>2000 Q3</v>
          </cell>
          <cell r="D7">
            <v>5</v>
          </cell>
        </row>
        <row r="8">
          <cell r="C8" t="str">
            <v>2000 Q4</v>
          </cell>
          <cell r="D8">
            <v>6</v>
          </cell>
        </row>
        <row r="9">
          <cell r="C9" t="str">
            <v>2001 Q1</v>
          </cell>
          <cell r="D9">
            <v>7</v>
          </cell>
        </row>
        <row r="10">
          <cell r="C10" t="str">
            <v>2001 Q2</v>
          </cell>
          <cell r="D10">
            <v>8</v>
          </cell>
        </row>
        <row r="11">
          <cell r="C11" t="str">
            <v>2001 Q3</v>
          </cell>
          <cell r="D11">
            <v>9</v>
          </cell>
        </row>
        <row r="12">
          <cell r="C12" t="str">
            <v>2001 Q4</v>
          </cell>
          <cell r="D12">
            <v>10</v>
          </cell>
        </row>
        <row r="13">
          <cell r="C13" t="str">
            <v>2002 Q1</v>
          </cell>
          <cell r="D13">
            <v>11</v>
          </cell>
        </row>
        <row r="14">
          <cell r="C14" t="str">
            <v>2002 Q2</v>
          </cell>
          <cell r="D14">
            <v>12</v>
          </cell>
        </row>
        <row r="15">
          <cell r="C15" t="str">
            <v>2002 Q3</v>
          </cell>
          <cell r="D15">
            <v>13</v>
          </cell>
        </row>
        <row r="16">
          <cell r="C16" t="str">
            <v>2002 Q4</v>
          </cell>
          <cell r="D16">
            <v>14</v>
          </cell>
        </row>
        <row r="17">
          <cell r="C17" t="str">
            <v>2003 Q1</v>
          </cell>
          <cell r="D17">
            <v>15</v>
          </cell>
        </row>
        <row r="18">
          <cell r="C18" t="str">
            <v>2003 Q2</v>
          </cell>
          <cell r="D18">
            <v>16</v>
          </cell>
        </row>
        <row r="19">
          <cell r="C19" t="str">
            <v>2003 Q3</v>
          </cell>
          <cell r="D19">
            <v>17</v>
          </cell>
        </row>
        <row r="20">
          <cell r="C20" t="str">
            <v>2003 Q4</v>
          </cell>
          <cell r="D20">
            <v>18</v>
          </cell>
        </row>
        <row r="21">
          <cell r="C21" t="str">
            <v>2004 Q1</v>
          </cell>
          <cell r="D21">
            <v>19</v>
          </cell>
        </row>
        <row r="22">
          <cell r="C22" t="str">
            <v>2004 Q2</v>
          </cell>
          <cell r="D22">
            <v>20</v>
          </cell>
        </row>
        <row r="23">
          <cell r="C23" t="str">
            <v>2004 Q3</v>
          </cell>
          <cell r="D23">
            <v>21</v>
          </cell>
        </row>
        <row r="24">
          <cell r="C24" t="str">
            <v>2004 Q4</v>
          </cell>
          <cell r="D24">
            <v>22</v>
          </cell>
        </row>
        <row r="25">
          <cell r="C25" t="str">
            <v>2005 Q1</v>
          </cell>
          <cell r="D25">
            <v>23</v>
          </cell>
        </row>
        <row r="26">
          <cell r="C26" t="str">
            <v>2005 Q2</v>
          </cell>
          <cell r="D26">
            <v>24</v>
          </cell>
        </row>
        <row r="27">
          <cell r="C27" t="str">
            <v>2005 Q3</v>
          </cell>
          <cell r="D27">
            <v>25</v>
          </cell>
        </row>
        <row r="28">
          <cell r="C28" t="str">
            <v>2005 Q4</v>
          </cell>
          <cell r="D28">
            <v>26</v>
          </cell>
        </row>
        <row r="29">
          <cell r="C29" t="str">
            <v>2006 Q1</v>
          </cell>
          <cell r="D29">
            <v>27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DISPLAY"/>
      <sheetName val="OPT-MIS"/>
      <sheetName val="REV"/>
      <sheetName val="EXP"/>
      <sheetName val="MODR"/>
      <sheetName val="D&amp;A"/>
      <sheetName val="DEBT"/>
      <sheetName val="COVS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>
        <row r="7">
          <cell r="D7" t="str">
            <v>Wicks Medical Information, L.L.C.</v>
          </cell>
        </row>
        <row r="8">
          <cell r="D8" t="str">
            <v>Acquisitions of Jobson and DesignWrite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CM 2000 Rev Chart"/>
      <sheetName val="MCM 2001 Rev Chart"/>
      <sheetName val="MCM 1999 P&amp;L"/>
      <sheetName val="MCM 2000 P&amp;L"/>
      <sheetName val="MCM 2001 Plan"/>
      <sheetName val="MCM 2000 and 2001 Plan"/>
      <sheetName val="GSN Hist IS"/>
      <sheetName val="GSN Hist BS"/>
      <sheetName val="CC 2000 Detail"/>
      <sheetName val="CC 2000 IS"/>
      <sheetName val="CC 2000 BS"/>
      <sheetName val="CC 2000 CF"/>
      <sheetName val="Crescent Mo IS 9-00 to 6-01"/>
      <sheetName val="Crescent Qtr IS Sep00-Jun01"/>
      <sheetName val="Target P&amp;L RollUp"/>
      <sheetName val="Target P&amp;L RollUp June"/>
      <sheetName val="Target P&amp;L Pct Sales"/>
      <sheetName val="MASTER DRIVERS"/>
      <sheetName val="Summary"/>
      <sheetName val="IS Sum"/>
      <sheetName val="BS Sum"/>
      <sheetName val="CF Sum"/>
      <sheetName val="Covenants and Capitalization"/>
      <sheetName val="Ret Earn Reconcile"/>
      <sheetName val="GSN IS Sum"/>
      <sheetName val="Maine IS Sum"/>
      <sheetName val="Conversion BS"/>
      <sheetName val="Key Ratios"/>
      <sheetName val="MCG vs Vaxa"/>
      <sheetName val="Exhibits1"/>
      <sheetName val="Exhibits2"/>
      <sheetName val="IS"/>
      <sheetName val="BS"/>
      <sheetName val="CF"/>
      <sheetName val="Debt"/>
      <sheetName val="Fixed Assets"/>
      <sheetName val="Intangibles"/>
      <sheetName val="DCF"/>
      <sheetName val="Initial TTM EBITDA by Cluster"/>
      <sheetName val="Geographic Concentration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A1" t="str">
            <v>Crescent Publishing Company, LLC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anX"/>
      <sheetName val="Portfolio Input"/>
      <sheetName val="Warehouse Summary"/>
      <sheetName val="Investor Summary"/>
      <sheetName val="Industry"/>
      <sheetName val="Rating"/>
      <sheetName val="Broad Loan Category"/>
      <sheetName val="Diversity Calc"/>
      <sheetName val="Vlooku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s"/>
      <sheetName val="Pipeline"/>
      <sheetName val="Monthly Financials"/>
      <sheetName val="Quarterly Financials"/>
      <sheetName val="Yearly Financials"/>
      <sheetName val="Distributions"/>
      <sheetName val="Returns"/>
      <sheetName val="Operations"/>
      <sheetName val="Payroll"/>
      <sheetName val="Depreciation"/>
      <sheetName val="Debt"/>
      <sheetName val="Equity"/>
    </sheetNames>
    <sheetDataSet>
      <sheetData sheetId="0" refreshError="1">
        <row r="13">
          <cell r="O13">
            <v>3194345.706668355</v>
          </cell>
        </row>
        <row r="26">
          <cell r="J26">
            <v>15000000</v>
          </cell>
        </row>
        <row r="28">
          <cell r="J28">
            <v>37164</v>
          </cell>
        </row>
        <row r="30">
          <cell r="J30">
            <v>0.08</v>
          </cell>
        </row>
        <row r="35">
          <cell r="E35">
            <v>8500000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s"/>
      <sheetName val="Model"/>
      <sheetName val="Portfolio Input"/>
    </sheetNames>
    <sheetDataSet>
      <sheetData sheetId="0"/>
      <sheetData sheetId="1" refreshError="1"/>
      <sheetData sheetId="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TransSum"/>
      <sheetName val="Consolidated"/>
      <sheetName val="JDPC Proj."/>
      <sheetName val="EG Proj."/>
      <sheetName val="KBB Proj. 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liminary"/>
      <sheetName val="Final"/>
    </sheetNames>
    <sheetDataSet>
      <sheetData sheetId="0" refreshError="1">
        <row r="1">
          <cell r="A1" t="str">
            <v>December 1999</v>
          </cell>
        </row>
        <row r="2">
          <cell r="A2" t="str">
            <v>Preliminary</v>
          </cell>
        </row>
        <row r="4">
          <cell r="A4" t="str">
            <v>Customer</v>
          </cell>
          <cell r="B4" t="str">
            <v>Totals by Client</v>
          </cell>
          <cell r="C4" t="str">
            <v>Consulting</v>
          </cell>
          <cell r="D4" t="str">
            <v>Adjustments</v>
          </cell>
        </row>
        <row r="6">
          <cell r="A6" t="str">
            <v>BOO.Com</v>
          </cell>
          <cell r="C6">
            <v>39352</v>
          </cell>
        </row>
        <row r="7">
          <cell r="A7" t="str">
            <v>Boots Health</v>
          </cell>
          <cell r="C7">
            <v>141068</v>
          </cell>
        </row>
        <row r="8">
          <cell r="A8" t="str">
            <v>Mearsk</v>
          </cell>
          <cell r="C8">
            <v>1121449</v>
          </cell>
        </row>
        <row r="9">
          <cell r="A9" t="str">
            <v>BSkyB Limited</v>
          </cell>
          <cell r="C9">
            <v>512870</v>
          </cell>
        </row>
        <row r="11">
          <cell r="A11" t="str">
            <v>Total TTE</v>
          </cell>
          <cell r="C11">
            <v>1814739</v>
          </cell>
          <cell r="D11">
            <v>0</v>
          </cell>
        </row>
        <row r="13">
          <cell r="A13" t="str">
            <v>Ameritech AcceSS7 Bus. Intel</v>
          </cell>
          <cell r="C13">
            <v>4000</v>
          </cell>
        </row>
        <row r="14">
          <cell r="A14" t="str">
            <v xml:space="preserve">Ameritech-Merger Stipulation </v>
          </cell>
          <cell r="C14">
            <v>19650</v>
          </cell>
        </row>
        <row r="15">
          <cell r="A15" t="str">
            <v>Ameritech-Total</v>
          </cell>
          <cell r="B15">
            <v>23650</v>
          </cell>
        </row>
        <row r="16">
          <cell r="A16" t="str">
            <v xml:space="preserve">Donnelley-Link Maint. </v>
          </cell>
          <cell r="C16">
            <v>82895</v>
          </cell>
        </row>
        <row r="17">
          <cell r="A17" t="str">
            <v xml:space="preserve">Donnelley-Link Support Chg Order </v>
          </cell>
          <cell r="C17">
            <v>1400</v>
          </cell>
        </row>
        <row r="18">
          <cell r="A18" t="str">
            <v>Donnelley-Total</v>
          </cell>
          <cell r="B18">
            <v>84295</v>
          </cell>
        </row>
        <row r="19">
          <cell r="A19" t="str">
            <v>EarthWeb</v>
          </cell>
          <cell r="B19">
            <v>300000</v>
          </cell>
          <cell r="C19">
            <v>300000</v>
          </cell>
        </row>
        <row r="20">
          <cell r="A20" t="str">
            <v>eBay</v>
          </cell>
          <cell r="B20">
            <v>2387.5</v>
          </cell>
          <cell r="C20">
            <v>2387.5</v>
          </cell>
        </row>
        <row r="21">
          <cell r="A21" t="str">
            <v>E*Trade -Cap. Proj. Ph. 2</v>
          </cell>
          <cell r="C21">
            <v>4800</v>
          </cell>
        </row>
        <row r="22">
          <cell r="A22" t="str">
            <v>E*Trade-CIO Support</v>
          </cell>
          <cell r="C22">
            <v>155298.70000000001</v>
          </cell>
        </row>
        <row r="23">
          <cell r="A23" t="str">
            <v>E*Trade-CRM project</v>
          </cell>
          <cell r="C23">
            <v>1800</v>
          </cell>
        </row>
        <row r="24">
          <cell r="A24" t="str">
            <v>E*Trade-Enterprise Bus. Office</v>
          </cell>
          <cell r="C24">
            <v>43400</v>
          </cell>
        </row>
        <row r="25">
          <cell r="A25" t="str">
            <v>E*Trade-International</v>
          </cell>
          <cell r="C25">
            <v>283650</v>
          </cell>
        </row>
        <row r="26">
          <cell r="A26" t="str">
            <v>E*Trade-Inter. Global Trading</v>
          </cell>
          <cell r="C26">
            <v>559800</v>
          </cell>
        </row>
        <row r="27">
          <cell r="A27" t="str">
            <v>E*Trade-Real Time Acct Bal.</v>
          </cell>
          <cell r="C27">
            <v>1200</v>
          </cell>
        </row>
        <row r="28">
          <cell r="A28" t="str">
            <v>E*Trade-Retail Bus. Unit</v>
          </cell>
          <cell r="C28">
            <v>76100</v>
          </cell>
        </row>
        <row r="29">
          <cell r="A29" t="str">
            <v>E*Trade-Retail Projects</v>
          </cell>
          <cell r="C29">
            <v>187800</v>
          </cell>
        </row>
        <row r="30">
          <cell r="A30" t="str">
            <v>E*Trade-Stds/Arch/PO/Support</v>
          </cell>
          <cell r="C30">
            <v>299950</v>
          </cell>
        </row>
        <row r="31">
          <cell r="A31" t="str">
            <v>E*Trade-Trading Div. Products</v>
          </cell>
          <cell r="C31">
            <v>518980</v>
          </cell>
        </row>
        <row r="32">
          <cell r="A32" t="str">
            <v>E*Trade - Retro OT</v>
          </cell>
          <cell r="C32">
            <v>0</v>
          </cell>
        </row>
        <row r="33">
          <cell r="A33" t="str">
            <v>E*Trade-Total</v>
          </cell>
          <cell r="B33">
            <v>2132778.7000000002</v>
          </cell>
        </row>
        <row r="34">
          <cell r="A34" t="str">
            <v>E-Xact</v>
          </cell>
          <cell r="B34">
            <v>72937.5</v>
          </cell>
          <cell r="C34">
            <v>72937.5</v>
          </cell>
        </row>
        <row r="35">
          <cell r="A35" t="str">
            <v>Fixolutions</v>
          </cell>
          <cell r="B35">
            <v>25178.57</v>
          </cell>
          <cell r="C35">
            <v>25178.57</v>
          </cell>
        </row>
        <row r="36">
          <cell r="A36" t="str">
            <v xml:space="preserve">Gartner </v>
          </cell>
          <cell r="B36">
            <v>20925</v>
          </cell>
          <cell r="C36">
            <v>20925</v>
          </cell>
        </row>
        <row r="37">
          <cell r="A37" t="str">
            <v>Hartford-Claims InKownV. 990006</v>
          </cell>
          <cell r="B37" t="str">
            <v xml:space="preserve"> </v>
          </cell>
          <cell r="C37">
            <v>348285</v>
          </cell>
        </row>
        <row r="38">
          <cell r="A38" t="str">
            <v>Hartford-Claims InKownV. Perf. 990007</v>
          </cell>
          <cell r="C38">
            <v>33000</v>
          </cell>
        </row>
        <row r="39">
          <cell r="A39" t="str">
            <v>Hartford-Comm 990014</v>
          </cell>
          <cell r="C39">
            <v>20400</v>
          </cell>
        </row>
        <row r="40">
          <cell r="A40" t="str">
            <v>Hartford-CWS 990015</v>
          </cell>
          <cell r="C40">
            <v>27800</v>
          </cell>
        </row>
        <row r="41">
          <cell r="A41" t="str">
            <v>Hartford-Opt. Read. Impl. 990016</v>
          </cell>
          <cell r="C41">
            <v>8000</v>
          </cell>
        </row>
        <row r="42">
          <cell r="A42" t="str">
            <v>Hartford-Total</v>
          </cell>
          <cell r="B42">
            <v>437485</v>
          </cell>
        </row>
        <row r="43">
          <cell r="A43" t="str">
            <v>Hewlett-Packard</v>
          </cell>
          <cell r="B43">
            <v>60000</v>
          </cell>
          <cell r="C43">
            <v>60000</v>
          </cell>
        </row>
        <row r="44">
          <cell r="A44" t="str">
            <v>Hugeclick</v>
          </cell>
        </row>
        <row r="45">
          <cell r="A45" t="str">
            <v>IAN</v>
          </cell>
          <cell r="B45">
            <v>462500</v>
          </cell>
          <cell r="C45">
            <v>462500</v>
          </cell>
        </row>
        <row r="46">
          <cell r="A46" t="str">
            <v>InfoUSA</v>
          </cell>
          <cell r="B46">
            <v>126082.32</v>
          </cell>
          <cell r="C46">
            <v>126082.32</v>
          </cell>
        </row>
        <row r="47">
          <cell r="A47" t="str">
            <v>MN Market Place</v>
          </cell>
          <cell r="B47">
            <v>12500</v>
          </cell>
          <cell r="C47">
            <v>12500</v>
          </cell>
        </row>
        <row r="48">
          <cell r="A48" t="str">
            <v>Qwest-CMDSS</v>
          </cell>
          <cell r="C48">
            <v>207817.23</v>
          </cell>
        </row>
        <row r="49">
          <cell r="A49" t="str">
            <v>Qwest-Cust. DB Funct. Enhan.</v>
          </cell>
          <cell r="C49">
            <v>5932.4</v>
          </cell>
        </row>
        <row r="50">
          <cell r="A50" t="str">
            <v>Qwest-Web Strategy</v>
          </cell>
          <cell r="C50">
            <v>6800</v>
          </cell>
        </row>
        <row r="51">
          <cell r="A51" t="str">
            <v>Qwest-Total</v>
          </cell>
          <cell r="B51">
            <v>220549.63</v>
          </cell>
        </row>
        <row r="52">
          <cell r="A52" t="str">
            <v>SUN Intranet Portal</v>
          </cell>
          <cell r="B52">
            <v>34200</v>
          </cell>
          <cell r="C52">
            <v>34200</v>
          </cell>
        </row>
        <row r="53">
          <cell r="A53" t="str">
            <v>SUN PTE</v>
          </cell>
          <cell r="B53">
            <v>7250</v>
          </cell>
          <cell r="C53">
            <v>7250</v>
          </cell>
        </row>
        <row r="54">
          <cell r="A54" t="str">
            <v>Universal Studios</v>
          </cell>
          <cell r="B54">
            <v>13937.5</v>
          </cell>
          <cell r="C54">
            <v>13937.5</v>
          </cell>
        </row>
        <row r="55">
          <cell r="A55" t="str">
            <v xml:space="preserve">US West-Architecture Assess. </v>
          </cell>
          <cell r="C55">
            <v>79320.25</v>
          </cell>
        </row>
        <row r="56">
          <cell r="A56" t="str">
            <v xml:space="preserve">US West-C3PO </v>
          </cell>
          <cell r="C56">
            <v>170172.5</v>
          </cell>
        </row>
        <row r="57">
          <cell r="A57" t="str">
            <v>US West-E-COM Arch.</v>
          </cell>
          <cell r="C57">
            <v>23902</v>
          </cell>
        </row>
        <row r="58">
          <cell r="A58" t="str">
            <v>US West-E-COM Arch. Coord.</v>
          </cell>
          <cell r="C58">
            <v>9280</v>
          </cell>
        </row>
        <row r="59">
          <cell r="A59" t="str">
            <v>US West-Tools Inventory</v>
          </cell>
          <cell r="C59">
            <v>23568.75</v>
          </cell>
        </row>
        <row r="60">
          <cell r="A60" t="str">
            <v xml:space="preserve">US West-Total </v>
          </cell>
          <cell r="B60">
            <v>306243.5</v>
          </cell>
        </row>
        <row r="64">
          <cell r="A64" t="str">
            <v>Total Billable Production</v>
          </cell>
          <cell r="B64">
            <v>4342900.22</v>
          </cell>
          <cell r="C64">
            <v>4342900.22</v>
          </cell>
          <cell r="D64">
            <v>0</v>
          </cell>
        </row>
      </sheetData>
      <sheetData sheetId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01_05_v_Wicks_xls__01_05_v_Wic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 Summary"/>
      <sheetName val="Financials"/>
      <sheetName val="Debt"/>
      <sheetName val="Cap"/>
      <sheetName val="Consolidated"/>
      <sheetName val="Television"/>
      <sheetName val="Corporate"/>
      <sheetName val="Capex"/>
      <sheetName val="Tax"/>
      <sheetName val="Adj 2006"/>
      <sheetName val="Credit"/>
      <sheetName val="For Banks"/>
      <sheetName val="_01_05_v_Wicks_xls__01_05_v_Wi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 Yields"/>
      <sheetName val="Vector Output"/>
      <sheetName val="Portfolio"/>
      <sheetName val="Action Items"/>
      <sheetName val="Defense Comps"/>
      <sheetName val="Telecom"/>
      <sheetName val="WARF"/>
      <sheetName val="Template"/>
      <sheetName val="1"/>
      <sheetName val="2"/>
      <sheetName val="3"/>
      <sheetName val="4"/>
      <sheetName val="Credit Breakdown"/>
      <sheetName val="Auto EVs"/>
      <sheetName val="WARF Tracker"/>
      <sheetName val="Deal Multiples"/>
      <sheetName val="Status"/>
      <sheetName val="Output"/>
      <sheetName val="Graphs"/>
      <sheetName val="Inputs"/>
      <sheetName val="LBO Summary"/>
      <sheetName val="Tanning Assumptions"/>
      <sheetName val="IncStmt"/>
      <sheetName val="BS"/>
      <sheetName val="DCF"/>
    </sheetNames>
    <sheetDataSet>
      <sheetData sheetId="0"/>
      <sheetData sheetId="1"/>
      <sheetData sheetId="2" refreshError="1">
        <row r="2">
          <cell r="E2">
            <v>350.00000000000006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ly-by-night - Base"/>
      <sheetName val="Fly-by-night - problem 5"/>
      <sheetName val="Fly-by-night - problem 6"/>
      <sheetName val="Fly-by-night - Base with ltd"/>
      <sheetName val="Portfolio"/>
      <sheetName val="MASTER DRIVER"/>
      <sheetName val="LBO Summary"/>
      <sheetName val="IncStm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 Summary"/>
      <sheetName val="Financials"/>
      <sheetName val="Debt"/>
      <sheetName val="Cap"/>
      <sheetName val="Consolidated"/>
      <sheetName val="Television"/>
      <sheetName val="Corporate"/>
      <sheetName val="Capex"/>
      <sheetName val="Tax"/>
      <sheetName val="Credit"/>
      <sheetName val="Summary"/>
      <sheetName val="Segments"/>
      <sheetName val="Adjustments"/>
      <sheetName val="Fly-by-night - problem 5"/>
      <sheetName val="Inputs"/>
    </sheetNames>
    <sheetDataSet>
      <sheetData sheetId="0">
        <row r="130">
          <cell r="G130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al Info"/>
      <sheetName val="Qualitative Analysis"/>
      <sheetName val="Base"/>
      <sheetName val="EV_DCF Analysis"/>
      <sheetName val="VeCTOR Import"/>
      <sheetName val="Annual Summary"/>
      <sheetName val="LBO Summary"/>
      <sheetName val="Fly-by-night - problem 5"/>
      <sheetName val="Segment Info"/>
    </sheetNames>
    <sheetDataSet>
      <sheetData sheetId="0" refreshError="1"/>
      <sheetData sheetId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SUMMARY"/>
      <sheetName val="TRANSACTION"/>
      <sheetName val="Capital Structure"/>
      <sheetName val="DEBT DETAIL"/>
      <sheetName val="Sheet2"/>
      <sheetName val="Flat EBITDA"/>
      <sheetName val="Scenario Fan"/>
      <sheetName val="Sheet1"/>
      <sheetName val="Sheet1 (2)"/>
      <sheetName val="Case Comparison"/>
      <sheetName val="INCOME STATEMENT"/>
      <sheetName val="BALANCE SHEET"/>
      <sheetName val="CASH FLOW"/>
      <sheetName val="World Cup"/>
      <sheetName val="Taxes"/>
      <sheetName val="CAPEX &amp; INTANG"/>
      <sheetName val="Drivers"/>
      <sheetName val="WORKING CAPITAL"/>
      <sheetName val="Buildup"/>
      <sheetName val="S&amp;U"/>
      <sheetName val="TV Build"/>
      <sheetName val="TV Group"/>
      <sheetName val="UVN"/>
      <sheetName val="TLF"/>
      <sheetName val="Gala"/>
      <sheetName val="TV Station Group"/>
      <sheetName val="UTG"/>
      <sheetName val="TTG"/>
      <sheetName val="Radio Operating Build"/>
      <sheetName val="Radio Drivers"/>
      <sheetName val="Consolidated"/>
      <sheetName val="Market Build"/>
      <sheetName val="Other"/>
      <sheetName val="Overview"/>
      <sheetName val="Margin Bridge"/>
      <sheetName val="Projections Detail"/>
      <sheetName val="VeCTOR Import"/>
      <sheetName val="LBO Summary"/>
    </sheetNames>
    <sheetDataSet>
      <sheetData sheetId="0" refreshError="1"/>
      <sheetData sheetId="1" refreshError="1"/>
      <sheetData sheetId="2">
        <row r="2">
          <cell r="Q2">
            <v>36.25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reciation"/>
      <sheetName val="S&amp;U"/>
      <sheetName val="Sheet1"/>
      <sheetName val="1998 assump"/>
      <sheetName val="1997 assump"/>
      <sheetName val="******"/>
      <sheetName val="1998 P &amp; L"/>
      <sheetName val="1999 P &amp; L"/>
      <sheetName val="summ people"/>
      <sheetName val="people"/>
      <sheetName val="Sheet2"/>
      <sheetName val="B"/>
      <sheetName val="Sheet5"/>
      <sheetName val="Employees"/>
      <sheetName val="Reconcile"/>
      <sheetName val="D"/>
      <sheetName val="TRANSACTION"/>
      <sheetName val="VeCTOR Im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1">
          <cell r="A1" t="e">
            <v>#REF!</v>
          </cell>
        </row>
        <row r="4">
          <cell r="A4" t="str">
            <v>DL - Consultants vs. employees</v>
          </cell>
        </row>
        <row r="6">
          <cell r="C6" t="str">
            <v>Consulant</v>
          </cell>
          <cell r="D6" t="str">
            <v>Employee</v>
          </cell>
          <cell r="G6" t="str">
            <v>%</v>
          </cell>
        </row>
        <row r="7">
          <cell r="A7" t="str">
            <v>Q3 1996</v>
          </cell>
          <cell r="C7" t="str">
            <v>hours</v>
          </cell>
          <cell r="D7" t="str">
            <v>hours</v>
          </cell>
          <cell r="F7" t="str">
            <v>Total</v>
          </cell>
          <cell r="G7" t="str">
            <v xml:space="preserve"> Consultant</v>
          </cell>
        </row>
        <row r="8">
          <cell r="A8" t="str">
            <v>July</v>
          </cell>
          <cell r="C8">
            <v>2442</v>
          </cell>
          <cell r="D8">
            <v>6800</v>
          </cell>
          <cell r="F8">
            <v>9242</v>
          </cell>
          <cell r="G8">
            <v>0.26422852196494268</v>
          </cell>
        </row>
        <row r="9">
          <cell r="A9" t="str">
            <v>August</v>
          </cell>
          <cell r="C9">
            <v>2462</v>
          </cell>
          <cell r="D9">
            <v>7241</v>
          </cell>
          <cell r="F9">
            <v>9703</v>
          </cell>
          <cell r="G9">
            <v>0.25373595795114912</v>
          </cell>
        </row>
        <row r="10">
          <cell r="A10" t="str">
            <v>September</v>
          </cell>
          <cell r="C10">
            <v>2316</v>
          </cell>
          <cell r="D10">
            <v>7298</v>
          </cell>
          <cell r="F10">
            <v>9614</v>
          </cell>
          <cell r="G10">
            <v>0.24089868941127524</v>
          </cell>
        </row>
        <row r="11">
          <cell r="C11">
            <v>7220</v>
          </cell>
          <cell r="D11">
            <v>21339</v>
          </cell>
          <cell r="F11">
            <v>28559</v>
          </cell>
          <cell r="G11">
            <v>0.25280997233796704</v>
          </cell>
        </row>
        <row r="13">
          <cell r="A13" t="str">
            <v>Cost</v>
          </cell>
          <cell r="C13">
            <v>640000</v>
          </cell>
          <cell r="D13">
            <v>1189451</v>
          </cell>
          <cell r="F13">
            <v>1829451</v>
          </cell>
        </row>
        <row r="15">
          <cell r="A15" t="str">
            <v>Cost/hour</v>
          </cell>
          <cell r="C15">
            <v>88.6426592797784</v>
          </cell>
          <cell r="D15">
            <v>55.740709499039319</v>
          </cell>
          <cell r="F15">
            <v>64.058650512973145</v>
          </cell>
        </row>
        <row r="17">
          <cell r="A17" t="str">
            <v>1997 projected</v>
          </cell>
        </row>
        <row r="19">
          <cell r="C19" t="str">
            <v>Employees</v>
          </cell>
          <cell r="D19" t="str">
            <v>Consultants</v>
          </cell>
          <cell r="F19" t="str">
            <v>Total</v>
          </cell>
        </row>
        <row r="21">
          <cell r="A21" t="str">
            <v>Ratio of Employees/Consultants</v>
          </cell>
          <cell r="C21" t="e">
            <v>#REF!</v>
          </cell>
          <cell r="D21" t="e">
            <v>#REF!</v>
          </cell>
          <cell r="F21" t="e">
            <v>#REF!</v>
          </cell>
        </row>
        <row r="22">
          <cell r="A22" t="str">
            <v>Hours worked/FTE</v>
          </cell>
          <cell r="C22">
            <v>2080</v>
          </cell>
          <cell r="D22" t="e">
            <v>#REF!</v>
          </cell>
        </row>
        <row r="23">
          <cell r="A23" t="str">
            <v>Hours billed/FTE</v>
          </cell>
          <cell r="C23" t="e">
            <v>#REF!</v>
          </cell>
          <cell r="D23" t="e">
            <v>#REF!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ovCalcs Table"/>
      <sheetName val="IS Table"/>
      <sheetName val="BS Table"/>
      <sheetName val="SoCF Table"/>
      <sheetName val="RE &amp; DIVS Table"/>
      <sheetName val="Debt Table"/>
      <sheetName val="RE &amp; DIVS"/>
      <sheetName val="Debt"/>
      <sheetName val="BalSh Comb"/>
      <sheetName val="SoCF Comb"/>
      <sheetName val="IS Comb"/>
      <sheetName val="Covenant Summary"/>
      <sheetName val="UF P&amp;L-Mth"/>
      <sheetName val="Sheet1"/>
      <sheetName val="MASTER"/>
      <sheetName val="FC P&amp;L-Mth"/>
      <sheetName val="Headcount"/>
      <sheetName val="New FC Contracts"/>
      <sheetName val="UF Bal-Mth"/>
      <sheetName val="FC Bal-Mth"/>
      <sheetName val="Fixed Assets"/>
      <sheetName val="G&amp;A"/>
      <sheetName val="FC Contracts 2001"/>
      <sheetName val="End Model"/>
      <sheetName val="Combnd Hist BS"/>
      <sheetName val="UF Bal Sheet"/>
      <sheetName val="FC Bal Sheet"/>
      <sheetName val="UF P&amp;L Hist"/>
      <sheetName val="FC P&amp;L Hist"/>
      <sheetName val="UF2000"/>
      <sheetName val="UF2001"/>
      <sheetName val="FC2000"/>
      <sheetName val="FC2001"/>
      <sheetName val="vs. 2001 actuals"/>
      <sheetName val="Sheet3"/>
      <sheetName val="Equity Table"/>
      <sheetName val="Card Count Table"/>
      <sheetName val="BS Tables"/>
      <sheetName val="Concentr Table"/>
      <sheetName val="BS Analysis"/>
      <sheetName val="Table 5"/>
      <sheetName val="Table 4"/>
      <sheetName val="Table 3"/>
      <sheetName val="Table 2"/>
      <sheetName val="Table 1"/>
      <sheetName val="DCF"/>
      <sheetName val="top50hotels"/>
      <sheetName val="Sheet5"/>
      <sheetName val="D"/>
      <sheetName val="MASTER DRIV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OBS - MEDCON"/>
      <sheetName val="OBS - REFI"/>
      <sheetName val="AFS"/>
      <sheetName val="MBS"/>
      <sheetName val="MMIS (2)"/>
      <sheetName val="WHEC"/>
      <sheetName val="MIS"/>
      <sheetName val="MCF"/>
      <sheetName val="PACING06"/>
      <sheetName val="D&amp;A"/>
      <sheetName val="D&amp;A (2)"/>
      <sheetName val="DEBT"/>
      <sheetName val="CHARTS&gt;&gt;&gt;"/>
      <sheetName val="S&amp;U_CAP_MERGER"/>
      <sheetName val="S&amp;U_CAP_REFI"/>
      <sheetName val="MEDCON IS"/>
      <sheetName val="SUM IS"/>
      <sheetName val="PF IS"/>
      <sheetName val="PF BS"/>
      <sheetName val="COVS"/>
      <sheetName val="ECF"/>
      <sheetName val="Bridge"/>
      <sheetName val="HoldCo INT"/>
      <sheetName val="PACING05"/>
      <sheetName val="MASTER"/>
    </sheetNames>
    <sheetDataSet>
      <sheetData sheetId="0"/>
      <sheetData sheetId="1" refreshError="1">
        <row r="2">
          <cell r="A2" t="str">
            <v>JMI / WMI Combination and Refinancing Model</v>
          </cell>
          <cell r="AE2" t="str">
            <v>v TD4.06</v>
          </cell>
        </row>
      </sheetData>
      <sheetData sheetId="2"/>
      <sheetData sheetId="3" refreshError="1">
        <row r="5">
          <cell r="AP5">
            <v>1</v>
          </cell>
        </row>
      </sheetData>
      <sheetData sheetId="4"/>
      <sheetData sheetId="5"/>
      <sheetData sheetId="6"/>
      <sheetData sheetId="7" refreshError="1">
        <row r="2">
          <cell r="AX2">
            <v>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CONTROL"/>
      <sheetName val="OBS - REFI"/>
      <sheetName val="WH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5">
          <cell r="C5">
            <v>9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AFS"/>
      <sheetName val="MIS"/>
      <sheetName val="MBS"/>
      <sheetName val="MCF"/>
      <sheetName val="DEBT"/>
      <sheetName val="D&amp;A"/>
      <sheetName val="COVS_ACTUAL"/>
      <sheetName val="COVS"/>
      <sheetName val="PACING05"/>
      <sheetName val="PACING06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CF"/>
      <sheetName val="DCFnew"/>
      <sheetName val="COVS_ACTUAL"/>
      <sheetName val="D&amp;A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CC1DA-209B-460D-BD51-7B73E91912F5}">
  <dimension ref="A1:I62"/>
  <sheetViews>
    <sheetView showGridLines="0" tabSelected="1" zoomScale="115" zoomScaleNormal="115" workbookViewId="0">
      <selection activeCell="L10" sqref="L10"/>
    </sheetView>
  </sheetViews>
  <sheetFormatPr defaultRowHeight="12.75"/>
  <cols>
    <col min="2" max="2" width="53.85546875" customWidth="1"/>
    <col min="3" max="6" width="14.5703125" customWidth="1"/>
    <col min="8" max="8" width="33.42578125" bestFit="1" customWidth="1"/>
    <col min="9" max="9" width="13" customWidth="1"/>
  </cols>
  <sheetData>
    <row r="1" spans="1:9">
      <c r="A1" s="7"/>
      <c r="B1" s="8"/>
      <c r="C1" s="8"/>
      <c r="D1" s="8"/>
      <c r="E1" s="8"/>
      <c r="F1" s="8"/>
      <c r="G1" s="8"/>
      <c r="H1" s="74"/>
      <c r="I1" s="75"/>
    </row>
    <row r="2" spans="1:9">
      <c r="A2" s="8"/>
      <c r="B2" s="8"/>
      <c r="C2" s="8"/>
      <c r="D2" s="8"/>
      <c r="E2" s="8"/>
      <c r="F2" s="8"/>
      <c r="G2" s="8"/>
      <c r="H2" s="74"/>
      <c r="I2" s="75"/>
    </row>
    <row r="3" spans="1:9">
      <c r="A3" s="108" t="s">
        <v>218</v>
      </c>
      <c r="B3" s="111"/>
      <c r="C3" s="111"/>
      <c r="D3" s="111"/>
      <c r="E3" s="111"/>
      <c r="F3" s="111"/>
      <c r="G3" s="111"/>
      <c r="H3" s="110" t="s">
        <v>222</v>
      </c>
      <c r="I3" s="132">
        <f>Model!$L$288</f>
        <v>0.14737307493920862</v>
      </c>
    </row>
    <row r="4" spans="1:9">
      <c r="A4" s="111"/>
      <c r="B4" s="111"/>
      <c r="C4" s="111"/>
      <c r="D4" s="111"/>
      <c r="E4" s="111"/>
      <c r="F4" s="111"/>
      <c r="G4" s="111"/>
      <c r="H4" s="110" t="s">
        <v>174</v>
      </c>
      <c r="I4" s="132">
        <f>Model!$L$287</f>
        <v>0.14729926792263842</v>
      </c>
    </row>
    <row r="5" spans="1:9">
      <c r="A5" s="111"/>
      <c r="B5" s="111"/>
      <c r="C5" s="111"/>
      <c r="D5" s="111"/>
      <c r="E5" s="111"/>
      <c r="F5" s="111"/>
      <c r="G5" s="111"/>
      <c r="H5" s="110"/>
      <c r="I5" s="111"/>
    </row>
    <row r="6" spans="1:9">
      <c r="A6" s="111"/>
      <c r="B6" s="111"/>
      <c r="C6" s="111"/>
      <c r="D6" s="111"/>
      <c r="E6" s="111"/>
      <c r="F6" s="111"/>
      <c r="G6" s="111"/>
      <c r="H6" s="110"/>
      <c r="I6" s="111"/>
    </row>
    <row r="7" spans="1:9">
      <c r="A7" s="111"/>
      <c r="B7" s="123" t="s">
        <v>219</v>
      </c>
      <c r="C7" s="124" t="s">
        <v>215</v>
      </c>
      <c r="D7" s="124" t="s">
        <v>85</v>
      </c>
      <c r="E7" s="125" t="s">
        <v>106</v>
      </c>
      <c r="F7" s="125" t="s">
        <v>93</v>
      </c>
      <c r="G7" s="108"/>
      <c r="H7" s="110"/>
      <c r="I7" s="111"/>
    </row>
    <row r="8" spans="1:9">
      <c r="A8" s="111"/>
      <c r="B8" s="113"/>
      <c r="C8" s="114"/>
      <c r="D8" s="114"/>
      <c r="E8" s="115"/>
      <c r="F8" s="115"/>
      <c r="G8" s="115"/>
      <c r="H8" s="110"/>
      <c r="I8" s="111"/>
    </row>
    <row r="9" spans="1:9">
      <c r="A9" s="111"/>
      <c r="B9" s="117" t="s">
        <v>210</v>
      </c>
      <c r="C9" s="22">
        <f>SUM(C10:C13)</f>
        <v>629.76900000000001</v>
      </c>
      <c r="D9" s="22">
        <f>SUM(D10:D13)</f>
        <v>92.764512660372077</v>
      </c>
      <c r="E9" s="115"/>
      <c r="F9" s="115"/>
      <c r="G9" s="115"/>
      <c r="H9" s="110"/>
      <c r="I9" s="111"/>
    </row>
    <row r="10" spans="1:9">
      <c r="A10" s="111"/>
      <c r="B10" s="109" t="s">
        <v>211</v>
      </c>
      <c r="C10" s="18">
        <v>337.10300000000001</v>
      </c>
      <c r="D10" s="19">
        <f>C10*$I$4</f>
        <v>49.655025114525181</v>
      </c>
      <c r="E10" s="115"/>
      <c r="F10" s="115"/>
      <c r="G10" s="115"/>
      <c r="H10" s="110"/>
      <c r="I10" s="111"/>
    </row>
    <row r="11" spans="1:9">
      <c r="A11" s="111"/>
      <c r="B11" s="109" t="s">
        <v>212</v>
      </c>
      <c r="C11" s="18">
        <v>113.333</v>
      </c>
      <c r="D11" s="19">
        <f t="shared" ref="D11:D13" si="0">C11*$I$4</f>
        <v>16.69386793147638</v>
      </c>
      <c r="E11" s="115"/>
      <c r="F11" s="115"/>
      <c r="G11" s="115"/>
      <c r="H11" s="110"/>
      <c r="I11" s="111"/>
    </row>
    <row r="12" spans="1:9">
      <c r="A12" s="111"/>
      <c r="B12" s="109" t="s">
        <v>213</v>
      </c>
      <c r="C12" s="18">
        <v>79.332999999999998</v>
      </c>
      <c r="D12" s="19">
        <f t="shared" si="0"/>
        <v>11.685692822106674</v>
      </c>
      <c r="E12" s="115"/>
      <c r="F12" s="115"/>
      <c r="G12" s="115"/>
      <c r="H12" s="110"/>
      <c r="I12" s="111"/>
    </row>
    <row r="13" spans="1:9">
      <c r="A13" s="111"/>
      <c r="B13" s="109" t="s">
        <v>214</v>
      </c>
      <c r="C13" s="18">
        <v>100</v>
      </c>
      <c r="D13" s="19">
        <f t="shared" si="0"/>
        <v>14.729926792263843</v>
      </c>
      <c r="E13" s="115"/>
      <c r="F13" s="115"/>
      <c r="G13" s="115"/>
      <c r="H13" s="110"/>
      <c r="I13" s="111"/>
    </row>
    <row r="14" spans="1:9">
      <c r="A14" s="111"/>
      <c r="B14" s="109"/>
      <c r="C14" s="18"/>
      <c r="D14" s="18"/>
      <c r="E14" s="115"/>
      <c r="F14" s="115"/>
      <c r="G14" s="115"/>
      <c r="H14" s="110"/>
      <c r="I14" s="111"/>
    </row>
    <row r="15" spans="1:9">
      <c r="A15" s="111"/>
      <c r="B15" s="117" t="s">
        <v>216</v>
      </c>
      <c r="C15" s="22">
        <f>SUM(C16:C18)</f>
        <v>2604.0789999999997</v>
      </c>
      <c r="D15" s="22">
        <f>SUM(D16:D18)</f>
        <v>383.5789303127163</v>
      </c>
      <c r="E15" s="115"/>
      <c r="F15" s="115"/>
      <c r="G15" s="115"/>
      <c r="H15" s="110"/>
      <c r="I15" s="111"/>
    </row>
    <row r="16" spans="1:9">
      <c r="A16" s="111"/>
      <c r="B16" s="109" t="s">
        <v>211</v>
      </c>
      <c r="C16" s="18">
        <v>1666.1089999999999</v>
      </c>
      <c r="D16" s="19">
        <f t="shared" ref="D16:D18" si="1">C16*$I$4</f>
        <v>245.41663597931915</v>
      </c>
      <c r="E16" s="115"/>
      <c r="F16" s="115"/>
      <c r="G16" s="115"/>
      <c r="H16" s="110"/>
      <c r="I16" s="111"/>
    </row>
    <row r="17" spans="1:9">
      <c r="A17" s="111"/>
      <c r="B17" s="109" t="s">
        <v>212</v>
      </c>
      <c r="C17" s="18">
        <v>560.51800000000003</v>
      </c>
      <c r="D17" s="19">
        <f t="shared" si="1"/>
        <v>82.563891057461447</v>
      </c>
      <c r="E17" s="115"/>
      <c r="F17" s="115"/>
      <c r="G17" s="115"/>
      <c r="H17" s="110"/>
      <c r="I17" s="111"/>
    </row>
    <row r="18" spans="1:9">
      <c r="A18" s="111"/>
      <c r="B18" s="109" t="s">
        <v>213</v>
      </c>
      <c r="C18" s="18">
        <v>377.452</v>
      </c>
      <c r="D18" s="19">
        <f t="shared" si="1"/>
        <v>55.598403275935716</v>
      </c>
      <c r="E18" s="115"/>
      <c r="F18" s="115"/>
      <c r="G18" s="115"/>
      <c r="H18" s="110"/>
      <c r="I18" s="111"/>
    </row>
    <row r="19" spans="1:9">
      <c r="A19" s="111"/>
      <c r="B19" s="109"/>
      <c r="C19" s="18"/>
      <c r="D19" s="18"/>
      <c r="E19" s="115"/>
      <c r="F19" s="115"/>
      <c r="G19" s="115"/>
      <c r="H19" s="110"/>
      <c r="I19" s="111"/>
    </row>
    <row r="20" spans="1:9">
      <c r="A20" s="111"/>
      <c r="B20" s="109"/>
      <c r="C20" s="18"/>
      <c r="D20" s="18"/>
      <c r="E20" s="115"/>
      <c r="F20" s="115"/>
      <c r="G20" s="115"/>
    </row>
    <row r="21" spans="1:9">
      <c r="A21" s="111"/>
      <c r="B21" s="117" t="s">
        <v>90</v>
      </c>
      <c r="C21" s="22">
        <f>SUM(C22:C23)</f>
        <v>40.536000000000001</v>
      </c>
      <c r="D21" s="22">
        <f>SUM(D22:D23)</f>
        <v>5.9709231245120709</v>
      </c>
      <c r="E21" s="115"/>
      <c r="F21" s="115"/>
      <c r="G21" s="115"/>
    </row>
    <row r="22" spans="1:9">
      <c r="A22" s="111"/>
      <c r="B22" s="109" t="s">
        <v>91</v>
      </c>
      <c r="C22" s="18">
        <v>9.6159999999999997</v>
      </c>
      <c r="D22" s="19">
        <f t="shared" ref="D22:D23" si="2">C22*$I$4</f>
        <v>1.416429760344091</v>
      </c>
      <c r="E22" s="115"/>
      <c r="F22" s="115"/>
      <c r="G22" s="115"/>
    </row>
    <row r="23" spans="1:9">
      <c r="A23" s="111"/>
      <c r="B23" s="109" t="s">
        <v>92</v>
      </c>
      <c r="C23" s="18">
        <v>30.92</v>
      </c>
      <c r="D23" s="19">
        <f t="shared" si="2"/>
        <v>4.5544933641679801</v>
      </c>
      <c r="E23" s="115"/>
      <c r="F23" s="115"/>
      <c r="G23" s="115"/>
    </row>
    <row r="24" spans="1:9">
      <c r="A24" s="111"/>
      <c r="B24" s="113"/>
      <c r="C24" s="127"/>
      <c r="D24" s="127"/>
      <c r="E24" s="115"/>
      <c r="F24" s="115"/>
      <c r="G24" s="115"/>
      <c r="H24" s="111"/>
      <c r="I24" s="111"/>
    </row>
    <row r="25" spans="1:9">
      <c r="A25" s="111"/>
      <c r="B25" s="118" t="s">
        <v>43</v>
      </c>
      <c r="C25" s="129">
        <f>C9+C15+C21</f>
        <v>3274.384</v>
      </c>
      <c r="D25" s="129">
        <f>D9+D15+D21</f>
        <v>482.31436609760044</v>
      </c>
      <c r="E25" s="64">
        <f>C25/C30</f>
        <v>3.6204361483696128</v>
      </c>
      <c r="F25" s="64">
        <f>D25/D30</f>
        <v>3.6186229705492794</v>
      </c>
      <c r="G25" s="111"/>
      <c r="H25" s="108"/>
      <c r="I25" s="108"/>
    </row>
    <row r="26" spans="1:9">
      <c r="A26" s="111"/>
      <c r="B26" s="111" t="s">
        <v>49</v>
      </c>
      <c r="C26" s="164">
        <f>Model!$L$191</f>
        <v>257.255</v>
      </c>
      <c r="D26" s="19">
        <f t="shared" ref="D26" si="3">C26*$I$4</f>
        <v>37.893473169438344</v>
      </c>
      <c r="E26" s="115"/>
      <c r="F26" s="115"/>
      <c r="G26" s="111"/>
      <c r="H26" s="111"/>
      <c r="I26" s="111"/>
    </row>
    <row r="27" spans="1:9">
      <c r="A27" s="111"/>
      <c r="B27" s="118" t="s">
        <v>23</v>
      </c>
      <c r="C27" s="129">
        <f>C25-C26</f>
        <v>3017.1289999999999</v>
      </c>
      <c r="D27" s="129">
        <f>D25-D26</f>
        <v>444.42089292816212</v>
      </c>
      <c r="E27" s="64">
        <f>C27/C30</f>
        <v>3.3359932420553791</v>
      </c>
      <c r="F27" s="64">
        <f>D27/D30</f>
        <v>3.3343225182233902</v>
      </c>
      <c r="G27" s="111"/>
      <c r="H27" s="111"/>
      <c r="I27" s="111"/>
    </row>
    <row r="28" spans="1:9">
      <c r="A28" s="111"/>
      <c r="B28" s="111" t="s">
        <v>44</v>
      </c>
      <c r="C28" s="164">
        <f>Model!$L$202</f>
        <v>652.21</v>
      </c>
      <c r="D28" s="19">
        <f t="shared" ref="D28" si="4">C28*$I$4</f>
        <v>96.070055531824011</v>
      </c>
      <c r="E28" s="115"/>
      <c r="F28" s="115"/>
      <c r="G28" s="111"/>
      <c r="H28" s="108"/>
      <c r="I28" s="119"/>
    </row>
    <row r="29" spans="1:9">
      <c r="A29" s="111"/>
      <c r="B29" s="108" t="s">
        <v>45</v>
      </c>
      <c r="C29" s="128">
        <f>SUM(C28,C25)</f>
        <v>3926.5940000000001</v>
      </c>
      <c r="D29" s="128">
        <f>SUM(D28,D25)</f>
        <v>578.38442162942442</v>
      </c>
      <c r="E29" s="126"/>
      <c r="F29" s="126"/>
      <c r="G29" s="111"/>
    </row>
    <row r="30" spans="1:9" s="91" customFormat="1">
      <c r="A30" s="108"/>
      <c r="B30" s="108" t="s">
        <v>52</v>
      </c>
      <c r="C30" s="128">
        <f>Model!$L$159</f>
        <v>904.41700000000003</v>
      </c>
      <c r="D30" s="128">
        <f>C30*$I$3</f>
        <v>133.28671431729424</v>
      </c>
      <c r="E30" s="126"/>
      <c r="F30" s="126"/>
      <c r="G30" s="108"/>
    </row>
    <row r="31" spans="1:9">
      <c r="A31" s="111"/>
      <c r="B31" s="112" t="s">
        <v>47</v>
      </c>
      <c r="C31" s="130">
        <f>C25-Model!$L$190</f>
        <v>0</v>
      </c>
      <c r="D31" s="115"/>
      <c r="E31" s="115"/>
      <c r="F31" s="115"/>
      <c r="G31" s="111"/>
    </row>
    <row r="32" spans="1:9">
      <c r="A32" s="111"/>
      <c r="D32" s="112"/>
      <c r="E32" s="111"/>
      <c r="F32" s="111"/>
      <c r="G32" s="111"/>
    </row>
    <row r="33" spans="1:9" ht="13.5" thickBot="1">
      <c r="A33" s="111"/>
      <c r="B33" s="111"/>
      <c r="C33" s="111"/>
      <c r="D33" s="111"/>
      <c r="E33" s="111"/>
      <c r="F33" s="111"/>
      <c r="G33" s="111"/>
    </row>
    <row r="34" spans="1:9">
      <c r="A34" s="111"/>
      <c r="B34" s="131" t="s">
        <v>224</v>
      </c>
      <c r="C34" s="166" t="s">
        <v>215</v>
      </c>
      <c r="D34" s="166" t="s">
        <v>85</v>
      </c>
      <c r="E34" s="111"/>
      <c r="F34" s="111"/>
      <c r="G34" s="111"/>
    </row>
    <row r="35" spans="1:9">
      <c r="A35" s="111"/>
      <c r="B35" s="116" t="s">
        <v>223</v>
      </c>
      <c r="C35" s="168">
        <v>4.5110000000000001</v>
      </c>
      <c r="D35" s="167">
        <f>C35*$I$4</f>
        <v>0.66446699759902195</v>
      </c>
      <c r="E35" s="111"/>
      <c r="F35" s="111"/>
      <c r="G35" s="111"/>
    </row>
    <row r="36" spans="1:9">
      <c r="A36" s="111"/>
      <c r="B36" s="116" t="s">
        <v>225</v>
      </c>
      <c r="C36" s="168">
        <v>252.744</v>
      </c>
      <c r="D36" s="167">
        <f t="shared" ref="D36:D39" si="5">C36*$I$4</f>
        <v>37.229006171839323</v>
      </c>
      <c r="E36" s="111"/>
      <c r="F36" s="111"/>
      <c r="G36" s="111"/>
    </row>
    <row r="37" spans="1:9">
      <c r="A37" s="111"/>
      <c r="B37" s="116" t="s">
        <v>226</v>
      </c>
      <c r="C37" s="168">
        <v>6.9880000000000004</v>
      </c>
      <c r="D37" s="167">
        <f t="shared" si="5"/>
        <v>1.0293272842433974</v>
      </c>
      <c r="E37" s="111"/>
      <c r="F37" s="111"/>
      <c r="G37" s="111"/>
    </row>
    <row r="38" spans="1:9">
      <c r="A38" s="111"/>
      <c r="B38" s="207" t="s">
        <v>227</v>
      </c>
      <c r="C38" s="208">
        <f>SUM(C35:C37)</f>
        <v>264.24299999999999</v>
      </c>
      <c r="D38" s="208">
        <f>SUM(D35:D37)</f>
        <v>38.922800453681745</v>
      </c>
      <c r="E38" s="111"/>
      <c r="F38" s="111"/>
      <c r="G38" s="111"/>
    </row>
    <row r="39" spans="1:9">
      <c r="A39" s="111"/>
      <c r="B39" s="116" t="s">
        <v>228</v>
      </c>
      <c r="C39" s="168">
        <v>-6.9880000000000004</v>
      </c>
      <c r="D39" s="167">
        <f t="shared" si="5"/>
        <v>-1.0293272842433974</v>
      </c>
      <c r="E39" s="111"/>
      <c r="F39" s="111"/>
      <c r="G39" s="111"/>
    </row>
    <row r="40" spans="1:9" ht="13.5" thickBot="1">
      <c r="A40" s="111"/>
      <c r="B40" s="120" t="s">
        <v>229</v>
      </c>
      <c r="C40" s="173">
        <f>C38+C39</f>
        <v>257.255</v>
      </c>
      <c r="D40" s="173">
        <f>D38+D39</f>
        <v>37.893473169438344</v>
      </c>
      <c r="E40" s="111"/>
      <c r="F40" s="111"/>
      <c r="G40" s="111"/>
    </row>
    <row r="41" spans="1:9">
      <c r="A41" s="111"/>
      <c r="B41" s="112" t="s">
        <v>47</v>
      </c>
      <c r="C41" s="130">
        <f>C40-C26</f>
        <v>0</v>
      </c>
      <c r="D41" s="206"/>
      <c r="E41" s="111"/>
      <c r="F41" s="111"/>
      <c r="G41" s="111"/>
    </row>
    <row r="42" spans="1:9">
      <c r="A42" s="111"/>
      <c r="B42" s="108"/>
      <c r="C42" s="206"/>
      <c r="D42" s="206"/>
      <c r="E42" s="111"/>
      <c r="F42" s="111"/>
      <c r="G42" s="111"/>
    </row>
    <row r="43" spans="1:9" ht="13.5" thickBot="1">
      <c r="A43" s="111"/>
      <c r="B43" s="111"/>
      <c r="C43" s="111"/>
      <c r="D43" s="111"/>
      <c r="E43" s="111"/>
      <c r="F43" s="111"/>
      <c r="G43" s="111"/>
      <c r="H43" s="111"/>
      <c r="I43" s="111"/>
    </row>
    <row r="44" spans="1:9">
      <c r="B44" s="131" t="s">
        <v>217</v>
      </c>
      <c r="C44" s="166" t="s">
        <v>215</v>
      </c>
      <c r="D44" s="166" t="s">
        <v>85</v>
      </c>
    </row>
    <row r="45" spans="1:9">
      <c r="B45" s="116" t="s">
        <v>220</v>
      </c>
      <c r="C45" s="168">
        <v>2003.212</v>
      </c>
      <c r="D45" s="167">
        <f>C45*$I$4</f>
        <v>295.07166109384434</v>
      </c>
    </row>
    <row r="46" spans="1:9">
      <c r="B46" s="116" t="s">
        <v>221</v>
      </c>
      <c r="C46" s="168">
        <v>1230.636</v>
      </c>
      <c r="D46" s="167">
        <f>C46*$I$4</f>
        <v>181.27178187924406</v>
      </c>
    </row>
    <row r="47" spans="1:9" ht="13.5" thickBot="1">
      <c r="B47" s="120" t="s">
        <v>122</v>
      </c>
      <c r="C47" s="173">
        <f>SUM(C45:C46)</f>
        <v>3233.848</v>
      </c>
      <c r="D47" s="173">
        <f>SUM(D45:D46)</f>
        <v>476.34344297308837</v>
      </c>
    </row>
    <row r="48" spans="1:9">
      <c r="B48" s="112" t="s">
        <v>47</v>
      </c>
      <c r="C48" s="130">
        <f>C47-C9-C15</f>
        <v>0</v>
      </c>
    </row>
    <row r="49" spans="2:4">
      <c r="B49" s="112"/>
      <c r="C49" s="130"/>
    </row>
    <row r="50" spans="2:4" ht="13.5" thickBot="1"/>
    <row r="51" spans="2:4" ht="25.5">
      <c r="B51" s="165" t="s">
        <v>231</v>
      </c>
      <c r="C51" s="209" t="s">
        <v>215</v>
      </c>
      <c r="D51" s="169" t="s">
        <v>85</v>
      </c>
    </row>
    <row r="52" spans="2:4">
      <c r="B52" s="121" t="s">
        <v>232</v>
      </c>
      <c r="C52" s="18">
        <v>908.32399999999996</v>
      </c>
      <c r="D52" s="167">
        <f>C52*$I$4</f>
        <v>133.7954602365626</v>
      </c>
    </row>
    <row r="53" spans="2:4">
      <c r="B53" s="121" t="s">
        <v>233</v>
      </c>
      <c r="C53" s="18">
        <v>2993.165</v>
      </c>
      <c r="D53" s="167">
        <f t="shared" ref="D53:D54" si="6">C53*$I$4</f>
        <v>440.89101327166401</v>
      </c>
    </row>
    <row r="54" spans="2:4" ht="13.5" thickBot="1">
      <c r="B54" s="121" t="s">
        <v>234</v>
      </c>
      <c r="C54" s="18">
        <v>0</v>
      </c>
      <c r="D54" s="167">
        <f t="shared" si="6"/>
        <v>0</v>
      </c>
    </row>
    <row r="55" spans="2:4" ht="13.5" thickBot="1">
      <c r="B55" s="122" t="s">
        <v>122</v>
      </c>
      <c r="C55" s="133">
        <f>SUM(C52:C54)</f>
        <v>3901.489</v>
      </c>
      <c r="D55" s="133">
        <f>SUM(D52:D54)</f>
        <v>574.68647350822664</v>
      </c>
    </row>
    <row r="56" spans="2:4">
      <c r="C56" s="111"/>
      <c r="D56" s="111"/>
    </row>
    <row r="57" spans="2:4" ht="13.5" thickBot="1">
      <c r="C57" s="82"/>
    </row>
    <row r="58" spans="2:4" ht="25.5">
      <c r="B58" s="165" t="s">
        <v>235</v>
      </c>
      <c r="C58" s="209" t="s">
        <v>215</v>
      </c>
      <c r="D58" s="169" t="s">
        <v>85</v>
      </c>
    </row>
    <row r="59" spans="2:4">
      <c r="B59" s="121" t="s">
        <v>232</v>
      </c>
      <c r="C59" s="18">
        <v>9.6159999999999997</v>
      </c>
      <c r="D59" s="167">
        <f>C59*$I$4</f>
        <v>1.416429760344091</v>
      </c>
    </row>
    <row r="60" spans="2:4">
      <c r="B60" s="121" t="s">
        <v>233</v>
      </c>
      <c r="C60" s="18">
        <v>13.592000000000001</v>
      </c>
      <c r="D60" s="167">
        <f t="shared" ref="D60:D61" si="7">C60*$I$4</f>
        <v>2.0020916496045014</v>
      </c>
    </row>
    <row r="61" spans="2:4" ht="13.5" thickBot="1">
      <c r="B61" s="121" t="s">
        <v>234</v>
      </c>
      <c r="C61" s="18">
        <v>17.327999999999999</v>
      </c>
      <c r="D61" s="167">
        <f t="shared" si="7"/>
        <v>2.5524017145634783</v>
      </c>
    </row>
    <row r="62" spans="2:4" ht="13.5" thickBot="1">
      <c r="B62" s="122" t="s">
        <v>122</v>
      </c>
      <c r="C62" s="133">
        <f>SUM(C59:C61)</f>
        <v>40.536000000000001</v>
      </c>
      <c r="D62" s="133">
        <f>SUM(D59:D61)</f>
        <v>5.9709231245120709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6154E-A981-49A0-81F8-1BB1F61D5074}">
  <dimension ref="B2:Q368"/>
  <sheetViews>
    <sheetView showGridLines="0" zoomScale="115" zoomScaleNormal="115" workbookViewId="0">
      <pane xSplit="2" ySplit="6" topLeftCell="C7" activePane="bottomRight" state="frozen"/>
      <selection activeCell="G2" sqref="G2"/>
      <selection pane="topRight" activeCell="G2" sqref="G2"/>
      <selection pane="bottomLeft" activeCell="G2" sqref="G2"/>
      <selection pane="bottomRight" activeCell="D200" sqref="D200"/>
    </sheetView>
  </sheetViews>
  <sheetFormatPr defaultColWidth="11.42578125" defaultRowHeight="12.75"/>
  <cols>
    <col min="1" max="1" width="2.7109375" style="16" customWidth="1"/>
    <col min="2" max="2" width="50.7109375" style="16" customWidth="1"/>
    <col min="3" max="6" width="12.7109375" style="16" customWidth="1"/>
    <col min="7" max="7" width="12.7109375" customWidth="1"/>
    <col min="8" max="8" width="12.7109375" style="16" customWidth="1"/>
    <col min="9" max="11" width="12.7109375" style="16" hidden="1" customWidth="1"/>
    <col min="12" max="13" width="12.7109375" style="16" customWidth="1"/>
    <col min="14" max="14" width="12.140625" style="16" customWidth="1"/>
    <col min="15" max="15" width="11.85546875" style="16" bestFit="1" customWidth="1"/>
    <col min="16" max="230" width="11.42578125" style="16"/>
    <col min="231" max="231" width="3.5703125" style="16" customWidth="1"/>
    <col min="232" max="232" width="13.28515625" style="16" customWidth="1"/>
    <col min="233" max="240" width="11.42578125" style="16" customWidth="1"/>
    <col min="241" max="241" width="9.7109375" style="16" bestFit="1" customWidth="1"/>
    <col min="242" max="245" width="0" style="16" hidden="1" customWidth="1"/>
    <col min="246" max="254" width="11.42578125" style="16" customWidth="1"/>
    <col min="255" max="486" width="11.42578125" style="16"/>
    <col min="487" max="487" width="3.5703125" style="16" customWidth="1"/>
    <col min="488" max="488" width="13.28515625" style="16" customWidth="1"/>
    <col min="489" max="496" width="11.42578125" style="16" customWidth="1"/>
    <col min="497" max="497" width="9.7109375" style="16" bestFit="1" customWidth="1"/>
    <col min="498" max="501" width="0" style="16" hidden="1" customWidth="1"/>
    <col min="502" max="510" width="11.42578125" style="16" customWidth="1"/>
    <col min="511" max="742" width="11.42578125" style="16"/>
    <col min="743" max="743" width="3.5703125" style="16" customWidth="1"/>
    <col min="744" max="744" width="13.28515625" style="16" customWidth="1"/>
    <col min="745" max="752" width="11.42578125" style="16" customWidth="1"/>
    <col min="753" max="753" width="9.7109375" style="16" bestFit="1" customWidth="1"/>
    <col min="754" max="757" width="0" style="16" hidden="1" customWidth="1"/>
    <col min="758" max="766" width="11.42578125" style="16" customWidth="1"/>
    <col min="767" max="998" width="11.42578125" style="16"/>
    <col min="999" max="999" width="3.5703125" style="16" customWidth="1"/>
    <col min="1000" max="1000" width="13.28515625" style="16" customWidth="1"/>
    <col min="1001" max="1008" width="11.42578125" style="16" customWidth="1"/>
    <col min="1009" max="1009" width="9.7109375" style="16" bestFit="1" customWidth="1"/>
    <col min="1010" max="1013" width="0" style="16" hidden="1" customWidth="1"/>
    <col min="1014" max="1022" width="11.42578125" style="16" customWidth="1"/>
    <col min="1023" max="1254" width="11.42578125" style="16"/>
    <col min="1255" max="1255" width="3.5703125" style="16" customWidth="1"/>
    <col min="1256" max="1256" width="13.28515625" style="16" customWidth="1"/>
    <col min="1257" max="1264" width="11.42578125" style="16" customWidth="1"/>
    <col min="1265" max="1265" width="9.7109375" style="16" bestFit="1" customWidth="1"/>
    <col min="1266" max="1269" width="0" style="16" hidden="1" customWidth="1"/>
    <col min="1270" max="1278" width="11.42578125" style="16" customWidth="1"/>
    <col min="1279" max="1510" width="11.42578125" style="16"/>
    <col min="1511" max="1511" width="3.5703125" style="16" customWidth="1"/>
    <col min="1512" max="1512" width="13.28515625" style="16" customWidth="1"/>
    <col min="1513" max="1520" width="11.42578125" style="16" customWidth="1"/>
    <col min="1521" max="1521" width="9.7109375" style="16" bestFit="1" customWidth="1"/>
    <col min="1522" max="1525" width="0" style="16" hidden="1" customWidth="1"/>
    <col min="1526" max="1534" width="11.42578125" style="16" customWidth="1"/>
    <col min="1535" max="1766" width="11.42578125" style="16"/>
    <col min="1767" max="1767" width="3.5703125" style="16" customWidth="1"/>
    <col min="1768" max="1768" width="13.28515625" style="16" customWidth="1"/>
    <col min="1769" max="1776" width="11.42578125" style="16" customWidth="1"/>
    <col min="1777" max="1777" width="9.7109375" style="16" bestFit="1" customWidth="1"/>
    <col min="1778" max="1781" width="0" style="16" hidden="1" customWidth="1"/>
    <col min="1782" max="1790" width="11.42578125" style="16" customWidth="1"/>
    <col min="1791" max="2022" width="11.42578125" style="16"/>
    <col min="2023" max="2023" width="3.5703125" style="16" customWidth="1"/>
    <col min="2024" max="2024" width="13.28515625" style="16" customWidth="1"/>
    <col min="2025" max="2032" width="11.42578125" style="16" customWidth="1"/>
    <col min="2033" max="2033" width="9.7109375" style="16" bestFit="1" customWidth="1"/>
    <col min="2034" max="2037" width="0" style="16" hidden="1" customWidth="1"/>
    <col min="2038" max="2046" width="11.42578125" style="16" customWidth="1"/>
    <col min="2047" max="2278" width="11.42578125" style="16"/>
    <col min="2279" max="2279" width="3.5703125" style="16" customWidth="1"/>
    <col min="2280" max="2280" width="13.28515625" style="16" customWidth="1"/>
    <col min="2281" max="2288" width="11.42578125" style="16" customWidth="1"/>
    <col min="2289" max="2289" width="9.7109375" style="16" bestFit="1" customWidth="1"/>
    <col min="2290" max="2293" width="0" style="16" hidden="1" customWidth="1"/>
    <col min="2294" max="2302" width="11.42578125" style="16" customWidth="1"/>
    <col min="2303" max="2534" width="11.42578125" style="16"/>
    <col min="2535" max="2535" width="3.5703125" style="16" customWidth="1"/>
    <col min="2536" max="2536" width="13.28515625" style="16" customWidth="1"/>
    <col min="2537" max="2544" width="11.42578125" style="16" customWidth="1"/>
    <col min="2545" max="2545" width="9.7109375" style="16" bestFit="1" customWidth="1"/>
    <col min="2546" max="2549" width="0" style="16" hidden="1" customWidth="1"/>
    <col min="2550" max="2558" width="11.42578125" style="16" customWidth="1"/>
    <col min="2559" max="2790" width="11.42578125" style="16"/>
    <col min="2791" max="2791" width="3.5703125" style="16" customWidth="1"/>
    <col min="2792" max="2792" width="13.28515625" style="16" customWidth="1"/>
    <col min="2793" max="2800" width="11.42578125" style="16" customWidth="1"/>
    <col min="2801" max="2801" width="9.7109375" style="16" bestFit="1" customWidth="1"/>
    <col min="2802" max="2805" width="0" style="16" hidden="1" customWidth="1"/>
    <col min="2806" max="2814" width="11.42578125" style="16" customWidth="1"/>
    <col min="2815" max="3046" width="11.42578125" style="16"/>
    <col min="3047" max="3047" width="3.5703125" style="16" customWidth="1"/>
    <col min="3048" max="3048" width="13.28515625" style="16" customWidth="1"/>
    <col min="3049" max="3056" width="11.42578125" style="16" customWidth="1"/>
    <col min="3057" max="3057" width="9.7109375" style="16" bestFit="1" customWidth="1"/>
    <col min="3058" max="3061" width="0" style="16" hidden="1" customWidth="1"/>
    <col min="3062" max="3070" width="11.42578125" style="16" customWidth="1"/>
    <col min="3071" max="3302" width="11.42578125" style="16"/>
    <col min="3303" max="3303" width="3.5703125" style="16" customWidth="1"/>
    <col min="3304" max="3304" width="13.28515625" style="16" customWidth="1"/>
    <col min="3305" max="3312" width="11.42578125" style="16" customWidth="1"/>
    <col min="3313" max="3313" width="9.7109375" style="16" bestFit="1" customWidth="1"/>
    <col min="3314" max="3317" width="0" style="16" hidden="1" customWidth="1"/>
    <col min="3318" max="3326" width="11.42578125" style="16" customWidth="1"/>
    <col min="3327" max="3558" width="11.42578125" style="16"/>
    <col min="3559" max="3559" width="3.5703125" style="16" customWidth="1"/>
    <col min="3560" max="3560" width="13.28515625" style="16" customWidth="1"/>
    <col min="3561" max="3568" width="11.42578125" style="16" customWidth="1"/>
    <col min="3569" max="3569" width="9.7109375" style="16" bestFit="1" customWidth="1"/>
    <col min="3570" max="3573" width="0" style="16" hidden="1" customWidth="1"/>
    <col min="3574" max="3582" width="11.42578125" style="16" customWidth="1"/>
    <col min="3583" max="3814" width="11.42578125" style="16"/>
    <col min="3815" max="3815" width="3.5703125" style="16" customWidth="1"/>
    <col min="3816" max="3816" width="13.28515625" style="16" customWidth="1"/>
    <col min="3817" max="3824" width="11.42578125" style="16" customWidth="1"/>
    <col min="3825" max="3825" width="9.7109375" style="16" bestFit="1" customWidth="1"/>
    <col min="3826" max="3829" width="0" style="16" hidden="1" customWidth="1"/>
    <col min="3830" max="3838" width="11.42578125" style="16" customWidth="1"/>
    <col min="3839" max="4070" width="11.42578125" style="16"/>
    <col min="4071" max="4071" width="3.5703125" style="16" customWidth="1"/>
    <col min="4072" max="4072" width="13.28515625" style="16" customWidth="1"/>
    <col min="4073" max="4080" width="11.42578125" style="16" customWidth="1"/>
    <col min="4081" max="4081" width="9.7109375" style="16" bestFit="1" customWidth="1"/>
    <col min="4082" max="4085" width="0" style="16" hidden="1" customWidth="1"/>
    <col min="4086" max="4094" width="11.42578125" style="16" customWidth="1"/>
    <col min="4095" max="4326" width="11.42578125" style="16"/>
    <col min="4327" max="4327" width="3.5703125" style="16" customWidth="1"/>
    <col min="4328" max="4328" width="13.28515625" style="16" customWidth="1"/>
    <col min="4329" max="4336" width="11.42578125" style="16" customWidth="1"/>
    <col min="4337" max="4337" width="9.7109375" style="16" bestFit="1" customWidth="1"/>
    <col min="4338" max="4341" width="0" style="16" hidden="1" customWidth="1"/>
    <col min="4342" max="4350" width="11.42578125" style="16" customWidth="1"/>
    <col min="4351" max="4582" width="11.42578125" style="16"/>
    <col min="4583" max="4583" width="3.5703125" style="16" customWidth="1"/>
    <col min="4584" max="4584" width="13.28515625" style="16" customWidth="1"/>
    <col min="4585" max="4592" width="11.42578125" style="16" customWidth="1"/>
    <col min="4593" max="4593" width="9.7109375" style="16" bestFit="1" customWidth="1"/>
    <col min="4594" max="4597" width="0" style="16" hidden="1" customWidth="1"/>
    <col min="4598" max="4606" width="11.42578125" style="16" customWidth="1"/>
    <col min="4607" max="4838" width="11.42578125" style="16"/>
    <col min="4839" max="4839" width="3.5703125" style="16" customWidth="1"/>
    <col min="4840" max="4840" width="13.28515625" style="16" customWidth="1"/>
    <col min="4841" max="4848" width="11.42578125" style="16" customWidth="1"/>
    <col min="4849" max="4849" width="9.7109375" style="16" bestFit="1" customWidth="1"/>
    <col min="4850" max="4853" width="0" style="16" hidden="1" customWidth="1"/>
    <col min="4854" max="4862" width="11.42578125" style="16" customWidth="1"/>
    <col min="4863" max="5094" width="11.42578125" style="16"/>
    <col min="5095" max="5095" width="3.5703125" style="16" customWidth="1"/>
    <col min="5096" max="5096" width="13.28515625" style="16" customWidth="1"/>
    <col min="5097" max="5104" width="11.42578125" style="16" customWidth="1"/>
    <col min="5105" max="5105" width="9.7109375" style="16" bestFit="1" customWidth="1"/>
    <col min="5106" max="5109" width="0" style="16" hidden="1" customWidth="1"/>
    <col min="5110" max="5118" width="11.42578125" style="16" customWidth="1"/>
    <col min="5119" max="5350" width="11.42578125" style="16"/>
    <col min="5351" max="5351" width="3.5703125" style="16" customWidth="1"/>
    <col min="5352" max="5352" width="13.28515625" style="16" customWidth="1"/>
    <col min="5353" max="5360" width="11.42578125" style="16" customWidth="1"/>
    <col min="5361" max="5361" width="9.7109375" style="16" bestFit="1" customWidth="1"/>
    <col min="5362" max="5365" width="0" style="16" hidden="1" customWidth="1"/>
    <col min="5366" max="5374" width="11.42578125" style="16" customWidth="1"/>
    <col min="5375" max="5606" width="11.42578125" style="16"/>
    <col min="5607" max="5607" width="3.5703125" style="16" customWidth="1"/>
    <col min="5608" max="5608" width="13.28515625" style="16" customWidth="1"/>
    <col min="5609" max="5616" width="11.42578125" style="16" customWidth="1"/>
    <col min="5617" max="5617" width="9.7109375" style="16" bestFit="1" customWidth="1"/>
    <col min="5618" max="5621" width="0" style="16" hidden="1" customWidth="1"/>
    <col min="5622" max="5630" width="11.42578125" style="16" customWidth="1"/>
    <col min="5631" max="5862" width="11.42578125" style="16"/>
    <col min="5863" max="5863" width="3.5703125" style="16" customWidth="1"/>
    <col min="5864" max="5864" width="13.28515625" style="16" customWidth="1"/>
    <col min="5865" max="5872" width="11.42578125" style="16" customWidth="1"/>
    <col min="5873" max="5873" width="9.7109375" style="16" bestFit="1" customWidth="1"/>
    <col min="5874" max="5877" width="0" style="16" hidden="1" customWidth="1"/>
    <col min="5878" max="5886" width="11.42578125" style="16" customWidth="1"/>
    <col min="5887" max="6118" width="11.42578125" style="16"/>
    <col min="6119" max="6119" width="3.5703125" style="16" customWidth="1"/>
    <col min="6120" max="6120" width="13.28515625" style="16" customWidth="1"/>
    <col min="6121" max="6128" width="11.42578125" style="16" customWidth="1"/>
    <col min="6129" max="6129" width="9.7109375" style="16" bestFit="1" customWidth="1"/>
    <col min="6130" max="6133" width="0" style="16" hidden="1" customWidth="1"/>
    <col min="6134" max="6142" width="11.42578125" style="16" customWidth="1"/>
    <col min="6143" max="6374" width="11.42578125" style="16"/>
    <col min="6375" max="6375" width="3.5703125" style="16" customWidth="1"/>
    <col min="6376" max="6376" width="13.28515625" style="16" customWidth="1"/>
    <col min="6377" max="6384" width="11.42578125" style="16" customWidth="1"/>
    <col min="6385" max="6385" width="9.7109375" style="16" bestFit="1" customWidth="1"/>
    <col min="6386" max="6389" width="0" style="16" hidden="1" customWidth="1"/>
    <col min="6390" max="6398" width="11.42578125" style="16" customWidth="1"/>
    <col min="6399" max="6630" width="11.42578125" style="16"/>
    <col min="6631" max="6631" width="3.5703125" style="16" customWidth="1"/>
    <col min="6632" max="6632" width="13.28515625" style="16" customWidth="1"/>
    <col min="6633" max="6640" width="11.42578125" style="16" customWidth="1"/>
    <col min="6641" max="6641" width="9.7109375" style="16" bestFit="1" customWidth="1"/>
    <col min="6642" max="6645" width="0" style="16" hidden="1" customWidth="1"/>
    <col min="6646" max="6654" width="11.42578125" style="16" customWidth="1"/>
    <col min="6655" max="6886" width="11.42578125" style="16"/>
    <col min="6887" max="6887" width="3.5703125" style="16" customWidth="1"/>
    <col min="6888" max="6888" width="13.28515625" style="16" customWidth="1"/>
    <col min="6889" max="6896" width="11.42578125" style="16" customWidth="1"/>
    <col min="6897" max="6897" width="9.7109375" style="16" bestFit="1" customWidth="1"/>
    <col min="6898" max="6901" width="0" style="16" hidden="1" customWidth="1"/>
    <col min="6902" max="6910" width="11.42578125" style="16" customWidth="1"/>
    <col min="6911" max="7142" width="11.42578125" style="16"/>
    <col min="7143" max="7143" width="3.5703125" style="16" customWidth="1"/>
    <col min="7144" max="7144" width="13.28515625" style="16" customWidth="1"/>
    <col min="7145" max="7152" width="11.42578125" style="16" customWidth="1"/>
    <col min="7153" max="7153" width="9.7109375" style="16" bestFit="1" customWidth="1"/>
    <col min="7154" max="7157" width="0" style="16" hidden="1" customWidth="1"/>
    <col min="7158" max="7166" width="11.42578125" style="16" customWidth="1"/>
    <col min="7167" max="7398" width="11.42578125" style="16"/>
    <col min="7399" max="7399" width="3.5703125" style="16" customWidth="1"/>
    <col min="7400" max="7400" width="13.28515625" style="16" customWidth="1"/>
    <col min="7401" max="7408" width="11.42578125" style="16" customWidth="1"/>
    <col min="7409" max="7409" width="9.7109375" style="16" bestFit="1" customWidth="1"/>
    <col min="7410" max="7413" width="0" style="16" hidden="1" customWidth="1"/>
    <col min="7414" max="7422" width="11.42578125" style="16" customWidth="1"/>
    <col min="7423" max="7654" width="11.42578125" style="16"/>
    <col min="7655" max="7655" width="3.5703125" style="16" customWidth="1"/>
    <col min="7656" max="7656" width="13.28515625" style="16" customWidth="1"/>
    <col min="7657" max="7664" width="11.42578125" style="16" customWidth="1"/>
    <col min="7665" max="7665" width="9.7109375" style="16" bestFit="1" customWidth="1"/>
    <col min="7666" max="7669" width="0" style="16" hidden="1" customWidth="1"/>
    <col min="7670" max="7678" width="11.42578125" style="16" customWidth="1"/>
    <col min="7679" max="7910" width="11.42578125" style="16"/>
    <col min="7911" max="7911" width="3.5703125" style="16" customWidth="1"/>
    <col min="7912" max="7912" width="13.28515625" style="16" customWidth="1"/>
    <col min="7913" max="7920" width="11.42578125" style="16" customWidth="1"/>
    <col min="7921" max="7921" width="9.7109375" style="16" bestFit="1" customWidth="1"/>
    <col min="7922" max="7925" width="0" style="16" hidden="1" customWidth="1"/>
    <col min="7926" max="7934" width="11.42578125" style="16" customWidth="1"/>
    <col min="7935" max="8166" width="11.42578125" style="16"/>
    <col min="8167" max="8167" width="3.5703125" style="16" customWidth="1"/>
    <col min="8168" max="8168" width="13.28515625" style="16" customWidth="1"/>
    <col min="8169" max="8176" width="11.42578125" style="16" customWidth="1"/>
    <col min="8177" max="8177" width="9.7109375" style="16" bestFit="1" customWidth="1"/>
    <col min="8178" max="8181" width="0" style="16" hidden="1" customWidth="1"/>
    <col min="8182" max="8190" width="11.42578125" style="16" customWidth="1"/>
    <col min="8191" max="8422" width="11.42578125" style="16"/>
    <col min="8423" max="8423" width="3.5703125" style="16" customWidth="1"/>
    <col min="8424" max="8424" width="13.28515625" style="16" customWidth="1"/>
    <col min="8425" max="8432" width="11.42578125" style="16" customWidth="1"/>
    <col min="8433" max="8433" width="9.7109375" style="16" bestFit="1" customWidth="1"/>
    <col min="8434" max="8437" width="0" style="16" hidden="1" customWidth="1"/>
    <col min="8438" max="8446" width="11.42578125" style="16" customWidth="1"/>
    <col min="8447" max="8678" width="11.42578125" style="16"/>
    <col min="8679" max="8679" width="3.5703125" style="16" customWidth="1"/>
    <col min="8680" max="8680" width="13.28515625" style="16" customWidth="1"/>
    <col min="8681" max="8688" width="11.42578125" style="16" customWidth="1"/>
    <col min="8689" max="8689" width="9.7109375" style="16" bestFit="1" customWidth="1"/>
    <col min="8690" max="8693" width="0" style="16" hidden="1" customWidth="1"/>
    <col min="8694" max="8702" width="11.42578125" style="16" customWidth="1"/>
    <col min="8703" max="8934" width="11.42578125" style="16"/>
    <col min="8935" max="8935" width="3.5703125" style="16" customWidth="1"/>
    <col min="8936" max="8936" width="13.28515625" style="16" customWidth="1"/>
    <col min="8937" max="8944" width="11.42578125" style="16" customWidth="1"/>
    <col min="8945" max="8945" width="9.7109375" style="16" bestFit="1" customWidth="1"/>
    <col min="8946" max="8949" width="0" style="16" hidden="1" customWidth="1"/>
    <col min="8950" max="8958" width="11.42578125" style="16" customWidth="1"/>
    <col min="8959" max="9190" width="11.42578125" style="16"/>
    <col min="9191" max="9191" width="3.5703125" style="16" customWidth="1"/>
    <col min="9192" max="9192" width="13.28515625" style="16" customWidth="1"/>
    <col min="9193" max="9200" width="11.42578125" style="16" customWidth="1"/>
    <col min="9201" max="9201" width="9.7109375" style="16" bestFit="1" customWidth="1"/>
    <col min="9202" max="9205" width="0" style="16" hidden="1" customWidth="1"/>
    <col min="9206" max="9214" width="11.42578125" style="16" customWidth="1"/>
    <col min="9215" max="9446" width="11.42578125" style="16"/>
    <col min="9447" max="9447" width="3.5703125" style="16" customWidth="1"/>
    <col min="9448" max="9448" width="13.28515625" style="16" customWidth="1"/>
    <col min="9449" max="9456" width="11.42578125" style="16" customWidth="1"/>
    <col min="9457" max="9457" width="9.7109375" style="16" bestFit="1" customWidth="1"/>
    <col min="9458" max="9461" width="0" style="16" hidden="1" customWidth="1"/>
    <col min="9462" max="9470" width="11.42578125" style="16" customWidth="1"/>
    <col min="9471" max="9702" width="11.42578125" style="16"/>
    <col min="9703" max="9703" width="3.5703125" style="16" customWidth="1"/>
    <col min="9704" max="9704" width="13.28515625" style="16" customWidth="1"/>
    <col min="9705" max="9712" width="11.42578125" style="16" customWidth="1"/>
    <col min="9713" max="9713" width="9.7109375" style="16" bestFit="1" customWidth="1"/>
    <col min="9714" max="9717" width="0" style="16" hidden="1" customWidth="1"/>
    <col min="9718" max="9726" width="11.42578125" style="16" customWidth="1"/>
    <col min="9727" max="9958" width="11.42578125" style="16"/>
    <col min="9959" max="9959" width="3.5703125" style="16" customWidth="1"/>
    <col min="9960" max="9960" width="13.28515625" style="16" customWidth="1"/>
    <col min="9961" max="9968" width="11.42578125" style="16" customWidth="1"/>
    <col min="9969" max="9969" width="9.7109375" style="16" bestFit="1" customWidth="1"/>
    <col min="9970" max="9973" width="0" style="16" hidden="1" customWidth="1"/>
    <col min="9974" max="9982" width="11.42578125" style="16" customWidth="1"/>
    <col min="9983" max="10214" width="11.42578125" style="16"/>
    <col min="10215" max="10215" width="3.5703125" style="16" customWidth="1"/>
    <col min="10216" max="10216" width="13.28515625" style="16" customWidth="1"/>
    <col min="10217" max="10224" width="11.42578125" style="16" customWidth="1"/>
    <col min="10225" max="10225" width="9.7109375" style="16" bestFit="1" customWidth="1"/>
    <col min="10226" max="10229" width="0" style="16" hidden="1" customWidth="1"/>
    <col min="10230" max="10238" width="11.42578125" style="16" customWidth="1"/>
    <col min="10239" max="10470" width="11.42578125" style="16"/>
    <col min="10471" max="10471" width="3.5703125" style="16" customWidth="1"/>
    <col min="10472" max="10472" width="13.28515625" style="16" customWidth="1"/>
    <col min="10473" max="10480" width="11.42578125" style="16" customWidth="1"/>
    <col min="10481" max="10481" width="9.7109375" style="16" bestFit="1" customWidth="1"/>
    <col min="10482" max="10485" width="0" style="16" hidden="1" customWidth="1"/>
    <col min="10486" max="10494" width="11.42578125" style="16" customWidth="1"/>
    <col min="10495" max="10726" width="11.42578125" style="16"/>
    <col min="10727" max="10727" width="3.5703125" style="16" customWidth="1"/>
    <col min="10728" max="10728" width="13.28515625" style="16" customWidth="1"/>
    <col min="10729" max="10736" width="11.42578125" style="16" customWidth="1"/>
    <col min="10737" max="10737" width="9.7109375" style="16" bestFit="1" customWidth="1"/>
    <col min="10738" max="10741" width="0" style="16" hidden="1" customWidth="1"/>
    <col min="10742" max="10750" width="11.42578125" style="16" customWidth="1"/>
    <col min="10751" max="10982" width="11.42578125" style="16"/>
    <col min="10983" max="10983" width="3.5703125" style="16" customWidth="1"/>
    <col min="10984" max="10984" width="13.28515625" style="16" customWidth="1"/>
    <col min="10985" max="10992" width="11.42578125" style="16" customWidth="1"/>
    <col min="10993" max="10993" width="9.7109375" style="16" bestFit="1" customWidth="1"/>
    <col min="10994" max="10997" width="0" style="16" hidden="1" customWidth="1"/>
    <col min="10998" max="11006" width="11.42578125" style="16" customWidth="1"/>
    <col min="11007" max="11238" width="11.42578125" style="16"/>
    <col min="11239" max="11239" width="3.5703125" style="16" customWidth="1"/>
    <col min="11240" max="11240" width="13.28515625" style="16" customWidth="1"/>
    <col min="11241" max="11248" width="11.42578125" style="16" customWidth="1"/>
    <col min="11249" max="11249" width="9.7109375" style="16" bestFit="1" customWidth="1"/>
    <col min="11250" max="11253" width="0" style="16" hidden="1" customWidth="1"/>
    <col min="11254" max="11262" width="11.42578125" style="16" customWidth="1"/>
    <col min="11263" max="11494" width="11.42578125" style="16"/>
    <col min="11495" max="11495" width="3.5703125" style="16" customWidth="1"/>
    <col min="11496" max="11496" width="13.28515625" style="16" customWidth="1"/>
    <col min="11497" max="11504" width="11.42578125" style="16" customWidth="1"/>
    <col min="11505" max="11505" width="9.7109375" style="16" bestFit="1" customWidth="1"/>
    <col min="11506" max="11509" width="0" style="16" hidden="1" customWidth="1"/>
    <col min="11510" max="11518" width="11.42578125" style="16" customWidth="1"/>
    <col min="11519" max="11750" width="11.42578125" style="16"/>
    <col min="11751" max="11751" width="3.5703125" style="16" customWidth="1"/>
    <col min="11752" max="11752" width="13.28515625" style="16" customWidth="1"/>
    <col min="11753" max="11760" width="11.42578125" style="16" customWidth="1"/>
    <col min="11761" max="11761" width="9.7109375" style="16" bestFit="1" customWidth="1"/>
    <col min="11762" max="11765" width="0" style="16" hidden="1" customWidth="1"/>
    <col min="11766" max="11774" width="11.42578125" style="16" customWidth="1"/>
    <col min="11775" max="12006" width="11.42578125" style="16"/>
    <col min="12007" max="12007" width="3.5703125" style="16" customWidth="1"/>
    <col min="12008" max="12008" width="13.28515625" style="16" customWidth="1"/>
    <col min="12009" max="12016" width="11.42578125" style="16" customWidth="1"/>
    <col min="12017" max="12017" width="9.7109375" style="16" bestFit="1" customWidth="1"/>
    <col min="12018" max="12021" width="0" style="16" hidden="1" customWidth="1"/>
    <col min="12022" max="12030" width="11.42578125" style="16" customWidth="1"/>
    <col min="12031" max="12262" width="11.42578125" style="16"/>
    <col min="12263" max="12263" width="3.5703125" style="16" customWidth="1"/>
    <col min="12264" max="12264" width="13.28515625" style="16" customWidth="1"/>
    <col min="12265" max="12272" width="11.42578125" style="16" customWidth="1"/>
    <col min="12273" max="12273" width="9.7109375" style="16" bestFit="1" customWidth="1"/>
    <col min="12274" max="12277" width="0" style="16" hidden="1" customWidth="1"/>
    <col min="12278" max="12286" width="11.42578125" style="16" customWidth="1"/>
    <col min="12287" max="12518" width="11.42578125" style="16"/>
    <col min="12519" max="12519" width="3.5703125" style="16" customWidth="1"/>
    <col min="12520" max="12520" width="13.28515625" style="16" customWidth="1"/>
    <col min="12521" max="12528" width="11.42578125" style="16" customWidth="1"/>
    <col min="12529" max="12529" width="9.7109375" style="16" bestFit="1" customWidth="1"/>
    <col min="12530" max="12533" width="0" style="16" hidden="1" customWidth="1"/>
    <col min="12534" max="12542" width="11.42578125" style="16" customWidth="1"/>
    <col min="12543" max="12774" width="11.42578125" style="16"/>
    <col min="12775" max="12775" width="3.5703125" style="16" customWidth="1"/>
    <col min="12776" max="12776" width="13.28515625" style="16" customWidth="1"/>
    <col min="12777" max="12784" width="11.42578125" style="16" customWidth="1"/>
    <col min="12785" max="12785" width="9.7109375" style="16" bestFit="1" customWidth="1"/>
    <col min="12786" max="12789" width="0" style="16" hidden="1" customWidth="1"/>
    <col min="12790" max="12798" width="11.42578125" style="16" customWidth="1"/>
    <col min="12799" max="13030" width="11.42578125" style="16"/>
    <col min="13031" max="13031" width="3.5703125" style="16" customWidth="1"/>
    <col min="13032" max="13032" width="13.28515625" style="16" customWidth="1"/>
    <col min="13033" max="13040" width="11.42578125" style="16" customWidth="1"/>
    <col min="13041" max="13041" width="9.7109375" style="16" bestFit="1" customWidth="1"/>
    <col min="13042" max="13045" width="0" style="16" hidden="1" customWidth="1"/>
    <col min="13046" max="13054" width="11.42578125" style="16" customWidth="1"/>
    <col min="13055" max="13286" width="11.42578125" style="16"/>
    <col min="13287" max="13287" width="3.5703125" style="16" customWidth="1"/>
    <col min="13288" max="13288" width="13.28515625" style="16" customWidth="1"/>
    <col min="13289" max="13296" width="11.42578125" style="16" customWidth="1"/>
    <col min="13297" max="13297" width="9.7109375" style="16" bestFit="1" customWidth="1"/>
    <col min="13298" max="13301" width="0" style="16" hidden="1" customWidth="1"/>
    <col min="13302" max="13310" width="11.42578125" style="16" customWidth="1"/>
    <col min="13311" max="13542" width="11.42578125" style="16"/>
    <col min="13543" max="13543" width="3.5703125" style="16" customWidth="1"/>
    <col min="13544" max="13544" width="13.28515625" style="16" customWidth="1"/>
    <col min="13545" max="13552" width="11.42578125" style="16" customWidth="1"/>
    <col min="13553" max="13553" width="9.7109375" style="16" bestFit="1" customWidth="1"/>
    <col min="13554" max="13557" width="0" style="16" hidden="1" customWidth="1"/>
    <col min="13558" max="13566" width="11.42578125" style="16" customWidth="1"/>
    <col min="13567" max="13798" width="11.42578125" style="16"/>
    <col min="13799" max="13799" width="3.5703125" style="16" customWidth="1"/>
    <col min="13800" max="13800" width="13.28515625" style="16" customWidth="1"/>
    <col min="13801" max="13808" width="11.42578125" style="16" customWidth="1"/>
    <col min="13809" max="13809" width="9.7109375" style="16" bestFit="1" customWidth="1"/>
    <col min="13810" max="13813" width="0" style="16" hidden="1" customWidth="1"/>
    <col min="13814" max="13822" width="11.42578125" style="16" customWidth="1"/>
    <col min="13823" max="14054" width="11.42578125" style="16"/>
    <col min="14055" max="14055" width="3.5703125" style="16" customWidth="1"/>
    <col min="14056" max="14056" width="13.28515625" style="16" customWidth="1"/>
    <col min="14057" max="14064" width="11.42578125" style="16" customWidth="1"/>
    <col min="14065" max="14065" width="9.7109375" style="16" bestFit="1" customWidth="1"/>
    <col min="14066" max="14069" width="0" style="16" hidden="1" customWidth="1"/>
    <col min="14070" max="14078" width="11.42578125" style="16" customWidth="1"/>
    <col min="14079" max="14310" width="11.42578125" style="16"/>
    <col min="14311" max="14311" width="3.5703125" style="16" customWidth="1"/>
    <col min="14312" max="14312" width="13.28515625" style="16" customWidth="1"/>
    <col min="14313" max="14320" width="11.42578125" style="16" customWidth="1"/>
    <col min="14321" max="14321" width="9.7109375" style="16" bestFit="1" customWidth="1"/>
    <col min="14322" max="14325" width="0" style="16" hidden="1" customWidth="1"/>
    <col min="14326" max="14334" width="11.42578125" style="16" customWidth="1"/>
    <col min="14335" max="14566" width="11.42578125" style="16"/>
    <col min="14567" max="14567" width="3.5703125" style="16" customWidth="1"/>
    <col min="14568" max="14568" width="13.28515625" style="16" customWidth="1"/>
    <col min="14569" max="14576" width="11.42578125" style="16" customWidth="1"/>
    <col min="14577" max="14577" width="9.7109375" style="16" bestFit="1" customWidth="1"/>
    <col min="14578" max="14581" width="0" style="16" hidden="1" customWidth="1"/>
    <col min="14582" max="14590" width="11.42578125" style="16" customWidth="1"/>
    <col min="14591" max="14822" width="11.42578125" style="16"/>
    <col min="14823" max="14823" width="3.5703125" style="16" customWidth="1"/>
    <col min="14824" max="14824" width="13.28515625" style="16" customWidth="1"/>
    <col min="14825" max="14832" width="11.42578125" style="16" customWidth="1"/>
    <col min="14833" max="14833" width="9.7109375" style="16" bestFit="1" customWidth="1"/>
    <col min="14834" max="14837" width="0" style="16" hidden="1" customWidth="1"/>
    <col min="14838" max="14846" width="11.42578125" style="16" customWidth="1"/>
    <col min="14847" max="15078" width="11.42578125" style="16"/>
    <col min="15079" max="15079" width="3.5703125" style="16" customWidth="1"/>
    <col min="15080" max="15080" width="13.28515625" style="16" customWidth="1"/>
    <col min="15081" max="15088" width="11.42578125" style="16" customWidth="1"/>
    <col min="15089" max="15089" width="9.7109375" style="16" bestFit="1" customWidth="1"/>
    <col min="15090" max="15093" width="0" style="16" hidden="1" customWidth="1"/>
    <col min="15094" max="15102" width="11.42578125" style="16" customWidth="1"/>
    <col min="15103" max="15334" width="11.42578125" style="16"/>
    <col min="15335" max="15335" width="3.5703125" style="16" customWidth="1"/>
    <col min="15336" max="15336" width="13.28515625" style="16" customWidth="1"/>
    <col min="15337" max="15344" width="11.42578125" style="16" customWidth="1"/>
    <col min="15345" max="15345" width="9.7109375" style="16" bestFit="1" customWidth="1"/>
    <col min="15346" max="15349" width="0" style="16" hidden="1" customWidth="1"/>
    <col min="15350" max="15358" width="11.42578125" style="16" customWidth="1"/>
    <col min="15359" max="15590" width="11.42578125" style="16"/>
    <col min="15591" max="15591" width="3.5703125" style="16" customWidth="1"/>
    <col min="15592" max="15592" width="13.28515625" style="16" customWidth="1"/>
    <col min="15593" max="15600" width="11.42578125" style="16" customWidth="1"/>
    <col min="15601" max="15601" width="9.7109375" style="16" bestFit="1" customWidth="1"/>
    <col min="15602" max="15605" width="0" style="16" hidden="1" customWidth="1"/>
    <col min="15606" max="15614" width="11.42578125" style="16" customWidth="1"/>
    <col min="15615" max="15846" width="11.42578125" style="16"/>
    <col min="15847" max="15847" width="3.5703125" style="16" customWidth="1"/>
    <col min="15848" max="15848" width="13.28515625" style="16" customWidth="1"/>
    <col min="15849" max="15856" width="11.42578125" style="16" customWidth="1"/>
    <col min="15857" max="15857" width="9.7109375" style="16" bestFit="1" customWidth="1"/>
    <col min="15858" max="15861" width="0" style="16" hidden="1" customWidth="1"/>
    <col min="15862" max="15870" width="11.42578125" style="16" customWidth="1"/>
    <col min="15871" max="16102" width="11.42578125" style="16"/>
    <col min="16103" max="16103" width="3.5703125" style="16" customWidth="1"/>
    <col min="16104" max="16104" width="13.28515625" style="16" customWidth="1"/>
    <col min="16105" max="16112" width="11.42578125" style="16" customWidth="1"/>
    <col min="16113" max="16113" width="9.7109375" style="16" bestFit="1" customWidth="1"/>
    <col min="16114" max="16117" width="0" style="16" hidden="1" customWidth="1"/>
    <col min="16118" max="16126" width="11.42578125" style="16" customWidth="1"/>
    <col min="16127" max="16384" width="11.42578125" style="16"/>
  </cols>
  <sheetData>
    <row r="2" spans="2:14" s="9" customFormat="1" ht="21">
      <c r="B2" s="3" t="s">
        <v>124</v>
      </c>
      <c r="C2" s="196" t="s">
        <v>0</v>
      </c>
      <c r="D2" s="196" t="s">
        <v>0</v>
      </c>
      <c r="E2" s="196" t="s">
        <v>0</v>
      </c>
      <c r="F2" s="196" t="s">
        <v>48</v>
      </c>
      <c r="G2" s="157"/>
      <c r="H2" s="196" t="s">
        <v>126</v>
      </c>
      <c r="I2" s="174" t="s">
        <v>126</v>
      </c>
      <c r="J2" s="174" t="s">
        <v>126</v>
      </c>
      <c r="K2" s="174" t="s">
        <v>126</v>
      </c>
      <c r="L2" s="196" t="s">
        <v>126</v>
      </c>
    </row>
    <row r="3" spans="2:14" s="9" customFormat="1">
      <c r="B3" s="4" t="s">
        <v>172</v>
      </c>
      <c r="C3" s="197">
        <v>45352</v>
      </c>
      <c r="D3" s="197">
        <v>45717</v>
      </c>
      <c r="E3" s="197">
        <v>46082</v>
      </c>
      <c r="F3" s="197">
        <f>L3</f>
        <v>46174</v>
      </c>
      <c r="G3" s="157"/>
      <c r="H3" s="197">
        <v>45809</v>
      </c>
      <c r="I3" s="175">
        <v>45901</v>
      </c>
      <c r="J3" s="175">
        <v>45992</v>
      </c>
      <c r="K3" s="175">
        <v>46082</v>
      </c>
      <c r="L3" s="197">
        <v>46174</v>
      </c>
      <c r="M3" s="9" t="s">
        <v>117</v>
      </c>
    </row>
    <row r="4" spans="2:14" s="11" customFormat="1">
      <c r="B4" s="43"/>
      <c r="C4" s="197" t="s">
        <v>8</v>
      </c>
      <c r="D4" s="197" t="s">
        <v>8</v>
      </c>
      <c r="E4" s="197" t="s">
        <v>8</v>
      </c>
      <c r="F4" s="197" t="s">
        <v>8</v>
      </c>
      <c r="G4" s="158"/>
      <c r="H4" s="197" t="s">
        <v>8</v>
      </c>
      <c r="I4" s="175" t="s">
        <v>8</v>
      </c>
      <c r="J4" s="175" t="s">
        <v>8</v>
      </c>
      <c r="K4" s="175" t="s">
        <v>8</v>
      </c>
      <c r="L4" s="197" t="s">
        <v>8</v>
      </c>
    </row>
    <row r="5" spans="2:14" s="12" customFormat="1">
      <c r="C5" s="159" t="s">
        <v>33</v>
      </c>
      <c r="D5" s="159" t="s">
        <v>33</v>
      </c>
      <c r="E5" s="159" t="s">
        <v>33</v>
      </c>
      <c r="F5" s="161" t="s">
        <v>48</v>
      </c>
      <c r="G5" s="160"/>
      <c r="H5" s="159" t="s">
        <v>127</v>
      </c>
      <c r="I5" s="159" t="s">
        <v>128</v>
      </c>
      <c r="J5" s="159" t="s">
        <v>129</v>
      </c>
      <c r="K5" s="161" t="s">
        <v>130</v>
      </c>
      <c r="L5" s="159" t="s">
        <v>127</v>
      </c>
    </row>
    <row r="6" spans="2:14">
      <c r="B6" s="13" t="s">
        <v>15</v>
      </c>
      <c r="C6" s="14"/>
      <c r="D6" s="14"/>
      <c r="E6" s="14"/>
      <c r="F6" s="14"/>
      <c r="G6" s="12"/>
      <c r="H6" s="15"/>
      <c r="I6" s="14"/>
      <c r="J6" s="14"/>
      <c r="K6" s="15"/>
      <c r="L6" s="15"/>
    </row>
    <row r="7" spans="2:14" s="143" customFormat="1">
      <c r="B7" s="2" t="s">
        <v>125</v>
      </c>
      <c r="C7" s="68">
        <v>1965.3389999999999</v>
      </c>
      <c r="D7" s="68">
        <v>1982.876</v>
      </c>
      <c r="E7" s="68">
        <v>2165.1329999999998</v>
      </c>
      <c r="F7" s="22">
        <f>L7+E7-H7</f>
        <v>2178.3729999999996</v>
      </c>
      <c r="G7" s="12"/>
      <c r="H7" s="68">
        <v>490.59</v>
      </c>
      <c r="I7" s="68"/>
      <c r="J7" s="68"/>
      <c r="K7" s="68"/>
      <c r="L7" s="68">
        <v>503.83</v>
      </c>
      <c r="M7" s="141"/>
      <c r="N7" s="142"/>
    </row>
    <row r="8" spans="2:14" s="11" customFormat="1">
      <c r="B8" s="5" t="s">
        <v>50</v>
      </c>
      <c r="C8" s="21"/>
      <c r="D8" s="21">
        <f t="shared" ref="D8:E8" si="0">(D7/C7)-1</f>
        <v>8.923142521468419E-3</v>
      </c>
      <c r="E8" s="21">
        <f t="shared" si="0"/>
        <v>9.1915480342694034E-2</v>
      </c>
      <c r="F8" s="21"/>
      <c r="G8" s="12"/>
      <c r="H8" s="21"/>
      <c r="I8" s="171"/>
      <c r="J8" s="21"/>
      <c r="K8" s="21"/>
      <c r="L8" s="21">
        <f>L7/H7-1</f>
        <v>2.6987912513504186E-2</v>
      </c>
    </row>
    <row r="9" spans="2:14" s="11" customFormat="1">
      <c r="B9" s="2" t="s">
        <v>110</v>
      </c>
      <c r="C9" s="22">
        <f>SUM(C10:C12)</f>
        <v>-321.274</v>
      </c>
      <c r="D9" s="22">
        <f t="shared" ref="D9:F9" si="1">SUM(D10:D12)</f>
        <v>-322.245</v>
      </c>
      <c r="E9" s="22">
        <f t="shared" si="1"/>
        <v>-357.77100000000002</v>
      </c>
      <c r="F9" s="22">
        <f t="shared" si="1"/>
        <v>-359.93299999999999</v>
      </c>
      <c r="G9" s="12"/>
      <c r="H9" s="22">
        <f>SUM(H10:H12)</f>
        <v>-61.496000000000002</v>
      </c>
      <c r="I9" s="170"/>
      <c r="J9" s="22"/>
      <c r="K9" s="170"/>
      <c r="L9" s="22">
        <f>SUM(L10:L12)</f>
        <v>-63.657999999999994</v>
      </c>
      <c r="M9" s="92"/>
    </row>
    <row r="10" spans="2:14">
      <c r="B10" s="66" t="s">
        <v>131</v>
      </c>
      <c r="C10" s="18">
        <v>-38.866</v>
      </c>
      <c r="D10" s="18">
        <v>-51.667000000000002</v>
      </c>
      <c r="E10" s="18">
        <v>-126.114</v>
      </c>
      <c r="F10" s="19">
        <f>L10+E10-H10</f>
        <v>-132.886</v>
      </c>
      <c r="G10" s="12"/>
      <c r="H10" s="18">
        <v>-7.33</v>
      </c>
      <c r="I10" s="83"/>
      <c r="J10" s="18"/>
      <c r="K10" s="83"/>
      <c r="L10" s="18">
        <v>-14.102</v>
      </c>
      <c r="M10" s="69"/>
      <c r="N10" s="69"/>
    </row>
    <row r="11" spans="2:14">
      <c r="B11" s="66" t="s">
        <v>133</v>
      </c>
      <c r="C11" s="18">
        <v>-137.68100000000001</v>
      </c>
      <c r="D11" s="18">
        <v>-146.35499999999999</v>
      </c>
      <c r="E11" s="18">
        <v>-125.996</v>
      </c>
      <c r="F11" s="19">
        <f t="shared" ref="F11:F13" si="2">L11+E11-H11</f>
        <v>-122.211</v>
      </c>
      <c r="G11" s="12"/>
      <c r="H11" s="18">
        <v>-41.938000000000002</v>
      </c>
      <c r="I11" s="83"/>
      <c r="J11" s="18"/>
      <c r="K11" s="83"/>
      <c r="L11" s="18">
        <v>-38.152999999999999</v>
      </c>
      <c r="M11" s="69"/>
      <c r="N11" s="69"/>
    </row>
    <row r="12" spans="2:14">
      <c r="B12" s="66" t="s">
        <v>132</v>
      </c>
      <c r="C12" s="18">
        <v>-144.727</v>
      </c>
      <c r="D12" s="18">
        <v>-124.223</v>
      </c>
      <c r="E12" s="18">
        <v>-105.661</v>
      </c>
      <c r="F12" s="19">
        <f t="shared" si="2"/>
        <v>-104.83600000000001</v>
      </c>
      <c r="G12" s="12"/>
      <c r="H12" s="18">
        <v>-12.228</v>
      </c>
      <c r="I12" s="83"/>
      <c r="J12" s="18"/>
      <c r="K12" s="83"/>
      <c r="L12" s="18">
        <v>-11.403</v>
      </c>
      <c r="M12" s="69"/>
      <c r="N12" s="69"/>
    </row>
    <row r="13" spans="2:14">
      <c r="B13" s="17" t="s">
        <v>134</v>
      </c>
      <c r="C13" s="18">
        <v>0.121</v>
      </c>
      <c r="D13" s="18">
        <v>0.81299999999999994</v>
      </c>
      <c r="E13" s="18">
        <v>7.3879999999999999</v>
      </c>
      <c r="F13" s="19">
        <f t="shared" si="2"/>
        <v>7.5180000000000007</v>
      </c>
      <c r="G13" s="12"/>
      <c r="H13" s="18">
        <v>0.129</v>
      </c>
      <c r="I13" s="83"/>
      <c r="J13" s="18"/>
      <c r="K13" s="83"/>
      <c r="L13" s="18">
        <v>0.25900000000000001</v>
      </c>
      <c r="M13" s="69"/>
      <c r="N13" s="69"/>
    </row>
    <row r="14" spans="2:14">
      <c r="B14" s="17"/>
      <c r="C14" s="18"/>
      <c r="D14" s="18"/>
      <c r="E14" s="18"/>
      <c r="F14" s="19"/>
      <c r="G14" s="12"/>
      <c r="H14" s="18"/>
      <c r="I14" s="83"/>
      <c r="J14" s="18"/>
      <c r="K14" s="83"/>
      <c r="L14" s="18"/>
      <c r="M14" s="69"/>
      <c r="N14" s="69"/>
    </row>
    <row r="15" spans="2:14" s="11" customFormat="1">
      <c r="B15" s="11" t="s">
        <v>31</v>
      </c>
      <c r="C15" s="22">
        <f>C7+C9+C13</f>
        <v>1644.1860000000001</v>
      </c>
      <c r="D15" s="22">
        <f t="shared" ref="D15:L15" si="3">D7+D9+D13</f>
        <v>1661.444</v>
      </c>
      <c r="E15" s="22">
        <f t="shared" si="3"/>
        <v>1814.7499999999998</v>
      </c>
      <c r="F15" s="22">
        <f t="shared" si="3"/>
        <v>1825.9579999999996</v>
      </c>
      <c r="G15" s="12"/>
      <c r="H15" s="22">
        <f t="shared" si="3"/>
        <v>429.22300000000001</v>
      </c>
      <c r="I15" s="22"/>
      <c r="J15" s="22"/>
      <c r="K15" s="22"/>
      <c r="L15" s="22">
        <f t="shared" si="3"/>
        <v>440.43099999999998</v>
      </c>
      <c r="M15" s="69"/>
    </row>
    <row r="16" spans="2:14" s="20" customFormat="1">
      <c r="B16" s="23" t="s">
        <v>32</v>
      </c>
      <c r="C16" s="21">
        <f>C15/C7</f>
        <v>0.83659154985475803</v>
      </c>
      <c r="D16" s="21">
        <f>D15/D7</f>
        <v>0.83789606611810319</v>
      </c>
      <c r="E16" s="21">
        <f>E15/E7</f>
        <v>0.83817021864245755</v>
      </c>
      <c r="F16" s="21">
        <f>F15/F7</f>
        <v>0.83822100255557697</v>
      </c>
      <c r="G16" s="12"/>
      <c r="H16" s="21">
        <f>H15/H7</f>
        <v>0.87491184084469731</v>
      </c>
      <c r="I16" s="171"/>
      <c r="J16" s="21"/>
      <c r="K16" s="171"/>
      <c r="L16" s="21">
        <f>L15/L7</f>
        <v>0.8741658892880535</v>
      </c>
      <c r="M16" s="69"/>
    </row>
    <row r="17" spans="2:13" s="20" customFormat="1">
      <c r="B17" s="66"/>
      <c r="C17" s="18"/>
      <c r="D17" s="18"/>
      <c r="E17" s="18"/>
      <c r="F17" s="19"/>
      <c r="G17" s="12"/>
      <c r="H17" s="18"/>
      <c r="I17" s="83"/>
      <c r="J17" s="18"/>
      <c r="K17" s="83"/>
      <c r="L17" s="18"/>
      <c r="M17" s="69"/>
    </row>
    <row r="18" spans="2:13" s="20" customFormat="1">
      <c r="B18" s="32" t="s">
        <v>135</v>
      </c>
      <c r="C18" s="18"/>
      <c r="D18" s="18"/>
      <c r="E18" s="18"/>
      <c r="F18" s="19"/>
      <c r="G18" s="12"/>
      <c r="H18" s="18"/>
      <c r="I18" s="83"/>
      <c r="J18" s="18"/>
      <c r="K18" s="83"/>
      <c r="L18" s="18"/>
      <c r="M18" s="69"/>
    </row>
    <row r="19" spans="2:13" s="73" customFormat="1">
      <c r="B19" s="176" t="s">
        <v>136</v>
      </c>
      <c r="C19" s="22">
        <f>SUM(C20:C21)</f>
        <v>-246.76299999999998</v>
      </c>
      <c r="D19" s="22">
        <f t="shared" ref="D19:E19" si="4">SUM(D20:D21)</f>
        <v>-211.81100000000001</v>
      </c>
      <c r="E19" s="22">
        <f t="shared" si="4"/>
        <v>-242.46499999999997</v>
      </c>
      <c r="F19" s="22">
        <f t="shared" ref="F19" si="5">L19+E19-H19</f>
        <v>-246.39099999999996</v>
      </c>
      <c r="G19" s="12"/>
      <c r="H19" s="68">
        <v>-55.731000000000002</v>
      </c>
      <c r="I19" s="68"/>
      <c r="J19" s="68"/>
      <c r="K19" s="68"/>
      <c r="L19" s="68">
        <v>-59.656999999999996</v>
      </c>
      <c r="M19" s="92"/>
    </row>
    <row r="20" spans="2:13" s="20" customFormat="1">
      <c r="B20" s="177" t="s">
        <v>140</v>
      </c>
      <c r="C20" s="18">
        <v>-272.56299999999999</v>
      </c>
      <c r="D20" s="18">
        <v>-248.21100000000001</v>
      </c>
      <c r="E20" s="18">
        <v>-262.26499999999999</v>
      </c>
      <c r="F20" s="178"/>
      <c r="G20" s="12"/>
      <c r="H20" s="178"/>
      <c r="I20" s="83"/>
      <c r="J20" s="18"/>
      <c r="K20" s="83"/>
      <c r="L20" s="178"/>
      <c r="M20" s="69"/>
    </row>
    <row r="21" spans="2:13" s="20" customFormat="1">
      <c r="B21" s="177" t="s">
        <v>141</v>
      </c>
      <c r="C21" s="18">
        <v>25.8</v>
      </c>
      <c r="D21" s="18">
        <v>36.4</v>
      </c>
      <c r="E21" s="18">
        <v>19.8</v>
      </c>
      <c r="F21" s="178"/>
      <c r="G21" s="12"/>
      <c r="H21" s="178"/>
      <c r="I21" s="83"/>
      <c r="J21" s="18"/>
      <c r="K21" s="83"/>
      <c r="L21" s="178"/>
      <c r="M21" s="69"/>
    </row>
    <row r="22" spans="2:13" s="20" customFormat="1">
      <c r="B22" s="177"/>
      <c r="C22" s="18"/>
      <c r="D22" s="18"/>
      <c r="E22" s="18"/>
      <c r="F22" s="19"/>
      <c r="G22" s="12"/>
      <c r="H22" s="18"/>
      <c r="I22" s="83"/>
      <c r="J22" s="18"/>
      <c r="K22" s="83"/>
      <c r="L22" s="18"/>
      <c r="M22" s="69"/>
    </row>
    <row r="23" spans="2:13" s="73" customFormat="1">
      <c r="B23" s="176" t="s">
        <v>137</v>
      </c>
      <c r="C23" s="22">
        <f>SUM(C24:C29)</f>
        <v>-249.024</v>
      </c>
      <c r="D23" s="22">
        <f>SUM(D24:D29)</f>
        <v>-232.422</v>
      </c>
      <c r="E23" s="22">
        <f>SUM(E24:E29)</f>
        <v>-261.2</v>
      </c>
      <c r="F23" s="22">
        <f t="shared" ref="F23" si="6">L23+E23-H23</f>
        <v>-254.23999999999995</v>
      </c>
      <c r="G23" s="12"/>
      <c r="H23" s="68">
        <v>-65.352999999999994</v>
      </c>
      <c r="I23" s="170"/>
      <c r="J23" s="68"/>
      <c r="K23" s="170"/>
      <c r="L23" s="68">
        <v>-58.393000000000001</v>
      </c>
      <c r="M23" s="92"/>
    </row>
    <row r="24" spans="2:13" s="20" customFormat="1">
      <c r="B24" s="177" t="s">
        <v>142</v>
      </c>
      <c r="C24" s="18">
        <v>-3.0459999999999998</v>
      </c>
      <c r="D24" s="18">
        <v>-2.4249999999999998</v>
      </c>
      <c r="E24" s="18">
        <v>-3.2549999999999999</v>
      </c>
      <c r="F24" s="178"/>
      <c r="G24" s="12"/>
      <c r="H24" s="178"/>
      <c r="I24" s="83"/>
      <c r="J24" s="18"/>
      <c r="K24" s="83"/>
      <c r="L24" s="178"/>
      <c r="M24" s="69"/>
    </row>
    <row r="25" spans="2:13" s="20" customFormat="1">
      <c r="B25" s="177" t="s">
        <v>143</v>
      </c>
      <c r="C25" s="18">
        <v>-3.28</v>
      </c>
      <c r="D25" s="18">
        <v>-0.35499999999999998</v>
      </c>
      <c r="E25" s="18">
        <v>-0.51</v>
      </c>
      <c r="F25" s="178"/>
      <c r="G25" s="12"/>
      <c r="H25" s="178"/>
      <c r="I25" s="83"/>
      <c r="J25" s="18"/>
      <c r="K25" s="83"/>
      <c r="L25" s="178"/>
      <c r="M25" s="69"/>
    </row>
    <row r="26" spans="2:13" s="20" customFormat="1">
      <c r="B26" s="177" t="s">
        <v>144</v>
      </c>
      <c r="C26" s="18">
        <v>-66.869</v>
      </c>
      <c r="D26" s="18">
        <v>-73.039000000000001</v>
      </c>
      <c r="E26" s="18">
        <v>-78.186000000000007</v>
      </c>
      <c r="F26" s="178"/>
      <c r="G26" s="12"/>
      <c r="H26" s="178"/>
      <c r="I26" s="83"/>
      <c r="J26" s="18"/>
      <c r="K26" s="83"/>
      <c r="L26" s="178"/>
      <c r="M26" s="69"/>
    </row>
    <row r="27" spans="2:13" s="20" customFormat="1">
      <c r="B27" s="177" t="s">
        <v>145</v>
      </c>
      <c r="C27" s="18">
        <v>-12.773</v>
      </c>
      <c r="D27" s="18">
        <v>-14.016</v>
      </c>
      <c r="E27" s="18">
        <v>-18.728000000000002</v>
      </c>
      <c r="F27" s="178"/>
      <c r="G27" s="12"/>
      <c r="H27" s="178"/>
      <c r="I27" s="83"/>
      <c r="J27" s="18"/>
      <c r="K27" s="83"/>
      <c r="L27" s="178"/>
      <c r="M27" s="69"/>
    </row>
    <row r="28" spans="2:13" s="20" customFormat="1">
      <c r="B28" s="177" t="s">
        <v>146</v>
      </c>
      <c r="C28" s="18">
        <v>-109.09399999999999</v>
      </c>
      <c r="D28" s="18">
        <v>-82.563999999999993</v>
      </c>
      <c r="E28" s="18">
        <v>-87.983000000000004</v>
      </c>
      <c r="F28" s="178"/>
      <c r="G28" s="12"/>
      <c r="H28" s="178"/>
      <c r="I28" s="83"/>
      <c r="J28" s="18"/>
      <c r="K28" s="83"/>
      <c r="L28" s="178"/>
      <c r="M28" s="69"/>
    </row>
    <row r="29" spans="2:13" s="20" customFormat="1">
      <c r="B29" s="177" t="s">
        <v>147</v>
      </c>
      <c r="C29" s="18">
        <v>-53.962000000000003</v>
      </c>
      <c r="D29" s="18">
        <v>-60.023000000000003</v>
      </c>
      <c r="E29" s="18">
        <v>-72.537999999999997</v>
      </c>
      <c r="F29" s="178"/>
      <c r="G29" s="12"/>
      <c r="H29" s="178"/>
      <c r="I29" s="83"/>
      <c r="J29" s="18"/>
      <c r="K29" s="83"/>
      <c r="L29" s="178"/>
      <c r="M29" s="69"/>
    </row>
    <row r="30" spans="2:13" s="20" customFormat="1">
      <c r="B30" s="66"/>
      <c r="C30" s="18"/>
      <c r="D30" s="18"/>
      <c r="E30" s="18"/>
      <c r="F30" s="19"/>
      <c r="G30" s="12"/>
      <c r="H30" s="18"/>
      <c r="I30" s="83"/>
      <c r="J30" s="18"/>
      <c r="K30" s="83"/>
      <c r="L30" s="18"/>
      <c r="M30" s="69"/>
    </row>
    <row r="31" spans="2:13" s="20" customFormat="1">
      <c r="B31" s="176" t="s">
        <v>138</v>
      </c>
      <c r="C31" s="22">
        <f>SUM(C32:C49)</f>
        <v>-368.178</v>
      </c>
      <c r="D31" s="22">
        <f>SUM(D32:D49)</f>
        <v>-442.20699999999999</v>
      </c>
      <c r="E31" s="22">
        <f>SUM(E32:E49)</f>
        <v>-400.8300000000001</v>
      </c>
      <c r="F31" s="22">
        <f t="shared" ref="F31" si="7">L31+E31-H31</f>
        <v>-420.91000000000008</v>
      </c>
      <c r="G31" s="12"/>
      <c r="H31" s="68">
        <v>-87.971000000000004</v>
      </c>
      <c r="I31" s="83"/>
      <c r="J31" s="18"/>
      <c r="K31" s="83"/>
      <c r="L31" s="68">
        <v>-108.051</v>
      </c>
      <c r="M31" s="69"/>
    </row>
    <row r="32" spans="2:13" s="20" customFormat="1">
      <c r="B32" s="177" t="s">
        <v>148</v>
      </c>
      <c r="C32" s="18">
        <v>-92.331000000000003</v>
      </c>
      <c r="D32" s="18">
        <v>-127.292</v>
      </c>
      <c r="E32" s="18">
        <v>-111.02</v>
      </c>
      <c r="F32" s="178"/>
      <c r="G32" s="12"/>
      <c r="H32" s="178"/>
      <c r="I32" s="83"/>
      <c r="J32" s="18"/>
      <c r="K32" s="83"/>
      <c r="L32" s="178"/>
      <c r="M32" s="69"/>
    </row>
    <row r="33" spans="2:13" s="20" customFormat="1">
      <c r="B33" s="177" t="s">
        <v>149</v>
      </c>
      <c r="C33" s="18">
        <v>-56.329000000000001</v>
      </c>
      <c r="D33" s="18">
        <v>-60.139000000000003</v>
      </c>
      <c r="E33" s="18">
        <v>-71.691000000000003</v>
      </c>
      <c r="F33" s="178"/>
      <c r="G33" s="12"/>
      <c r="H33" s="178"/>
      <c r="I33" s="83"/>
      <c r="J33" s="18"/>
      <c r="K33" s="83"/>
      <c r="L33" s="178"/>
      <c r="M33" s="69"/>
    </row>
    <row r="34" spans="2:13" s="20" customFormat="1">
      <c r="B34" s="177" t="s">
        <v>150</v>
      </c>
      <c r="C34" s="18">
        <v>-47.308</v>
      </c>
      <c r="D34" s="18">
        <v>-46.787999999999997</v>
      </c>
      <c r="E34" s="18">
        <v>-46.055</v>
      </c>
      <c r="F34" s="178"/>
      <c r="G34" s="12"/>
      <c r="H34" s="178"/>
      <c r="I34" s="83"/>
      <c r="J34" s="18"/>
      <c r="K34" s="83"/>
      <c r="L34" s="178"/>
      <c r="M34" s="69"/>
    </row>
    <row r="35" spans="2:13" s="20" customFormat="1">
      <c r="B35" s="177" t="s">
        <v>151</v>
      </c>
      <c r="C35" s="18">
        <v>-38.44</v>
      </c>
      <c r="D35" s="18">
        <v>-45.066000000000003</v>
      </c>
      <c r="E35" s="18">
        <v>-43.167000000000002</v>
      </c>
      <c r="F35" s="178"/>
      <c r="G35" s="12"/>
      <c r="H35" s="178"/>
      <c r="I35" s="83"/>
      <c r="J35" s="18"/>
      <c r="K35" s="83"/>
      <c r="L35" s="178"/>
      <c r="M35" s="69"/>
    </row>
    <row r="36" spans="2:13" s="20" customFormat="1">
      <c r="B36" s="177" t="s">
        <v>152</v>
      </c>
      <c r="C36" s="18">
        <v>-30.425999999999998</v>
      </c>
      <c r="D36" s="18">
        <v>-30.425999999999998</v>
      </c>
      <c r="E36" s="18">
        <v>-60.139000000000003</v>
      </c>
      <c r="F36" s="178"/>
      <c r="G36" s="12"/>
      <c r="H36" s="178"/>
      <c r="I36" s="83"/>
      <c r="J36" s="18"/>
      <c r="K36" s="83"/>
      <c r="L36" s="178"/>
      <c r="M36" s="69"/>
    </row>
    <row r="37" spans="2:13" s="20" customFormat="1">
      <c r="B37" s="177" t="s">
        <v>153</v>
      </c>
      <c r="C37" s="18">
        <v>-25.292000000000002</v>
      </c>
      <c r="D37" s="18">
        <v>-25.821000000000002</v>
      </c>
      <c r="E37" s="18">
        <v>-4.7190000000000003</v>
      </c>
      <c r="F37" s="178"/>
      <c r="G37" s="12"/>
      <c r="H37" s="178"/>
      <c r="I37" s="83"/>
      <c r="J37" s="18"/>
      <c r="K37" s="83"/>
      <c r="L37" s="178"/>
      <c r="M37" s="69"/>
    </row>
    <row r="38" spans="2:13" s="20" customFormat="1">
      <c r="B38" s="177" t="s">
        <v>154</v>
      </c>
      <c r="C38" s="18">
        <v>-23.167000000000002</v>
      </c>
      <c r="D38" s="18">
        <v>-24.747</v>
      </c>
      <c r="E38" s="18">
        <v>-23.277999999999999</v>
      </c>
      <c r="F38" s="178"/>
      <c r="G38" s="12"/>
      <c r="H38" s="178"/>
      <c r="I38" s="83"/>
      <c r="J38" s="18"/>
      <c r="K38" s="83"/>
      <c r="L38" s="178"/>
      <c r="M38" s="69"/>
    </row>
    <row r="39" spans="2:13" s="20" customFormat="1">
      <c r="B39" s="177" t="s">
        <v>123</v>
      </c>
      <c r="C39" s="18">
        <v>-15.467000000000001</v>
      </c>
      <c r="D39" s="18">
        <v>-13.276999999999999</v>
      </c>
      <c r="E39" s="18">
        <v>-14.510999999999999</v>
      </c>
      <c r="F39" s="178"/>
      <c r="G39" s="12"/>
      <c r="H39" s="178"/>
      <c r="I39" s="83"/>
      <c r="J39" s="18"/>
      <c r="K39" s="83"/>
      <c r="L39" s="178"/>
      <c r="M39" s="69"/>
    </row>
    <row r="40" spans="2:13" s="20" customFormat="1">
      <c r="B40" s="177" t="s">
        <v>155</v>
      </c>
      <c r="C40" s="18">
        <v>-5.3470000000000004</v>
      </c>
      <c r="D40" s="18">
        <v>-6.1310000000000002</v>
      </c>
      <c r="E40" s="18">
        <v>-6.73</v>
      </c>
      <c r="F40" s="178"/>
      <c r="G40" s="12"/>
      <c r="H40" s="178"/>
      <c r="I40" s="83"/>
      <c r="J40" s="18"/>
      <c r="K40" s="83"/>
      <c r="L40" s="178"/>
      <c r="M40" s="69"/>
    </row>
    <row r="41" spans="2:13" s="20" customFormat="1">
      <c r="B41" s="177" t="s">
        <v>156</v>
      </c>
      <c r="C41" s="18">
        <v>-5.048</v>
      </c>
      <c r="D41" s="18">
        <v>-4.5469999999999997</v>
      </c>
      <c r="E41" s="18">
        <v>-4.3259999999999996</v>
      </c>
      <c r="F41" s="178"/>
      <c r="G41" s="12"/>
      <c r="H41" s="178"/>
      <c r="I41" s="83"/>
      <c r="J41" s="18"/>
      <c r="K41" s="83"/>
      <c r="L41" s="178"/>
      <c r="M41" s="69"/>
    </row>
    <row r="42" spans="2:13" s="20" customFormat="1">
      <c r="B42" s="177" t="s">
        <v>157</v>
      </c>
      <c r="C42" s="18">
        <v>-3.5449999999999999</v>
      </c>
      <c r="D42" s="18">
        <v>-7.1550000000000002</v>
      </c>
      <c r="E42" s="18">
        <v>-5.1239999999999997</v>
      </c>
      <c r="F42" s="178"/>
      <c r="G42" s="12"/>
      <c r="H42" s="178"/>
      <c r="I42" s="83"/>
      <c r="J42" s="18"/>
      <c r="K42" s="83"/>
      <c r="L42" s="178"/>
      <c r="M42" s="69"/>
    </row>
    <row r="43" spans="2:13" s="20" customFormat="1">
      <c r="B43" s="177" t="s">
        <v>158</v>
      </c>
      <c r="C43" s="18">
        <v>-2.964</v>
      </c>
      <c r="D43" s="18">
        <v>-2.702</v>
      </c>
      <c r="E43" s="18">
        <v>-3.1019999999999999</v>
      </c>
      <c r="F43" s="178"/>
      <c r="G43" s="12"/>
      <c r="H43" s="178"/>
      <c r="I43" s="83"/>
      <c r="J43" s="18"/>
      <c r="K43" s="83"/>
      <c r="L43" s="178"/>
      <c r="M43" s="69"/>
    </row>
    <row r="44" spans="2:13" s="20" customFormat="1">
      <c r="B44" s="177" t="s">
        <v>159</v>
      </c>
      <c r="C44" s="18">
        <v>-2.2829999999999999</v>
      </c>
      <c r="D44" s="18">
        <v>-3.1320000000000001</v>
      </c>
      <c r="E44" s="18">
        <v>-3.6080000000000001</v>
      </c>
      <c r="F44" s="178"/>
      <c r="G44" s="12"/>
      <c r="H44" s="178"/>
      <c r="I44" s="83"/>
      <c r="J44" s="18"/>
      <c r="K44" s="83"/>
      <c r="L44" s="178"/>
      <c r="M44" s="69"/>
    </row>
    <row r="45" spans="2:13" s="20" customFormat="1">
      <c r="B45" s="177" t="s">
        <v>160</v>
      </c>
      <c r="C45" s="18">
        <v>-1.46</v>
      </c>
      <c r="D45" s="18">
        <v>-0.89</v>
      </c>
      <c r="E45" s="18">
        <v>-1.7969999999999999</v>
      </c>
      <c r="F45" s="178"/>
      <c r="G45" s="12"/>
      <c r="H45" s="178"/>
      <c r="I45" s="83"/>
      <c r="J45" s="18"/>
      <c r="K45" s="83"/>
      <c r="L45" s="178"/>
      <c r="M45" s="69"/>
    </row>
    <row r="46" spans="2:13" s="20" customFormat="1">
      <c r="B46" s="177" t="s">
        <v>161</v>
      </c>
      <c r="C46" s="18">
        <v>-0.73299999999999998</v>
      </c>
      <c r="D46" s="18">
        <v>-0.76800000000000002</v>
      </c>
      <c r="E46" s="18">
        <v>-0.36099999999999999</v>
      </c>
      <c r="F46" s="178"/>
      <c r="G46" s="12"/>
      <c r="H46" s="178"/>
      <c r="I46" s="83"/>
      <c r="J46" s="18"/>
      <c r="K46" s="83"/>
      <c r="L46" s="178"/>
      <c r="M46" s="69"/>
    </row>
    <row r="47" spans="2:13" s="20" customFormat="1">
      <c r="B47" s="177" t="s">
        <v>162</v>
      </c>
      <c r="C47" s="18">
        <v>-0.5</v>
      </c>
      <c r="D47" s="18">
        <v>-0.27200000000000002</v>
      </c>
      <c r="E47" s="18">
        <v>-0.47799999999999998</v>
      </c>
      <c r="F47" s="178"/>
      <c r="G47" s="12"/>
      <c r="H47" s="178"/>
      <c r="I47" s="83"/>
      <c r="J47" s="18"/>
      <c r="K47" s="83"/>
      <c r="L47" s="178"/>
      <c r="M47" s="69"/>
    </row>
    <row r="48" spans="2:13" s="20" customFormat="1">
      <c r="B48" s="177" t="s">
        <v>163</v>
      </c>
      <c r="C48" s="18">
        <v>4.8710000000000004</v>
      </c>
      <c r="D48" s="18">
        <v>-3.8690000000000002</v>
      </c>
      <c r="E48" s="18">
        <v>-0.72399999999999998</v>
      </c>
      <c r="F48" s="178"/>
      <c r="G48" s="12"/>
      <c r="H48" s="178"/>
      <c r="I48" s="83"/>
      <c r="J48" s="18"/>
      <c r="K48" s="83"/>
      <c r="L48" s="178"/>
      <c r="M48" s="69"/>
    </row>
    <row r="49" spans="2:14" s="20" customFormat="1">
      <c r="B49" s="177" t="s">
        <v>164</v>
      </c>
      <c r="C49" s="18">
        <v>-22.408999999999999</v>
      </c>
      <c r="D49" s="18">
        <v>-39.185000000000002</v>
      </c>
      <c r="E49" s="18">
        <v>0</v>
      </c>
      <c r="F49" s="178"/>
      <c r="G49" s="12"/>
      <c r="H49" s="178"/>
      <c r="I49" s="83"/>
      <c r="J49" s="18"/>
      <c r="K49" s="83"/>
      <c r="L49" s="178"/>
      <c r="M49" s="69"/>
    </row>
    <row r="50" spans="2:14" s="20" customFormat="1">
      <c r="B50" s="177"/>
      <c r="C50" s="18"/>
      <c r="D50" s="18"/>
      <c r="E50" s="18"/>
      <c r="F50" s="19"/>
      <c r="G50" s="12"/>
      <c r="H50" s="18"/>
      <c r="I50" s="83"/>
      <c r="J50" s="18"/>
      <c r="K50" s="83"/>
      <c r="L50" s="18"/>
      <c r="M50" s="69"/>
    </row>
    <row r="51" spans="2:14" s="20" customFormat="1">
      <c r="B51" s="66" t="s">
        <v>166</v>
      </c>
      <c r="C51" s="18">
        <v>19.763999999999999</v>
      </c>
      <c r="D51" s="18">
        <v>0</v>
      </c>
      <c r="E51" s="18">
        <v>0</v>
      </c>
      <c r="F51" s="19">
        <f t="shared" ref="F51:F52" si="8">L51+E51-H51</f>
        <v>0</v>
      </c>
      <c r="G51" s="12"/>
      <c r="H51" s="18">
        <v>0</v>
      </c>
      <c r="I51" s="83"/>
      <c r="J51" s="18"/>
      <c r="K51" s="83"/>
      <c r="L51" s="18">
        <v>0</v>
      </c>
      <c r="M51" s="69"/>
    </row>
    <row r="52" spans="2:14" s="20" customFormat="1">
      <c r="B52" s="66" t="s">
        <v>139</v>
      </c>
      <c r="C52" s="18">
        <v>-326.02600000000001</v>
      </c>
      <c r="D52" s="18">
        <v>-289.27600000000001</v>
      </c>
      <c r="E52" s="18">
        <v>-275.51499999999999</v>
      </c>
      <c r="F52" s="19">
        <f t="shared" si="8"/>
        <v>-280.55599999999998</v>
      </c>
      <c r="G52" s="12"/>
      <c r="H52" s="18">
        <v>-59.219000000000001</v>
      </c>
      <c r="I52" s="83"/>
      <c r="J52" s="18"/>
      <c r="K52" s="83"/>
      <c r="L52" s="18">
        <v>-64.260000000000005</v>
      </c>
      <c r="M52" s="69"/>
    </row>
    <row r="53" spans="2:14" s="20" customFormat="1">
      <c r="B53"/>
      <c r="C53" s="18"/>
      <c r="D53" s="18"/>
      <c r="E53" s="18"/>
      <c r="F53" s="19"/>
      <c r="G53" s="12"/>
      <c r="H53" s="18"/>
      <c r="I53" s="83"/>
      <c r="J53" s="18"/>
      <c r="K53" s="83"/>
      <c r="L53" s="18"/>
      <c r="M53" s="69"/>
    </row>
    <row r="54" spans="2:14" s="11" customFormat="1">
      <c r="B54" s="11" t="s">
        <v>95</v>
      </c>
      <c r="C54" s="22">
        <f t="shared" ref="C54:D54" si="9">C15+C19+C23+C31+C51+C52</f>
        <v>473.95900000000034</v>
      </c>
      <c r="D54" s="22">
        <f t="shared" si="9"/>
        <v>485.72800000000001</v>
      </c>
      <c r="E54" s="22">
        <f>E15+E19+E23+E31+E51+E52</f>
        <v>634.73999999999967</v>
      </c>
      <c r="F54" s="22">
        <f t="shared" ref="F54:L54" si="10">F15+F19+F23+F31+F51+F52</f>
        <v>623.86099999999942</v>
      </c>
      <c r="G54" s="12"/>
      <c r="H54" s="22">
        <f t="shared" si="10"/>
        <v>160.94900000000001</v>
      </c>
      <c r="I54" s="22"/>
      <c r="J54" s="22"/>
      <c r="K54" s="22"/>
      <c r="L54" s="22">
        <f t="shared" si="10"/>
        <v>150.07</v>
      </c>
    </row>
    <row r="55" spans="2:14" s="11" customFormat="1">
      <c r="B55" s="66" t="s">
        <v>111</v>
      </c>
      <c r="C55" s="18">
        <v>0.73599999999999999</v>
      </c>
      <c r="D55" s="18">
        <v>2.7669999999999999</v>
      </c>
      <c r="E55" s="18">
        <v>2.5499999999999998</v>
      </c>
      <c r="F55" s="19">
        <f t="shared" ref="F55" si="11">L55+E55-H55</f>
        <v>3.246</v>
      </c>
      <c r="G55" s="12"/>
      <c r="H55" s="18">
        <v>0.93200000000000005</v>
      </c>
      <c r="I55" s="83"/>
      <c r="J55" s="18"/>
      <c r="K55" s="83"/>
      <c r="L55" s="18">
        <v>1.6279999999999999</v>
      </c>
    </row>
    <row r="56" spans="2:14" s="11" customFormat="1">
      <c r="B56" s="66" t="s">
        <v>94</v>
      </c>
      <c r="C56" s="18">
        <v>-329.91500000000002</v>
      </c>
      <c r="D56" s="18">
        <v>-332.85599999999999</v>
      </c>
      <c r="E56" s="18">
        <v>-336.673</v>
      </c>
      <c r="F56" s="19">
        <f>L56+E56-H56</f>
        <v>-340.71</v>
      </c>
      <c r="G56" s="12"/>
      <c r="H56" s="18">
        <v>-82.372</v>
      </c>
      <c r="I56" s="83"/>
      <c r="J56" s="18"/>
      <c r="K56" s="83"/>
      <c r="L56" s="18">
        <v>-86.409000000000006</v>
      </c>
    </row>
    <row r="57" spans="2:14" s="11" customFormat="1">
      <c r="B57" s="11" t="s">
        <v>112</v>
      </c>
      <c r="C57" s="22">
        <f>SUM(C54:C56)</f>
        <v>144.78000000000031</v>
      </c>
      <c r="D57" s="22">
        <f>SUM(D54:D56)</f>
        <v>155.63900000000001</v>
      </c>
      <c r="E57" s="22">
        <f>SUM(E54:E56)</f>
        <v>300.61699999999962</v>
      </c>
      <c r="F57" s="22">
        <f>SUM(F54:F56)</f>
        <v>286.39699999999942</v>
      </c>
      <c r="G57" s="12"/>
      <c r="H57" s="22">
        <f>SUM(H54:H56)</f>
        <v>79.509</v>
      </c>
      <c r="I57" s="170"/>
      <c r="J57" s="22"/>
      <c r="K57" s="170"/>
      <c r="L57" s="22">
        <f>SUM(L54:L56)</f>
        <v>65.288999999999973</v>
      </c>
      <c r="N57" s="69"/>
    </row>
    <row r="58" spans="2:14">
      <c r="B58" s="65" t="s">
        <v>165</v>
      </c>
      <c r="C58" s="18">
        <v>-17.007000000000001</v>
      </c>
      <c r="D58" s="18">
        <v>-50.075000000000003</v>
      </c>
      <c r="E58" s="18">
        <v>-86.346000000000004</v>
      </c>
      <c r="F58" s="19">
        <f t="shared" ref="F58" si="12">L58+E58-H58</f>
        <v>-88.521999999999991</v>
      </c>
      <c r="G58" s="12"/>
      <c r="H58" s="18">
        <v>-21.984000000000002</v>
      </c>
      <c r="I58" s="83"/>
      <c r="J58" s="18"/>
      <c r="K58" s="83"/>
      <c r="L58" s="18">
        <v>-24.16</v>
      </c>
      <c r="N58" s="69"/>
    </row>
    <row r="59" spans="2:14" s="11" customFormat="1">
      <c r="B59" s="2" t="s">
        <v>113</v>
      </c>
      <c r="C59" s="22">
        <f>SUM(C57:C58)</f>
        <v>127.77300000000031</v>
      </c>
      <c r="D59" s="22">
        <f>SUM(D57:D58)</f>
        <v>105.56400000000001</v>
      </c>
      <c r="E59" s="22">
        <f>SUM(E57:E58)</f>
        <v>214.27099999999962</v>
      </c>
      <c r="F59" s="22">
        <f t="shared" ref="F59:L59" si="13">SUM(F57:F58)</f>
        <v>197.87499999999943</v>
      </c>
      <c r="G59" s="12"/>
      <c r="H59" s="22">
        <f t="shared" si="13"/>
        <v>57.524999999999999</v>
      </c>
      <c r="I59" s="22"/>
      <c r="J59" s="22"/>
      <c r="K59" s="22"/>
      <c r="L59" s="22">
        <f t="shared" si="13"/>
        <v>41.128999999999976</v>
      </c>
      <c r="N59" s="69"/>
    </row>
    <row r="60" spans="2:14" s="20" customFormat="1">
      <c r="B60" s="23" t="s">
        <v>29</v>
      </c>
      <c r="C60" s="21">
        <f>C59/C7</f>
        <v>6.5013211461228987E-2</v>
      </c>
      <c r="D60" s="21">
        <f>D59/D7</f>
        <v>5.3237822233967232E-2</v>
      </c>
      <c r="E60" s="21">
        <f>E59/E7</f>
        <v>9.8964359233358709E-2</v>
      </c>
      <c r="F60" s="21">
        <f>F59/F7</f>
        <v>9.0836142387001426E-2</v>
      </c>
      <c r="G60" s="12"/>
      <c r="H60" s="21">
        <f>H59/H7</f>
        <v>0.11725677245765304</v>
      </c>
      <c r="I60" s="21"/>
      <c r="J60" s="21"/>
      <c r="K60" s="21"/>
      <c r="L60" s="21">
        <f>L59/L7</f>
        <v>8.1632693567274636E-2</v>
      </c>
    </row>
    <row r="61" spans="2:14" s="20" customFormat="1">
      <c r="B61" s="76"/>
      <c r="C61" s="36"/>
      <c r="D61" s="36"/>
      <c r="E61" s="36"/>
      <c r="F61" s="36"/>
      <c r="G61" s="12"/>
      <c r="H61" s="36"/>
      <c r="I61" s="36"/>
      <c r="J61" s="36"/>
      <c r="K61" s="36"/>
      <c r="L61" s="36"/>
    </row>
    <row r="62" spans="2:14" s="11" customFormat="1">
      <c r="B62" s="87" t="s">
        <v>167</v>
      </c>
      <c r="C62" s="84"/>
      <c r="D62" s="84"/>
      <c r="E62" s="84"/>
      <c r="F62" s="85"/>
      <c r="G62" s="12"/>
      <c r="H62" s="86"/>
      <c r="I62" s="86"/>
      <c r="J62" s="86"/>
      <c r="K62" s="86"/>
      <c r="L62" s="86"/>
    </row>
    <row r="63" spans="2:14" s="11" customFormat="1">
      <c r="B63" s="179" t="s">
        <v>110</v>
      </c>
      <c r="C63" s="25">
        <f>-C9/C$7</f>
        <v>0.16347001713190448</v>
      </c>
      <c r="D63" s="25">
        <f t="shared" ref="D63:L63" si="14">-D9/D$7</f>
        <v>0.1625139443918833</v>
      </c>
      <c r="E63" s="25">
        <f t="shared" si="14"/>
        <v>0.16524204286757443</v>
      </c>
      <c r="F63" s="25">
        <f t="shared" si="14"/>
        <v>0.16523019703237235</v>
      </c>
      <c r="G63" s="12"/>
      <c r="H63" s="25">
        <f t="shared" si="14"/>
        <v>0.12535110784973197</v>
      </c>
      <c r="I63" s="25"/>
      <c r="J63" s="25"/>
      <c r="K63" s="25"/>
      <c r="L63" s="25">
        <f t="shared" si="14"/>
        <v>0.12634817299485937</v>
      </c>
    </row>
    <row r="64" spans="2:14" s="11" customFormat="1">
      <c r="B64" s="180" t="s">
        <v>131</v>
      </c>
      <c r="C64" s="25">
        <f>-C10/C$7</f>
        <v>1.9775723170404699E-2</v>
      </c>
      <c r="D64" s="25">
        <f t="shared" ref="D64:L64" si="15">-D10/D$7</f>
        <v>2.6056596579917251E-2</v>
      </c>
      <c r="E64" s="25">
        <f t="shared" si="15"/>
        <v>5.8247691943173939E-2</v>
      </c>
      <c r="F64" s="25">
        <f t="shared" si="15"/>
        <v>6.100240867840357E-2</v>
      </c>
      <c r="G64" s="12"/>
      <c r="H64" s="25">
        <f t="shared" si="15"/>
        <v>1.4941193257098596E-2</v>
      </c>
      <c r="I64" s="25"/>
      <c r="J64" s="25"/>
      <c r="K64" s="25"/>
      <c r="L64" s="25">
        <f t="shared" si="15"/>
        <v>2.7989599666554198E-2</v>
      </c>
    </row>
    <row r="65" spans="2:12" s="11" customFormat="1">
      <c r="B65" s="180" t="s">
        <v>133</v>
      </c>
      <c r="C65" s="25">
        <f t="shared" ref="C65:L66" si="16">-C11/C$7</f>
        <v>7.0054580914539435E-2</v>
      </c>
      <c r="D65" s="25">
        <f t="shared" si="16"/>
        <v>7.3809456567127743E-2</v>
      </c>
      <c r="E65" s="25">
        <f t="shared" si="16"/>
        <v>5.8193191827014788E-2</v>
      </c>
      <c r="F65" s="25">
        <f t="shared" si="16"/>
        <v>5.6101962336110492E-2</v>
      </c>
      <c r="G65" s="12"/>
      <c r="H65" s="25">
        <f t="shared" si="16"/>
        <v>8.5484824395116094E-2</v>
      </c>
      <c r="I65" s="25"/>
      <c r="J65" s="25"/>
      <c r="K65" s="25"/>
      <c r="L65" s="25">
        <f t="shared" si="16"/>
        <v>7.5725939304924286E-2</v>
      </c>
    </row>
    <row r="66" spans="2:12" s="11" customFormat="1">
      <c r="B66" s="180" t="s">
        <v>132</v>
      </c>
      <c r="C66" s="25">
        <f t="shared" si="16"/>
        <v>7.3639713046960348E-2</v>
      </c>
      <c r="D66" s="25">
        <f t="shared" si="16"/>
        <v>6.26478912448383E-2</v>
      </c>
      <c r="E66" s="25">
        <f t="shared" si="16"/>
        <v>4.8801159097385707E-2</v>
      </c>
      <c r="F66" s="25">
        <f t="shared" si="16"/>
        <v>4.8125826017858295E-2</v>
      </c>
      <c r="G66" s="12"/>
      <c r="H66" s="25">
        <f t="shared" si="16"/>
        <v>2.4925090197517277E-2</v>
      </c>
      <c r="I66" s="25"/>
      <c r="J66" s="25"/>
      <c r="K66" s="25"/>
      <c r="L66" s="25">
        <f t="shared" si="16"/>
        <v>2.2632634023380904E-2</v>
      </c>
    </row>
    <row r="67" spans="2:12" s="11" customFormat="1">
      <c r="B67" s="88" t="s">
        <v>134</v>
      </c>
      <c r="C67" s="25">
        <f>C13/C$7</f>
        <v>6.1566986662351891E-5</v>
      </c>
      <c r="D67" s="25">
        <f t="shared" ref="D67:L67" si="17">D13/D$7</f>
        <v>4.100105099865044E-4</v>
      </c>
      <c r="E67" s="25">
        <f t="shared" si="17"/>
        <v>3.4122615100319474E-3</v>
      </c>
      <c r="F67" s="25">
        <f t="shared" si="17"/>
        <v>3.4511995879493557E-3</v>
      </c>
      <c r="G67" s="12"/>
      <c r="H67" s="25">
        <f t="shared" si="17"/>
        <v>2.6294869442915675E-4</v>
      </c>
      <c r="I67" s="25"/>
      <c r="J67" s="25"/>
      <c r="K67" s="25"/>
      <c r="L67" s="25">
        <f t="shared" si="17"/>
        <v>5.1406228291288726E-4</v>
      </c>
    </row>
    <row r="68" spans="2:12" s="11" customFormat="1">
      <c r="B68" s="17"/>
      <c r="C68" s="90"/>
      <c r="D68" s="90"/>
      <c r="E68" s="90"/>
      <c r="F68" s="90"/>
      <c r="G68" s="12"/>
      <c r="H68" s="90"/>
      <c r="I68" s="90"/>
      <c r="J68" s="90"/>
      <c r="K68" s="90"/>
      <c r="L68" s="90"/>
    </row>
    <row r="69" spans="2:12" s="20" customFormat="1">
      <c r="B69" s="181" t="s">
        <v>135</v>
      </c>
      <c r="C69" s="25"/>
      <c r="D69" s="25"/>
      <c r="E69" s="25"/>
      <c r="F69" s="25"/>
      <c r="G69" s="12"/>
      <c r="H69" s="25"/>
      <c r="I69" s="25"/>
      <c r="J69" s="25"/>
      <c r="K69" s="25"/>
      <c r="L69" s="25"/>
    </row>
    <row r="70" spans="2:12" s="20" customFormat="1">
      <c r="B70" s="182" t="s">
        <v>136</v>
      </c>
      <c r="C70" s="25">
        <f>-C19/C$7</f>
        <v>0.12555747379968543</v>
      </c>
      <c r="D70" s="25">
        <f t="shared" ref="D70:L70" si="18">-D19/D$7</f>
        <v>0.10682009364176076</v>
      </c>
      <c r="E70" s="25">
        <f t="shared" si="18"/>
        <v>0.1119861920722653</v>
      </c>
      <c r="F70" s="25">
        <f t="shared" si="18"/>
        <v>0.11310781027858866</v>
      </c>
      <c r="G70" s="12"/>
      <c r="H70" s="25">
        <f t="shared" si="18"/>
        <v>0.11359995107931267</v>
      </c>
      <c r="I70" s="25"/>
      <c r="J70" s="25"/>
      <c r="K70" s="25"/>
      <c r="L70" s="25">
        <f t="shared" si="18"/>
        <v>0.11840700236190778</v>
      </c>
    </row>
    <row r="71" spans="2:12" s="20" customFormat="1">
      <c r="B71" s="183" t="s">
        <v>140</v>
      </c>
      <c r="C71" s="25">
        <f t="shared" ref="C71:L100" si="19">-C20/C$7</f>
        <v>0.13868498004669932</v>
      </c>
      <c r="D71" s="25">
        <f t="shared" si="19"/>
        <v>0.12517726776661778</v>
      </c>
      <c r="E71" s="25">
        <f t="shared" si="19"/>
        <v>0.12113112681761352</v>
      </c>
      <c r="F71" s="25">
        <f t="shared" si="19"/>
        <v>0</v>
      </c>
      <c r="G71" s="12"/>
      <c r="H71" s="25">
        <f t="shared" si="19"/>
        <v>0</v>
      </c>
      <c r="I71" s="25"/>
      <c r="J71" s="25"/>
      <c r="K71" s="25"/>
      <c r="L71" s="25">
        <f t="shared" si="19"/>
        <v>0</v>
      </c>
    </row>
    <row r="72" spans="2:12" s="20" customFormat="1">
      <c r="B72" s="183" t="s">
        <v>141</v>
      </c>
      <c r="C72" s="25">
        <f t="shared" si="19"/>
        <v>-1.3127506247013875E-2</v>
      </c>
      <c r="D72" s="25">
        <f t="shared" si="19"/>
        <v>-1.8357174124857024E-2</v>
      </c>
      <c r="E72" s="25">
        <f t="shared" si="19"/>
        <v>-9.1449347453482089E-3</v>
      </c>
      <c r="F72" s="25">
        <f t="shared" si="19"/>
        <v>0</v>
      </c>
      <c r="G72" s="12"/>
      <c r="H72" s="25">
        <f t="shared" si="19"/>
        <v>0</v>
      </c>
      <c r="I72" s="25"/>
      <c r="J72" s="25"/>
      <c r="K72" s="25"/>
      <c r="L72" s="25">
        <f t="shared" si="19"/>
        <v>0</v>
      </c>
    </row>
    <row r="73" spans="2:12" s="20" customFormat="1">
      <c r="B73" s="177"/>
      <c r="C73" s="90"/>
      <c r="D73" s="90"/>
      <c r="E73" s="90"/>
      <c r="F73" s="90"/>
      <c r="G73" s="12"/>
      <c r="H73" s="90"/>
      <c r="I73" s="90"/>
      <c r="J73" s="90"/>
      <c r="K73" s="90"/>
      <c r="L73" s="90"/>
    </row>
    <row r="74" spans="2:12" s="20" customFormat="1">
      <c r="B74" s="182" t="s">
        <v>137</v>
      </c>
      <c r="C74" s="25">
        <f t="shared" si="19"/>
        <v>0.12670791145954974</v>
      </c>
      <c r="D74" s="25">
        <f t="shared" si="19"/>
        <v>0.11721459133097581</v>
      </c>
      <c r="E74" s="25">
        <f t="shared" si="19"/>
        <v>0.12063924017600768</v>
      </c>
      <c r="F74" s="25">
        <f t="shared" si="19"/>
        <v>0.11671095813251449</v>
      </c>
      <c r="G74" s="12"/>
      <c r="H74" s="25">
        <f t="shared" si="19"/>
        <v>0.1332130699769665</v>
      </c>
      <c r="I74" s="25"/>
      <c r="J74" s="25"/>
      <c r="K74" s="25"/>
      <c r="L74" s="25">
        <f t="shared" si="19"/>
        <v>0.11589821963757617</v>
      </c>
    </row>
    <row r="75" spans="2:12" s="20" customFormat="1">
      <c r="B75" s="183" t="s">
        <v>142</v>
      </c>
      <c r="C75" s="25">
        <f t="shared" si="19"/>
        <v>1.5498598460621806E-3</v>
      </c>
      <c r="D75" s="25">
        <f t="shared" si="19"/>
        <v>1.2229710783730299E-3</v>
      </c>
      <c r="E75" s="25">
        <f t="shared" si="19"/>
        <v>1.5033718482883038E-3</v>
      </c>
      <c r="F75" s="25">
        <f t="shared" si="19"/>
        <v>0</v>
      </c>
      <c r="G75" s="12"/>
      <c r="H75" s="25">
        <f t="shared" si="19"/>
        <v>0</v>
      </c>
      <c r="I75" s="25"/>
      <c r="J75" s="25"/>
      <c r="K75" s="25"/>
      <c r="L75" s="25">
        <f t="shared" si="19"/>
        <v>0</v>
      </c>
    </row>
    <row r="76" spans="2:12" s="20" customFormat="1">
      <c r="B76" s="183" t="s">
        <v>143</v>
      </c>
      <c r="C76" s="25">
        <f t="shared" si="19"/>
        <v>1.668923274814167E-3</v>
      </c>
      <c r="D76" s="25">
        <f t="shared" si="19"/>
        <v>1.7903287951440231E-4</v>
      </c>
      <c r="E76" s="25">
        <f t="shared" si="19"/>
        <v>2.3555134950139323E-4</v>
      </c>
      <c r="F76" s="25">
        <f t="shared" si="19"/>
        <v>0</v>
      </c>
      <c r="G76" s="12"/>
      <c r="H76" s="25">
        <f t="shared" si="19"/>
        <v>0</v>
      </c>
      <c r="I76" s="25"/>
      <c r="J76" s="25"/>
      <c r="K76" s="25"/>
      <c r="L76" s="25">
        <f t="shared" si="19"/>
        <v>0</v>
      </c>
    </row>
    <row r="77" spans="2:12" s="20" customFormat="1">
      <c r="B77" s="183" t="s">
        <v>144</v>
      </c>
      <c r="C77" s="25">
        <f t="shared" si="19"/>
        <v>3.4024155629130651E-2</v>
      </c>
      <c r="D77" s="25">
        <f t="shared" si="19"/>
        <v>3.6834880244654734E-2</v>
      </c>
      <c r="E77" s="25">
        <f t="shared" si="19"/>
        <v>3.6111407474737123E-2</v>
      </c>
      <c r="F77" s="25">
        <f t="shared" si="19"/>
        <v>0</v>
      </c>
      <c r="G77" s="12"/>
      <c r="H77" s="25">
        <f t="shared" si="19"/>
        <v>0</v>
      </c>
      <c r="I77" s="25"/>
      <c r="J77" s="25"/>
      <c r="K77" s="25"/>
      <c r="L77" s="25">
        <f t="shared" si="19"/>
        <v>0</v>
      </c>
    </row>
    <row r="78" spans="2:12" s="20" customFormat="1">
      <c r="B78" s="183" t="s">
        <v>145</v>
      </c>
      <c r="C78" s="25">
        <f t="shared" si="19"/>
        <v>6.4991332284150471E-3</v>
      </c>
      <c r="D78" s="25">
        <f t="shared" si="19"/>
        <v>7.068520674010881E-3</v>
      </c>
      <c r="E78" s="25">
        <f t="shared" si="19"/>
        <v>8.6498150460041032E-3</v>
      </c>
      <c r="F78" s="25">
        <f t="shared" si="19"/>
        <v>0</v>
      </c>
      <c r="G78" s="12"/>
      <c r="H78" s="25">
        <f t="shared" si="19"/>
        <v>0</v>
      </c>
      <c r="I78" s="25"/>
      <c r="J78" s="25"/>
      <c r="K78" s="25"/>
      <c r="L78" s="25">
        <f t="shared" si="19"/>
        <v>0</v>
      </c>
    </row>
    <row r="79" spans="2:12" s="20" customFormat="1">
      <c r="B79" s="183" t="s">
        <v>146</v>
      </c>
      <c r="C79" s="25">
        <f t="shared" si="19"/>
        <v>5.5508998702005097E-2</v>
      </c>
      <c r="D79" s="25">
        <f t="shared" si="19"/>
        <v>4.163850891331581E-2</v>
      </c>
      <c r="E79" s="25">
        <f t="shared" si="19"/>
        <v>4.0636302712119772E-2</v>
      </c>
      <c r="F79" s="25">
        <f t="shared" si="19"/>
        <v>0</v>
      </c>
      <c r="G79" s="12"/>
      <c r="H79" s="25">
        <f t="shared" si="19"/>
        <v>0</v>
      </c>
      <c r="I79" s="25"/>
      <c r="J79" s="25"/>
      <c r="K79" s="25"/>
      <c r="L79" s="25">
        <f t="shared" si="19"/>
        <v>0</v>
      </c>
    </row>
    <row r="80" spans="2:12" s="20" customFormat="1">
      <c r="B80" s="183" t="s">
        <v>147</v>
      </c>
      <c r="C80" s="25">
        <f t="shared" si="19"/>
        <v>2.7456840779122586E-2</v>
      </c>
      <c r="D80" s="25">
        <f t="shared" si="19"/>
        <v>3.0270677541106961E-2</v>
      </c>
      <c r="E80" s="25">
        <f t="shared" si="19"/>
        <v>3.3502791745356982E-2</v>
      </c>
      <c r="F80" s="25">
        <f t="shared" si="19"/>
        <v>0</v>
      </c>
      <c r="G80" s="12"/>
      <c r="H80" s="25">
        <f t="shared" si="19"/>
        <v>0</v>
      </c>
      <c r="I80" s="25"/>
      <c r="J80" s="25"/>
      <c r="K80" s="25"/>
      <c r="L80" s="25">
        <f t="shared" si="19"/>
        <v>0</v>
      </c>
    </row>
    <row r="81" spans="2:12" s="20" customFormat="1">
      <c r="B81" s="66"/>
      <c r="C81" s="90"/>
      <c r="D81" s="90"/>
      <c r="E81" s="90"/>
      <c r="F81" s="90"/>
      <c r="G81" s="12"/>
      <c r="H81" s="90"/>
      <c r="I81" s="90"/>
      <c r="J81" s="90"/>
      <c r="K81" s="90"/>
      <c r="L81" s="90"/>
    </row>
    <row r="82" spans="2:12" s="20" customFormat="1">
      <c r="B82" s="182" t="s">
        <v>138</v>
      </c>
      <c r="C82" s="25">
        <f t="shared" si="19"/>
        <v>0.18733561996174705</v>
      </c>
      <c r="D82" s="25">
        <f t="shared" si="19"/>
        <v>0.22301293676457831</v>
      </c>
      <c r="E82" s="25">
        <f t="shared" si="19"/>
        <v>0.18512950474635975</v>
      </c>
      <c r="F82" s="25">
        <f t="shared" si="19"/>
        <v>0.19322218922103798</v>
      </c>
      <c r="G82" s="12"/>
      <c r="H82" s="25">
        <f t="shared" si="19"/>
        <v>0.17931674106687867</v>
      </c>
      <c r="I82" s="25"/>
      <c r="J82" s="25"/>
      <c r="K82" s="25"/>
      <c r="L82" s="25">
        <f t="shared" si="19"/>
        <v>0.21445924220471191</v>
      </c>
    </row>
    <row r="83" spans="2:12" s="20" customFormat="1">
      <c r="B83" s="183" t="s">
        <v>148</v>
      </c>
      <c r="C83" s="25">
        <f t="shared" si="19"/>
        <v>4.697968136794721E-2</v>
      </c>
      <c r="D83" s="25">
        <f t="shared" si="19"/>
        <v>6.4195643096189581E-2</v>
      </c>
      <c r="E83" s="25">
        <f t="shared" si="19"/>
        <v>5.1276295728715053E-2</v>
      </c>
      <c r="F83" s="25">
        <f t="shared" si="19"/>
        <v>0</v>
      </c>
      <c r="G83" s="12"/>
      <c r="H83" s="25">
        <f t="shared" si="19"/>
        <v>0</v>
      </c>
      <c r="I83" s="25"/>
      <c r="J83" s="25"/>
      <c r="K83" s="25"/>
      <c r="L83" s="25">
        <f t="shared" si="19"/>
        <v>0</v>
      </c>
    </row>
    <row r="84" spans="2:12" s="20" customFormat="1">
      <c r="B84" s="183" t="s">
        <v>149</v>
      </c>
      <c r="C84" s="25">
        <f t="shared" si="19"/>
        <v>2.8661213154575371E-2</v>
      </c>
      <c r="D84" s="25">
        <f t="shared" si="19"/>
        <v>3.032917842568068E-2</v>
      </c>
      <c r="E84" s="25">
        <f t="shared" si="19"/>
        <v>3.3111591759028204E-2</v>
      </c>
      <c r="F84" s="25">
        <f t="shared" si="19"/>
        <v>0</v>
      </c>
      <c r="G84" s="12"/>
      <c r="H84" s="25">
        <f t="shared" si="19"/>
        <v>0</v>
      </c>
      <c r="I84" s="25"/>
      <c r="J84" s="25"/>
      <c r="K84" s="25"/>
      <c r="L84" s="25">
        <f t="shared" si="19"/>
        <v>0</v>
      </c>
    </row>
    <row r="85" spans="2:12" s="20" customFormat="1">
      <c r="B85" s="183" t="s">
        <v>150</v>
      </c>
      <c r="C85" s="25">
        <f t="shared" si="19"/>
        <v>2.407116533076482E-2</v>
      </c>
      <c r="D85" s="25">
        <f t="shared" si="19"/>
        <v>2.359602920202776E-2</v>
      </c>
      <c r="E85" s="25">
        <f t="shared" si="19"/>
        <v>2.1271210590758167E-2</v>
      </c>
      <c r="F85" s="25">
        <f t="shared" si="19"/>
        <v>0</v>
      </c>
      <c r="G85" s="12"/>
      <c r="H85" s="25">
        <f t="shared" si="19"/>
        <v>0</v>
      </c>
      <c r="I85" s="25"/>
      <c r="J85" s="25"/>
      <c r="K85" s="25"/>
      <c r="L85" s="25">
        <f t="shared" si="19"/>
        <v>0</v>
      </c>
    </row>
    <row r="86" spans="2:12" s="20" customFormat="1">
      <c r="B86" s="183" t="s">
        <v>151</v>
      </c>
      <c r="C86" s="25">
        <f t="shared" si="19"/>
        <v>1.9558966671907492E-2</v>
      </c>
      <c r="D86" s="25">
        <f t="shared" si="19"/>
        <v>2.2727593656890296E-2</v>
      </c>
      <c r="E86" s="25">
        <f t="shared" si="19"/>
        <v>1.9937343341032632E-2</v>
      </c>
      <c r="F86" s="25">
        <f t="shared" si="19"/>
        <v>0</v>
      </c>
      <c r="G86" s="12"/>
      <c r="H86" s="25">
        <f t="shared" si="19"/>
        <v>0</v>
      </c>
      <c r="I86" s="25"/>
      <c r="J86" s="25"/>
      <c r="K86" s="25"/>
      <c r="L86" s="25">
        <f t="shared" si="19"/>
        <v>0</v>
      </c>
    </row>
    <row r="87" spans="2:12" s="20" customFormat="1">
      <c r="B87" s="183" t="s">
        <v>152</v>
      </c>
      <c r="C87" s="25">
        <f t="shared" si="19"/>
        <v>1.5481298646187757E-2</v>
      </c>
      <c r="D87" s="25">
        <f t="shared" si="19"/>
        <v>1.5344378569310436E-2</v>
      </c>
      <c r="E87" s="25">
        <f t="shared" si="19"/>
        <v>2.7776122760126056E-2</v>
      </c>
      <c r="F87" s="25">
        <f t="shared" si="19"/>
        <v>0</v>
      </c>
      <c r="G87" s="12"/>
      <c r="H87" s="25">
        <f t="shared" si="19"/>
        <v>0</v>
      </c>
      <c r="I87" s="25"/>
      <c r="J87" s="25"/>
      <c r="K87" s="25"/>
      <c r="L87" s="25">
        <f t="shared" si="19"/>
        <v>0</v>
      </c>
    </row>
    <row r="88" spans="2:12" s="20" customFormat="1">
      <c r="B88" s="183" t="s">
        <v>153</v>
      </c>
      <c r="C88" s="25">
        <f t="shared" si="19"/>
        <v>1.2869026666646315E-2</v>
      </c>
      <c r="D88" s="25">
        <f t="shared" si="19"/>
        <v>1.3021994315327837E-2</v>
      </c>
      <c r="E88" s="25">
        <f t="shared" si="19"/>
        <v>2.1795427809746565E-3</v>
      </c>
      <c r="F88" s="25">
        <f t="shared" si="19"/>
        <v>0</v>
      </c>
      <c r="G88" s="12"/>
      <c r="H88" s="25">
        <f t="shared" si="19"/>
        <v>0</v>
      </c>
      <c r="I88" s="25"/>
      <c r="J88" s="25"/>
      <c r="K88" s="25"/>
      <c r="L88" s="25">
        <f t="shared" si="19"/>
        <v>0</v>
      </c>
    </row>
    <row r="89" spans="2:12" s="20" customFormat="1">
      <c r="B89" s="183" t="s">
        <v>154</v>
      </c>
      <c r="C89" s="25">
        <f t="shared" si="19"/>
        <v>1.1787788264518234E-2</v>
      </c>
      <c r="D89" s="25">
        <f t="shared" si="19"/>
        <v>1.2480356815050463E-2</v>
      </c>
      <c r="E89" s="25">
        <f t="shared" si="19"/>
        <v>1.0751302575869473E-2</v>
      </c>
      <c r="F89" s="25">
        <f t="shared" si="19"/>
        <v>0</v>
      </c>
      <c r="G89" s="12"/>
      <c r="H89" s="25">
        <f t="shared" si="19"/>
        <v>0</v>
      </c>
      <c r="I89" s="25"/>
      <c r="J89" s="25"/>
      <c r="K89" s="25"/>
      <c r="L89" s="25">
        <f t="shared" si="19"/>
        <v>0</v>
      </c>
    </row>
    <row r="90" spans="2:12" s="20" customFormat="1">
      <c r="B90" s="183" t="s">
        <v>123</v>
      </c>
      <c r="C90" s="25">
        <f t="shared" si="19"/>
        <v>7.8698891132776595E-3</v>
      </c>
      <c r="D90" s="25">
        <f t="shared" si="19"/>
        <v>6.6958296938386466E-3</v>
      </c>
      <c r="E90" s="25">
        <f t="shared" si="19"/>
        <v>6.7021286914014057E-3</v>
      </c>
      <c r="F90" s="25">
        <f t="shared" si="19"/>
        <v>0</v>
      </c>
      <c r="G90" s="12"/>
      <c r="H90" s="25">
        <f t="shared" si="19"/>
        <v>0</v>
      </c>
      <c r="I90" s="25"/>
      <c r="J90" s="25"/>
      <c r="K90" s="25"/>
      <c r="L90" s="25">
        <f t="shared" si="19"/>
        <v>0</v>
      </c>
    </row>
    <row r="91" spans="2:12" s="20" customFormat="1">
      <c r="B91" s="183" t="s">
        <v>155</v>
      </c>
      <c r="C91" s="25">
        <f t="shared" si="19"/>
        <v>2.7206502287900462E-3</v>
      </c>
      <c r="D91" s="25">
        <f t="shared" si="19"/>
        <v>3.0919734769092977E-3</v>
      </c>
      <c r="E91" s="25">
        <f t="shared" si="19"/>
        <v>3.1083540826360324E-3</v>
      </c>
      <c r="F91" s="25">
        <f t="shared" si="19"/>
        <v>0</v>
      </c>
      <c r="G91" s="12"/>
      <c r="H91" s="25">
        <f t="shared" si="19"/>
        <v>0</v>
      </c>
      <c r="I91" s="25"/>
      <c r="J91" s="25"/>
      <c r="K91" s="25"/>
      <c r="L91" s="25">
        <f t="shared" si="19"/>
        <v>0</v>
      </c>
    </row>
    <row r="92" spans="2:12" s="20" customFormat="1">
      <c r="B92" s="183" t="s">
        <v>156</v>
      </c>
      <c r="C92" s="25">
        <f t="shared" si="19"/>
        <v>2.5685136253847302E-3</v>
      </c>
      <c r="D92" s="25">
        <f t="shared" si="19"/>
        <v>2.293133811695739E-3</v>
      </c>
      <c r="E92" s="25">
        <f t="shared" si="19"/>
        <v>1.9980296822412293E-3</v>
      </c>
      <c r="F92" s="25">
        <f t="shared" si="19"/>
        <v>0</v>
      </c>
      <c r="G92" s="12"/>
      <c r="H92" s="25">
        <f t="shared" si="19"/>
        <v>0</v>
      </c>
      <c r="I92" s="25"/>
      <c r="J92" s="25"/>
      <c r="K92" s="25"/>
      <c r="L92" s="25">
        <f t="shared" si="19"/>
        <v>0</v>
      </c>
    </row>
    <row r="93" spans="2:12" s="20" customFormat="1">
      <c r="B93" s="183" t="s">
        <v>157</v>
      </c>
      <c r="C93" s="25">
        <f t="shared" si="19"/>
        <v>1.8037600637854335E-3</v>
      </c>
      <c r="D93" s="25">
        <f t="shared" si="19"/>
        <v>3.608395078663517E-3</v>
      </c>
      <c r="E93" s="25">
        <f t="shared" si="19"/>
        <v>2.3665982644022329E-3</v>
      </c>
      <c r="F93" s="25">
        <f t="shared" si="19"/>
        <v>0</v>
      </c>
      <c r="G93" s="12"/>
      <c r="H93" s="25">
        <f t="shared" si="19"/>
        <v>0</v>
      </c>
      <c r="I93" s="25"/>
      <c r="J93" s="25"/>
      <c r="K93" s="25"/>
      <c r="L93" s="25">
        <f t="shared" si="19"/>
        <v>0</v>
      </c>
    </row>
    <row r="94" spans="2:12" s="20" customFormat="1">
      <c r="B94" s="183" t="s">
        <v>158</v>
      </c>
      <c r="C94" s="25">
        <f t="shared" si="19"/>
        <v>1.5081367641918266E-3</v>
      </c>
      <c r="D94" s="25">
        <f t="shared" si="19"/>
        <v>1.36266715619131E-3</v>
      </c>
      <c r="E94" s="25">
        <f t="shared" si="19"/>
        <v>1.432706443437886E-3</v>
      </c>
      <c r="F94" s="25">
        <f t="shared" si="19"/>
        <v>0</v>
      </c>
      <c r="G94" s="12"/>
      <c r="H94" s="25">
        <f t="shared" si="19"/>
        <v>0</v>
      </c>
      <c r="I94" s="25"/>
      <c r="J94" s="25"/>
      <c r="K94" s="25"/>
      <c r="L94" s="25">
        <f t="shared" si="19"/>
        <v>0</v>
      </c>
    </row>
    <row r="95" spans="2:12" s="20" customFormat="1">
      <c r="B95" s="183" t="s">
        <v>159</v>
      </c>
      <c r="C95" s="25">
        <f t="shared" si="19"/>
        <v>1.161631657439251E-3</v>
      </c>
      <c r="D95" s="25">
        <f t="shared" si="19"/>
        <v>1.5795238834904453E-3</v>
      </c>
      <c r="E95" s="25">
        <f t="shared" si="19"/>
        <v>1.6664103313745625E-3</v>
      </c>
      <c r="F95" s="25">
        <f t="shared" si="19"/>
        <v>0</v>
      </c>
      <c r="G95" s="12"/>
      <c r="H95" s="25">
        <f t="shared" si="19"/>
        <v>0</v>
      </c>
      <c r="I95" s="25"/>
      <c r="J95" s="25"/>
      <c r="K95" s="25"/>
      <c r="L95" s="25">
        <f t="shared" si="19"/>
        <v>0</v>
      </c>
    </row>
    <row r="96" spans="2:12" s="20" customFormat="1">
      <c r="B96" s="183" t="s">
        <v>160</v>
      </c>
      <c r="C96" s="25">
        <f t="shared" si="19"/>
        <v>7.4287438452094018E-4</v>
      </c>
      <c r="D96" s="25">
        <f t="shared" si="19"/>
        <v>4.4884299371216358E-4</v>
      </c>
      <c r="E96" s="25">
        <f t="shared" si="19"/>
        <v>8.2997210794902678E-4</v>
      </c>
      <c r="F96" s="25">
        <f t="shared" si="19"/>
        <v>0</v>
      </c>
      <c r="G96" s="12"/>
      <c r="H96" s="25">
        <f t="shared" si="19"/>
        <v>0</v>
      </c>
      <c r="I96" s="25"/>
      <c r="J96" s="25"/>
      <c r="K96" s="25"/>
      <c r="L96" s="25">
        <f t="shared" si="19"/>
        <v>0</v>
      </c>
    </row>
    <row r="97" spans="2:13" s="20" customFormat="1">
      <c r="B97" s="183" t="s">
        <v>161</v>
      </c>
      <c r="C97" s="25">
        <f t="shared" si="19"/>
        <v>3.7296364647523915E-4</v>
      </c>
      <c r="D97" s="25">
        <f t="shared" si="19"/>
        <v>3.8731620131566473E-4</v>
      </c>
      <c r="E97" s="25">
        <f t="shared" si="19"/>
        <v>1.6673340621569207E-4</v>
      </c>
      <c r="F97" s="25">
        <f t="shared" si="19"/>
        <v>0</v>
      </c>
      <c r="G97" s="12"/>
      <c r="H97" s="25">
        <f t="shared" si="19"/>
        <v>0</v>
      </c>
      <c r="I97" s="25"/>
      <c r="J97" s="25"/>
      <c r="K97" s="25"/>
      <c r="L97" s="25">
        <f t="shared" ref="D97:L100" si="20">-L46/L$7</f>
        <v>0</v>
      </c>
    </row>
    <row r="98" spans="2:13" s="20" customFormat="1">
      <c r="B98" s="183" t="s">
        <v>162</v>
      </c>
      <c r="C98" s="25">
        <f t="shared" si="19"/>
        <v>2.5440903579484255E-4</v>
      </c>
      <c r="D98" s="25">
        <f t="shared" si="20"/>
        <v>1.3717448796596459E-4</v>
      </c>
      <c r="E98" s="25">
        <f t="shared" si="20"/>
        <v>2.2077165698365875E-4</v>
      </c>
      <c r="F98" s="25">
        <f t="shared" si="20"/>
        <v>0</v>
      </c>
      <c r="G98" s="12"/>
      <c r="H98" s="25">
        <f t="shared" si="20"/>
        <v>0</v>
      </c>
      <c r="I98" s="25"/>
      <c r="J98" s="25"/>
      <c r="K98" s="25"/>
      <c r="L98" s="25">
        <f t="shared" si="20"/>
        <v>0</v>
      </c>
    </row>
    <row r="99" spans="2:13" s="20" customFormat="1">
      <c r="B99" s="183" t="s">
        <v>163</v>
      </c>
      <c r="C99" s="25">
        <f t="shared" si="19"/>
        <v>-2.4784528267133561E-3</v>
      </c>
      <c r="D99" s="25">
        <f t="shared" si="20"/>
        <v>1.9512062277217538E-3</v>
      </c>
      <c r="E99" s="25">
        <f t="shared" si="20"/>
        <v>3.3439054321374254E-4</v>
      </c>
      <c r="F99" s="25">
        <f t="shared" si="20"/>
        <v>0</v>
      </c>
      <c r="G99" s="12"/>
      <c r="H99" s="25">
        <f t="shared" si="20"/>
        <v>0</v>
      </c>
      <c r="I99" s="25"/>
      <c r="J99" s="25"/>
      <c r="K99" s="25"/>
      <c r="L99" s="25">
        <f t="shared" si="20"/>
        <v>0</v>
      </c>
    </row>
    <row r="100" spans="2:13" s="20" customFormat="1">
      <c r="B100" s="183" t="s">
        <v>164</v>
      </c>
      <c r="C100" s="25">
        <f t="shared" si="19"/>
        <v>1.1402104166253252E-2</v>
      </c>
      <c r="D100" s="25">
        <f t="shared" si="20"/>
        <v>1.9761699672596774E-2</v>
      </c>
      <c r="E100" s="25">
        <f t="shared" si="20"/>
        <v>0</v>
      </c>
      <c r="F100" s="25">
        <f t="shared" si="20"/>
        <v>0</v>
      </c>
      <c r="G100" s="12"/>
      <c r="H100" s="25">
        <f t="shared" si="20"/>
        <v>0</v>
      </c>
      <c r="I100" s="25"/>
      <c r="J100" s="25"/>
      <c r="K100" s="25"/>
      <c r="L100" s="25">
        <f t="shared" si="20"/>
        <v>0</v>
      </c>
    </row>
    <row r="101" spans="2:13" s="20" customFormat="1">
      <c r="B101" s="183"/>
      <c r="C101" s="25"/>
      <c r="D101" s="25"/>
      <c r="E101" s="25"/>
      <c r="F101" s="25"/>
      <c r="G101" s="12"/>
      <c r="H101" s="25"/>
      <c r="I101" s="25"/>
      <c r="J101" s="25"/>
      <c r="K101" s="25"/>
      <c r="L101" s="25"/>
    </row>
    <row r="102" spans="2:13" s="20" customFormat="1">
      <c r="B102" s="180" t="s">
        <v>166</v>
      </c>
      <c r="C102" s="25">
        <f>C51/C$7</f>
        <v>1.0056280366898535E-2</v>
      </c>
      <c r="D102" s="25">
        <f t="shared" ref="D102:L102" si="21">D51/D$7</f>
        <v>0</v>
      </c>
      <c r="E102" s="25">
        <f t="shared" si="21"/>
        <v>0</v>
      </c>
      <c r="F102" s="25">
        <f t="shared" si="21"/>
        <v>0</v>
      </c>
      <c r="G102" s="12"/>
      <c r="H102" s="25">
        <f t="shared" si="21"/>
        <v>0</v>
      </c>
      <c r="I102" s="25"/>
      <c r="J102" s="25"/>
      <c r="K102" s="25"/>
      <c r="L102" s="25">
        <f t="shared" si="21"/>
        <v>0</v>
      </c>
    </row>
    <row r="103" spans="2:13" s="20" customFormat="1">
      <c r="B103" s="180" t="s">
        <v>139</v>
      </c>
      <c r="C103" s="25">
        <f>-C52/C$7</f>
        <v>0.16588792060809868</v>
      </c>
      <c r="D103" s="25">
        <f t="shared" ref="D103:L103" si="22">-D52/D$7</f>
        <v>0.14588708522368521</v>
      </c>
      <c r="E103" s="25">
        <f t="shared" si="22"/>
        <v>0.12725084325073796</v>
      </c>
      <c r="F103" s="25">
        <f t="shared" si="22"/>
        <v>0.12879153386495334</v>
      </c>
      <c r="G103" s="12"/>
      <c r="H103" s="25">
        <f t="shared" si="22"/>
        <v>0.1207097576387615</v>
      </c>
      <c r="I103" s="25"/>
      <c r="J103" s="25"/>
      <c r="K103" s="25"/>
      <c r="L103" s="25">
        <f t="shared" si="22"/>
        <v>0.1275430204632515</v>
      </c>
    </row>
    <row r="104" spans="2:13" s="20" customFormat="1">
      <c r="B104" s="88"/>
      <c r="C104" s="25"/>
      <c r="D104" s="25"/>
      <c r="E104" s="25"/>
      <c r="F104" s="25"/>
      <c r="G104" s="12"/>
      <c r="H104" s="25"/>
      <c r="I104" s="25"/>
      <c r="J104" s="25"/>
      <c r="K104" s="25"/>
      <c r="L104" s="25"/>
    </row>
    <row r="105" spans="2:13" s="20" customFormat="1">
      <c r="B105" s="66"/>
      <c r="C105" s="90"/>
      <c r="D105" s="90"/>
      <c r="E105" s="90"/>
      <c r="F105" s="90"/>
      <c r="G105" s="12"/>
      <c r="H105" s="90"/>
      <c r="I105" s="90"/>
      <c r="J105" s="90"/>
      <c r="K105" s="90"/>
      <c r="L105" s="90"/>
    </row>
    <row r="106" spans="2:13" s="20" customFormat="1">
      <c r="B106" s="184" t="s">
        <v>95</v>
      </c>
      <c r="C106" s="25">
        <f>C54/C$7</f>
        <v>0.2411589043925757</v>
      </c>
      <c r="D106" s="25">
        <f t="shared" ref="D106:L106" si="23">D54/D$7</f>
        <v>0.24496135915710313</v>
      </c>
      <c r="E106" s="25">
        <f t="shared" si="23"/>
        <v>0.29316443839708678</v>
      </c>
      <c r="F106" s="25">
        <f t="shared" si="23"/>
        <v>0.28638851105848245</v>
      </c>
      <c r="G106" s="12"/>
      <c r="H106" s="25">
        <f t="shared" si="23"/>
        <v>0.3280723210827779</v>
      </c>
      <c r="I106" s="25"/>
      <c r="J106" s="25"/>
      <c r="K106" s="25"/>
      <c r="L106" s="25">
        <f t="shared" si="23"/>
        <v>0.29785840462060614</v>
      </c>
    </row>
    <row r="107" spans="2:13" s="20" customFormat="1">
      <c r="B107" s="180" t="s">
        <v>116</v>
      </c>
      <c r="C107" s="25">
        <f>C55/C191</f>
        <v>1.8354114713216958E-3</v>
      </c>
      <c r="D107" s="25">
        <f t="shared" ref="D107:F107" si="24">D55/D191</f>
        <v>7.5486625472302926E-3</v>
      </c>
      <c r="E107" s="25">
        <f t="shared" si="24"/>
        <v>7.2556551429790866E-3</v>
      </c>
      <c r="F107" s="25">
        <f t="shared" si="24"/>
        <v>1.2617830557229209E-2</v>
      </c>
      <c r="G107" s="12"/>
      <c r="H107" s="25"/>
      <c r="I107" s="25"/>
      <c r="J107" s="25"/>
      <c r="K107" s="25"/>
      <c r="L107" s="25">
        <f>(L55+E55-H55)/L191</f>
        <v>1.2617830557229209E-2</v>
      </c>
    </row>
    <row r="108" spans="2:13" s="20" customFormat="1">
      <c r="B108" s="180" t="s">
        <v>168</v>
      </c>
      <c r="C108" s="25">
        <f>-C56/C180</f>
        <v>0.10318992181505919</v>
      </c>
      <c r="D108" s="25">
        <f t="shared" ref="D108:F108" si="25">-D56/D180</f>
        <v>0.10366106789685341</v>
      </c>
      <c r="E108" s="25">
        <f t="shared" si="25"/>
        <v>0.10425710929789732</v>
      </c>
      <c r="F108" s="25">
        <f t="shared" si="25"/>
        <v>0.10535745650383073</v>
      </c>
      <c r="G108" s="12"/>
      <c r="H108" s="25"/>
      <c r="I108" s="25"/>
      <c r="J108" s="25"/>
      <c r="K108" s="25"/>
      <c r="L108" s="25">
        <f>-(L56+E56-H56)/L180</f>
        <v>0.10535745650383073</v>
      </c>
    </row>
    <row r="109" spans="2:13" s="20" customFormat="1">
      <c r="B109" s="66"/>
      <c r="C109" s="90"/>
      <c r="D109" s="90"/>
      <c r="E109" s="90"/>
      <c r="F109" s="90"/>
      <c r="G109" s="12"/>
      <c r="H109" s="90"/>
      <c r="I109" s="90"/>
      <c r="J109" s="90"/>
      <c r="K109" s="90"/>
      <c r="L109" s="90"/>
    </row>
    <row r="110" spans="2:13" s="20" customFormat="1">
      <c r="B110" s="88" t="s">
        <v>56</v>
      </c>
      <c r="C110" s="25">
        <f>-(C58)/C57</f>
        <v>0.11746788230418542</v>
      </c>
      <c r="D110" s="25">
        <f>-(D58)/D57</f>
        <v>0.32173812476307351</v>
      </c>
      <c r="E110" s="25">
        <f>-(E58)/E57</f>
        <v>0.28722926514468616</v>
      </c>
      <c r="F110" s="25">
        <f>-(F58)/F57</f>
        <v>0.30908843318889573</v>
      </c>
      <c r="G110" s="12"/>
      <c r="H110" s="25">
        <f>-(H58)/H57</f>
        <v>0.27649700033958424</v>
      </c>
      <c r="I110" s="25"/>
      <c r="J110" s="25"/>
      <c r="K110" s="25"/>
      <c r="L110" s="25">
        <f>-(L58)/L57</f>
        <v>0.37004702170350307</v>
      </c>
    </row>
    <row r="111" spans="2:13" s="20" customFormat="1">
      <c r="B111" s="17"/>
      <c r="C111" s="90"/>
      <c r="D111" s="90"/>
      <c r="E111" s="90"/>
      <c r="F111" s="90"/>
      <c r="G111" s="12"/>
      <c r="H111" s="90"/>
      <c r="I111" s="90"/>
      <c r="J111" s="90"/>
      <c r="K111" s="90"/>
      <c r="L111" s="90"/>
    </row>
    <row r="112" spans="2:13">
      <c r="B112" s="52" t="s">
        <v>57</v>
      </c>
      <c r="C112" s="89">
        <f>C132/C7</f>
        <v>2.1827277635054307E-2</v>
      </c>
      <c r="D112" s="89">
        <f>D132/D7</f>
        <v>-6.0696685017116551E-2</v>
      </c>
      <c r="E112" s="89">
        <f>E132/E7</f>
        <v>-9.0648472865177354E-2</v>
      </c>
      <c r="F112" s="89">
        <f>F132/F7</f>
        <v>-7.2175426338831797E-2</v>
      </c>
      <c r="G112" s="12"/>
      <c r="H112" s="89">
        <f>H132/H7</f>
        <v>-0.15866201920136974</v>
      </c>
      <c r="I112" s="89"/>
      <c r="J112" s="89"/>
      <c r="K112" s="89"/>
      <c r="L112" s="89">
        <f>L132/L7</f>
        <v>-7.700414822459957E-2</v>
      </c>
      <c r="M112" s="20"/>
    </row>
    <row r="113" spans="2:15" s="20" customFormat="1">
      <c r="B113" s="52" t="s">
        <v>58</v>
      </c>
      <c r="C113" s="25">
        <f>-C136/C7</f>
        <v>0.19017075425664479</v>
      </c>
      <c r="D113" s="25">
        <f>-D136/D7</f>
        <v>0.14411037301374366</v>
      </c>
      <c r="E113" s="25">
        <f>-E136/E7</f>
        <v>0.13865891841286423</v>
      </c>
      <c r="F113" s="25">
        <f>-F136/F7</f>
        <v>0.16473579134519206</v>
      </c>
      <c r="G113" s="12"/>
      <c r="H113" s="25">
        <f>-H136/H7</f>
        <v>9.972278277176462E-2</v>
      </c>
      <c r="I113" s="25"/>
      <c r="J113" s="25"/>
      <c r="K113" s="25"/>
      <c r="L113" s="25">
        <f>-L136/L7</f>
        <v>0.21349264632911893</v>
      </c>
    </row>
    <row r="114" spans="2:15" s="27" customFormat="1" ht="15">
      <c r="G114" s="12"/>
      <c r="M114" s="20"/>
      <c r="N114" s="72"/>
    </row>
    <row r="115" spans="2:15">
      <c r="B115" s="13" t="s">
        <v>13</v>
      </c>
      <c r="C115" s="28">
        <f>C3</f>
        <v>45352</v>
      </c>
      <c r="D115" s="28">
        <f>D3</f>
        <v>45717</v>
      </c>
      <c r="E115" s="28">
        <f>E3</f>
        <v>46082</v>
      </c>
      <c r="F115" s="28" t="str">
        <f>F2</f>
        <v>LTM</v>
      </c>
      <c r="G115" s="12"/>
      <c r="H115" s="28">
        <f>H3</f>
        <v>45809</v>
      </c>
      <c r="I115" s="28"/>
      <c r="J115" s="28"/>
      <c r="K115" s="28"/>
      <c r="L115" s="28">
        <f>L3</f>
        <v>46174</v>
      </c>
      <c r="O115" s="70"/>
    </row>
    <row r="116" spans="2:15" s="11" customFormat="1">
      <c r="B116" s="32" t="s">
        <v>11</v>
      </c>
      <c r="C116" s="22">
        <f>C54</f>
        <v>473.95900000000034</v>
      </c>
      <c r="D116" s="22">
        <f>D54</f>
        <v>485.72800000000001</v>
      </c>
      <c r="E116" s="22">
        <f>E54</f>
        <v>634.73999999999967</v>
      </c>
      <c r="F116" s="22">
        <f>F54</f>
        <v>623.86099999999942</v>
      </c>
      <c r="G116" s="12"/>
      <c r="H116" s="22">
        <f>H54</f>
        <v>160.94900000000001</v>
      </c>
      <c r="I116" s="22"/>
      <c r="J116" s="22"/>
      <c r="K116" s="22"/>
      <c r="L116" s="22">
        <f>L54</f>
        <v>150.07</v>
      </c>
      <c r="N116" s="69"/>
    </row>
    <row r="117" spans="2:15">
      <c r="B117" s="17" t="s">
        <v>59</v>
      </c>
      <c r="C117" s="83">
        <f>-C52</f>
        <v>326.02600000000001</v>
      </c>
      <c r="D117" s="83">
        <f t="shared" ref="D117:H117" si="26">-D52</f>
        <v>289.27600000000001</v>
      </c>
      <c r="E117" s="83">
        <f t="shared" si="26"/>
        <v>275.51499999999999</v>
      </c>
      <c r="F117" s="83">
        <f t="shared" si="26"/>
        <v>280.55599999999998</v>
      </c>
      <c r="G117" s="12"/>
      <c r="H117" s="83">
        <f t="shared" si="26"/>
        <v>59.219000000000001</v>
      </c>
      <c r="I117" s="83"/>
      <c r="J117" s="83"/>
      <c r="K117" s="83"/>
      <c r="L117" s="83">
        <f t="shared" ref="L117" si="27">-L52</f>
        <v>64.260000000000005</v>
      </c>
      <c r="N117" s="69"/>
    </row>
    <row r="118" spans="2:15" s="11" customFormat="1">
      <c r="B118" s="11" t="s">
        <v>13</v>
      </c>
      <c r="C118" s="22">
        <f>SUM(C116:C117)</f>
        <v>799.98500000000035</v>
      </c>
      <c r="D118" s="22">
        <f t="shared" ref="D118:L118" si="28">SUM(D116:D117)</f>
        <v>775.00400000000002</v>
      </c>
      <c r="E118" s="22">
        <f t="shared" si="28"/>
        <v>910.25499999999965</v>
      </c>
      <c r="F118" s="22">
        <f t="shared" si="28"/>
        <v>904.41699999999946</v>
      </c>
      <c r="G118" s="12"/>
      <c r="H118" s="22">
        <f t="shared" si="28"/>
        <v>220.16800000000001</v>
      </c>
      <c r="I118" s="22"/>
      <c r="J118" s="22"/>
      <c r="K118" s="22"/>
      <c r="L118" s="22">
        <f t="shared" si="28"/>
        <v>214.32999999999998</v>
      </c>
      <c r="M118" s="16"/>
      <c r="N118" s="71"/>
    </row>
    <row r="119" spans="2:15" s="20" customFormat="1">
      <c r="B119" s="23" t="s">
        <v>28</v>
      </c>
      <c r="C119" s="29"/>
      <c r="D119" s="29">
        <f>+D118/C118-1</f>
        <v>-3.1226835503166073E-2</v>
      </c>
      <c r="E119" s="29">
        <f>+E118/D118-1</f>
        <v>0.17451651862441953</v>
      </c>
      <c r="F119" s="29"/>
      <c r="G119" s="12"/>
      <c r="H119" s="29"/>
      <c r="I119" s="29"/>
      <c r="J119" s="21"/>
      <c r="K119" s="21"/>
      <c r="L119" s="21">
        <f>L118/H118-1</f>
        <v>-2.6516114966752768E-2</v>
      </c>
      <c r="M119" s="16"/>
      <c r="N119" s="69"/>
    </row>
    <row r="120" spans="2:15" s="20" customFormat="1">
      <c r="B120" s="23" t="s">
        <v>29</v>
      </c>
      <c r="C120" s="29">
        <f>+C118/C7</f>
        <v>0.40704682500067435</v>
      </c>
      <c r="D120" s="29">
        <f>+D118/D7</f>
        <v>0.39084844438078831</v>
      </c>
      <c r="E120" s="29">
        <f>+E118/E7</f>
        <v>0.42041528164782477</v>
      </c>
      <c r="F120" s="29">
        <f>+F118/F7</f>
        <v>0.4151800449234358</v>
      </c>
      <c r="G120" s="12"/>
      <c r="H120" s="29">
        <f>+H118/H7</f>
        <v>0.44878207872153941</v>
      </c>
      <c r="I120" s="29"/>
      <c r="J120" s="29"/>
      <c r="K120" s="29"/>
      <c r="L120" s="29">
        <f>+L118/L7</f>
        <v>0.42540142508385764</v>
      </c>
      <c r="M120" s="16"/>
      <c r="N120" s="69"/>
    </row>
    <row r="121" spans="2:15" s="20" customFormat="1">
      <c r="G121" s="12"/>
      <c r="M121" s="16"/>
    </row>
    <row r="122" spans="2:15" s="100" customFormat="1">
      <c r="B122" s="162" t="s">
        <v>60</v>
      </c>
      <c r="C122" s="162">
        <f>C123-C118</f>
        <v>32.834999999999695</v>
      </c>
      <c r="D122" s="162">
        <f>D123-D118</f>
        <v>55.581999999999994</v>
      </c>
      <c r="E122" s="162">
        <f>E123-E118</f>
        <v>0</v>
      </c>
      <c r="F122" s="162">
        <f>F123-F118</f>
        <v>0</v>
      </c>
      <c r="G122" s="163"/>
      <c r="H122" s="162">
        <f t="shared" ref="H122" si="29">H123-H118</f>
        <v>0</v>
      </c>
      <c r="I122" s="162"/>
      <c r="J122" s="162"/>
      <c r="K122" s="162"/>
      <c r="L122" s="162">
        <f t="shared" ref="L122" si="30">L123-L118</f>
        <v>0</v>
      </c>
    </row>
    <row r="123" spans="2:15" s="11" customFormat="1">
      <c r="B123" s="11" t="s">
        <v>14</v>
      </c>
      <c r="C123" s="185">
        <v>832.82</v>
      </c>
      <c r="D123" s="185">
        <v>830.58600000000001</v>
      </c>
      <c r="E123" s="185">
        <v>910.255</v>
      </c>
      <c r="F123" s="22">
        <f>L123+E123-H123</f>
        <v>904.41700000000003</v>
      </c>
      <c r="G123" s="186"/>
      <c r="H123" s="185">
        <v>220.16800000000001</v>
      </c>
      <c r="I123" s="185"/>
      <c r="J123" s="185"/>
      <c r="K123" s="185"/>
      <c r="L123" s="185">
        <v>214.33</v>
      </c>
      <c r="M123" s="16"/>
    </row>
    <row r="124" spans="2:15" s="20" customFormat="1">
      <c r="B124" s="23" t="s">
        <v>28</v>
      </c>
      <c r="C124" s="29"/>
      <c r="D124" s="29">
        <f>+D123/C123-1</f>
        <v>-2.6824523906726627E-3</v>
      </c>
      <c r="E124" s="29">
        <f>+E123/D123-1</f>
        <v>9.5919025844403816E-2</v>
      </c>
      <c r="F124" s="29"/>
      <c r="G124" s="12"/>
      <c r="H124" s="29"/>
      <c r="I124" s="29"/>
      <c r="J124" s="21"/>
      <c r="K124" s="21"/>
      <c r="L124" s="21">
        <f>L123/H123-1</f>
        <v>-2.6516114966752657E-2</v>
      </c>
      <c r="M124" s="16"/>
    </row>
    <row r="125" spans="2:15" s="20" customFormat="1">
      <c r="B125" s="23" t="s">
        <v>29</v>
      </c>
      <c r="C125" s="29">
        <f>+C123/C7</f>
        <v>0.42375386638132151</v>
      </c>
      <c r="D125" s="29">
        <f>+D123/D7</f>
        <v>0.41887944581506864</v>
      </c>
      <c r="E125" s="29">
        <f>+E123/E7</f>
        <v>0.42041528164782488</v>
      </c>
      <c r="F125" s="29">
        <f>+F123/F7</f>
        <v>0.41518004492343608</v>
      </c>
      <c r="G125" s="12"/>
      <c r="H125" s="29">
        <f>+H123/H7</f>
        <v>0.44878207872153941</v>
      </c>
      <c r="I125" s="29"/>
      <c r="J125" s="29"/>
      <c r="K125" s="29"/>
      <c r="L125" s="29">
        <f>+L123/L7</f>
        <v>0.4254014250838577</v>
      </c>
      <c r="M125" s="16"/>
      <c r="O125" s="73"/>
    </row>
    <row r="126" spans="2:15" s="20" customFormat="1">
      <c r="B126" s="76"/>
      <c r="C126" s="30"/>
      <c r="D126" s="30"/>
      <c r="E126" s="30"/>
      <c r="F126" s="30"/>
      <c r="G126" s="12"/>
      <c r="H126" s="30"/>
      <c r="I126" s="30"/>
      <c r="J126" s="30"/>
      <c r="K126" s="30"/>
      <c r="L126" s="30"/>
      <c r="M126" s="16"/>
    </row>
    <row r="127" spans="2:15" s="20" customFormat="1">
      <c r="B127" s="23" t="s">
        <v>61</v>
      </c>
      <c r="C127" s="29">
        <f>-C136/C7</f>
        <v>0.19017075425664479</v>
      </c>
      <c r="D127" s="29">
        <f>-D136/D7</f>
        <v>0.14411037301374366</v>
      </c>
      <c r="E127" s="29">
        <f>-E136/E7</f>
        <v>0.13865891841286423</v>
      </c>
      <c r="F127" s="29">
        <f>-F136/F7</f>
        <v>0.16473579134519206</v>
      </c>
      <c r="G127" s="12"/>
      <c r="H127" s="29">
        <f>-H136/H7</f>
        <v>9.972278277176462E-2</v>
      </c>
      <c r="I127" s="29"/>
      <c r="J127" s="29"/>
      <c r="K127" s="29"/>
      <c r="L127" s="29">
        <f>-L136/L7</f>
        <v>0.21349264632911893</v>
      </c>
      <c r="M127" s="16"/>
    </row>
    <row r="128" spans="2:15" s="20" customFormat="1">
      <c r="B128" s="23" t="s">
        <v>62</v>
      </c>
      <c r="C128" s="29">
        <f>C132/C7</f>
        <v>2.1827277635054307E-2</v>
      </c>
      <c r="D128" s="29">
        <f>D132/D7</f>
        <v>-6.0696685017116551E-2</v>
      </c>
      <c r="E128" s="29">
        <f>E132/E7</f>
        <v>-9.0648472865177354E-2</v>
      </c>
      <c r="F128" s="29">
        <f>F132/F7</f>
        <v>-7.2175426338831797E-2</v>
      </c>
      <c r="G128" s="12"/>
      <c r="H128" s="29">
        <f>H132/H7</f>
        <v>-0.15866201920136974</v>
      </c>
      <c r="I128" s="29"/>
      <c r="J128" s="29"/>
      <c r="K128" s="29"/>
      <c r="L128" s="29">
        <f>L132/L7</f>
        <v>-7.700414822459957E-2</v>
      </c>
      <c r="M128" s="16"/>
    </row>
    <row r="129" spans="2:15">
      <c r="H129"/>
      <c r="I129"/>
      <c r="J129"/>
      <c r="K129"/>
      <c r="L129"/>
    </row>
    <row r="130" spans="2:15">
      <c r="B130" s="13" t="s">
        <v>16</v>
      </c>
      <c r="C130" s="28">
        <f>C3</f>
        <v>45352</v>
      </c>
      <c r="D130" s="28">
        <f>D3</f>
        <v>45717</v>
      </c>
      <c r="E130" s="28">
        <f>E3</f>
        <v>46082</v>
      </c>
      <c r="F130" s="28" t="str">
        <f>F2</f>
        <v>LTM</v>
      </c>
      <c r="G130" s="12"/>
      <c r="H130" s="28">
        <f>H3</f>
        <v>45809</v>
      </c>
      <c r="I130" s="28"/>
      <c r="J130" s="28"/>
      <c r="K130" s="28"/>
      <c r="L130" s="28">
        <f>L3</f>
        <v>46174</v>
      </c>
    </row>
    <row r="131" spans="2:15" s="11" customFormat="1">
      <c r="B131" s="11" t="s">
        <v>14</v>
      </c>
      <c r="C131" s="22">
        <f t="shared" ref="C131" si="31">C123</f>
        <v>832.82</v>
      </c>
      <c r="D131" s="22">
        <f t="shared" ref="D131:E131" si="32">D123</f>
        <v>830.58600000000001</v>
      </c>
      <c r="E131" s="22">
        <f t="shared" si="32"/>
        <v>910.255</v>
      </c>
      <c r="F131" s="22">
        <f>F123</f>
        <v>904.41700000000003</v>
      </c>
      <c r="G131" s="12"/>
      <c r="H131" s="22">
        <f t="shared" ref="H131:L131" si="33">H123</f>
        <v>220.16800000000001</v>
      </c>
      <c r="I131" s="170"/>
      <c r="J131" s="22"/>
      <c r="K131" s="170"/>
      <c r="L131" s="22">
        <f t="shared" si="33"/>
        <v>214.33</v>
      </c>
      <c r="M131" s="92"/>
      <c r="N131" s="93"/>
    </row>
    <row r="132" spans="2:15">
      <c r="B132" s="17" t="s">
        <v>3</v>
      </c>
      <c r="C132" s="18">
        <f>-115.742-8.342+0.236-40.213+23.149+183.81</f>
        <v>42.897999999999996</v>
      </c>
      <c r="D132" s="18">
        <f>-15.701+12.303+0.926-71.741-15.453-30.688</f>
        <v>-120.354</v>
      </c>
      <c r="E132" s="18">
        <f>-4.304-4.88+0.912-65.838+3.204-125.36</f>
        <v>-196.26600000000002</v>
      </c>
      <c r="F132" s="19">
        <f>L132+E132-H132</f>
        <v>-157.22500000000002</v>
      </c>
      <c r="G132" s="12"/>
      <c r="H132" s="18">
        <f>107.342+7.109-1.469-8.758-40.047-142.015</f>
        <v>-77.83799999999998</v>
      </c>
      <c r="I132" s="83"/>
      <c r="J132" s="18"/>
      <c r="K132" s="83"/>
      <c r="L132" s="18">
        <f>-18.094-3.2+0.15+0.043-6.356-11.34</f>
        <v>-38.796999999999997</v>
      </c>
      <c r="M132" s="69"/>
      <c r="N132" s="93"/>
      <c r="O132" s="70"/>
    </row>
    <row r="133" spans="2:15">
      <c r="B133" s="17" t="s">
        <v>63</v>
      </c>
      <c r="C133" s="18">
        <v>-13.504</v>
      </c>
      <c r="D133" s="18">
        <v>-12.832000000000001</v>
      </c>
      <c r="E133" s="18">
        <v>-14.61</v>
      </c>
      <c r="F133" s="19">
        <f t="shared" ref="F133:F134" si="34">L133+E133-H133</f>
        <v>-12.908999999999999</v>
      </c>
      <c r="G133" s="69"/>
      <c r="H133" s="18">
        <v>-5.5579999999999998</v>
      </c>
      <c r="I133" s="83"/>
      <c r="J133" s="18"/>
      <c r="K133" s="83"/>
      <c r="L133" s="18">
        <v>-3.8570000000000002</v>
      </c>
      <c r="M133" s="19"/>
      <c r="N133" s="93"/>
      <c r="O133" s="70"/>
    </row>
    <row r="134" spans="2:15">
      <c r="B134" s="17" t="s">
        <v>17</v>
      </c>
      <c r="C134" s="18">
        <v>-304.44600000000003</v>
      </c>
      <c r="D134" s="18">
        <v>-284.75299999999999</v>
      </c>
      <c r="E134" s="18">
        <v>-286.54599999999999</v>
      </c>
      <c r="F134" s="19">
        <f t="shared" si="34"/>
        <v>-288.46999999999997</v>
      </c>
      <c r="G134" s="69"/>
      <c r="H134" s="18">
        <v>-138.911</v>
      </c>
      <c r="I134" s="83"/>
      <c r="J134" s="18"/>
      <c r="K134" s="83"/>
      <c r="L134" s="18">
        <v>-140.83500000000001</v>
      </c>
      <c r="N134" s="93"/>
      <c r="O134" s="69"/>
    </row>
    <row r="135" spans="2:15" s="11" customFormat="1">
      <c r="B135" s="11" t="s">
        <v>25</v>
      </c>
      <c r="C135" s="31">
        <f t="shared" ref="C135:D135" si="35">SUM(C131:C134)</f>
        <v>557.76800000000003</v>
      </c>
      <c r="D135" s="31">
        <f t="shared" si="35"/>
        <v>412.64699999999999</v>
      </c>
      <c r="E135" s="31">
        <f>SUM(E131:E134)</f>
        <v>412.83300000000003</v>
      </c>
      <c r="F135" s="31">
        <f>SUM(F131:F134)</f>
        <v>445.81300000000005</v>
      </c>
      <c r="G135" s="106"/>
      <c r="H135" s="31">
        <f t="shared" ref="H135:L135" si="36">SUM(H131:H134)</f>
        <v>-2.1389999999999532</v>
      </c>
      <c r="I135" s="31"/>
      <c r="J135" s="31"/>
      <c r="K135" s="31"/>
      <c r="L135" s="31">
        <f t="shared" si="36"/>
        <v>30.841000000000008</v>
      </c>
      <c r="N135" s="93"/>
      <c r="O135" s="71"/>
    </row>
    <row r="136" spans="2:15">
      <c r="B136" s="17" t="s">
        <v>55</v>
      </c>
      <c r="C136" s="18">
        <v>-373.75</v>
      </c>
      <c r="D136" s="18">
        <v>-285.75299999999999</v>
      </c>
      <c r="E136" s="18">
        <v>-300.21499999999997</v>
      </c>
      <c r="F136" s="19">
        <f t="shared" ref="F136:F138" si="37">L136+E136-H136</f>
        <v>-358.85599999999999</v>
      </c>
      <c r="G136" s="12"/>
      <c r="H136" s="18">
        <v>-48.923000000000002</v>
      </c>
      <c r="I136" s="83"/>
      <c r="J136" s="18"/>
      <c r="K136" s="83"/>
      <c r="L136" s="18">
        <v>-107.56399999999999</v>
      </c>
      <c r="N136" s="93"/>
      <c r="O136" s="70"/>
    </row>
    <row r="137" spans="2:15">
      <c r="B137" s="17" t="s">
        <v>64</v>
      </c>
      <c r="C137" s="18">
        <v>0</v>
      </c>
      <c r="D137" s="18">
        <v>0</v>
      </c>
      <c r="E137" s="18">
        <v>0</v>
      </c>
      <c r="F137" s="19">
        <f t="shared" si="37"/>
        <v>0</v>
      </c>
      <c r="G137" s="12"/>
      <c r="H137" s="18">
        <v>0</v>
      </c>
      <c r="I137" s="83"/>
      <c r="J137" s="18"/>
      <c r="K137" s="83"/>
      <c r="L137" s="18">
        <v>0</v>
      </c>
      <c r="N137" s="93"/>
    </row>
    <row r="138" spans="2:15">
      <c r="B138" s="17" t="s">
        <v>65</v>
      </c>
      <c r="C138" s="18">
        <v>0</v>
      </c>
      <c r="D138" s="18">
        <v>0</v>
      </c>
      <c r="E138" s="18">
        <v>0</v>
      </c>
      <c r="F138" s="19">
        <f t="shared" si="37"/>
        <v>0</v>
      </c>
      <c r="G138" s="12"/>
      <c r="H138" s="18">
        <v>0</v>
      </c>
      <c r="I138" s="83"/>
      <c r="J138" s="18"/>
      <c r="K138" s="83"/>
      <c r="L138" s="18">
        <v>0</v>
      </c>
    </row>
    <row r="139" spans="2:15" s="11" customFormat="1">
      <c r="B139" s="32" t="s">
        <v>19</v>
      </c>
      <c r="C139" s="22">
        <f t="shared" ref="C139" si="38">SUM(C135:C138)</f>
        <v>184.01800000000003</v>
      </c>
      <c r="D139" s="22">
        <f t="shared" ref="D139" si="39">SUM(D135:D138)</f>
        <v>126.89400000000001</v>
      </c>
      <c r="E139" s="22">
        <f>SUM(E135:E138)</f>
        <v>112.61800000000005</v>
      </c>
      <c r="F139" s="22">
        <f>SUM(F135:F138)</f>
        <v>86.95700000000005</v>
      </c>
      <c r="G139" s="12"/>
      <c r="H139" s="22">
        <f t="shared" ref="H139:L139" si="40">SUM(H135:H138)</f>
        <v>-51.061999999999955</v>
      </c>
      <c r="I139" s="22"/>
      <c r="J139" s="22"/>
      <c r="K139" s="22"/>
      <c r="L139" s="22">
        <f t="shared" si="40"/>
        <v>-76.722999999999985</v>
      </c>
    </row>
    <row r="140" spans="2:15" s="11" customFormat="1">
      <c r="B140" s="17" t="s">
        <v>169</v>
      </c>
      <c r="C140" s="18">
        <f>30.663+0.736</f>
        <v>31.399000000000001</v>
      </c>
      <c r="D140" s="18">
        <v>2.7669999999999999</v>
      </c>
      <c r="E140" s="18">
        <v>2.5499999999999998</v>
      </c>
      <c r="F140" s="19">
        <f t="shared" ref="F140:F144" si="41">L140+E140-H140</f>
        <v>3.246</v>
      </c>
      <c r="G140" s="12"/>
      <c r="H140" s="18">
        <v>0.93200000000000005</v>
      </c>
      <c r="I140" s="83"/>
      <c r="J140" s="18"/>
      <c r="K140" s="83"/>
      <c r="L140" s="18">
        <v>1.6279999999999999</v>
      </c>
    </row>
    <row r="141" spans="2:15">
      <c r="B141" s="17" t="s">
        <v>87</v>
      </c>
      <c r="C141" s="18">
        <v>0</v>
      </c>
      <c r="D141" s="18">
        <v>0</v>
      </c>
      <c r="E141" s="18">
        <v>0</v>
      </c>
      <c r="F141" s="19">
        <f t="shared" si="41"/>
        <v>0</v>
      </c>
      <c r="G141" s="12"/>
      <c r="H141" s="18">
        <v>0</v>
      </c>
      <c r="I141" s="83"/>
      <c r="J141" s="18"/>
      <c r="K141" s="83"/>
      <c r="L141" s="18">
        <v>0</v>
      </c>
    </row>
    <row r="142" spans="2:15">
      <c r="B142" s="17" t="s">
        <v>66</v>
      </c>
      <c r="C142" s="18">
        <v>0</v>
      </c>
      <c r="D142" s="18">
        <v>0</v>
      </c>
      <c r="E142" s="18">
        <v>0</v>
      </c>
      <c r="F142" s="19">
        <f t="shared" si="41"/>
        <v>0</v>
      </c>
      <c r="G142" s="12"/>
      <c r="H142" s="18">
        <v>0</v>
      </c>
      <c r="I142" s="83"/>
      <c r="J142" s="18"/>
      <c r="K142" s="83"/>
      <c r="L142" s="18">
        <v>0</v>
      </c>
    </row>
    <row r="143" spans="2:15">
      <c r="B143" s="17" t="s">
        <v>67</v>
      </c>
      <c r="C143" s="18">
        <f>-41.988-35.588</f>
        <v>-77.575999999999993</v>
      </c>
      <c r="D143" s="18">
        <f>-0.664-37.148</f>
        <v>-37.812000000000005</v>
      </c>
      <c r="E143" s="18">
        <f>-0.317-27.331</f>
        <v>-27.648</v>
      </c>
      <c r="F143" s="19">
        <f t="shared" si="41"/>
        <v>-25.285</v>
      </c>
      <c r="G143" s="12"/>
      <c r="H143" s="18">
        <f>-0.314-5.418</f>
        <v>-5.7320000000000002</v>
      </c>
      <c r="I143" s="83"/>
      <c r="J143" s="18"/>
      <c r="K143" s="83"/>
      <c r="L143" s="18">
        <v>-3.3690000000000002</v>
      </c>
    </row>
    <row r="144" spans="2:15">
      <c r="B144" s="17" t="s">
        <v>51</v>
      </c>
      <c r="C144" s="18">
        <v>0</v>
      </c>
      <c r="D144" s="18">
        <v>0</v>
      </c>
      <c r="E144" s="18">
        <v>0</v>
      </c>
      <c r="F144" s="19">
        <f t="shared" si="41"/>
        <v>0</v>
      </c>
      <c r="G144" s="12"/>
      <c r="H144" s="18">
        <v>0</v>
      </c>
      <c r="I144" s="83"/>
      <c r="J144" s="18"/>
      <c r="K144" s="83"/>
      <c r="L144" s="18">
        <v>0</v>
      </c>
    </row>
    <row r="145" spans="2:16">
      <c r="B145" s="32" t="s">
        <v>20</v>
      </c>
      <c r="C145" s="22">
        <f t="shared" ref="C145" si="42">SUM(C139:C144)</f>
        <v>137.84100000000004</v>
      </c>
      <c r="D145" s="22">
        <f t="shared" ref="D145" si="43">SUM(D139:D144)</f>
        <v>91.84899999999999</v>
      </c>
      <c r="E145" s="22">
        <f>SUM(E139:E144)</f>
        <v>87.520000000000053</v>
      </c>
      <c r="F145" s="22">
        <f>SUM(F139:F144)</f>
        <v>64.918000000000049</v>
      </c>
      <c r="G145" s="12"/>
      <c r="H145" s="22">
        <f t="shared" ref="H145:L145" si="44">SUM(H139:H144)</f>
        <v>-55.861999999999952</v>
      </c>
      <c r="I145" s="170"/>
      <c r="J145" s="22"/>
      <c r="K145" s="170"/>
      <c r="L145" s="22">
        <f t="shared" si="44"/>
        <v>-78.463999999999984</v>
      </c>
    </row>
    <row r="146" spans="2:16">
      <c r="B146" s="17" t="s">
        <v>46</v>
      </c>
      <c r="C146" s="81">
        <f>54.733-C145</f>
        <v>-83.108000000000033</v>
      </c>
      <c r="D146" s="81">
        <f>-34.445-D145</f>
        <v>-126.29399999999998</v>
      </c>
      <c r="E146" s="81">
        <f>-15.105-E145</f>
        <v>-102.62500000000006</v>
      </c>
      <c r="F146" s="19">
        <f>L146+E146-H146</f>
        <v>-101.03200000000001</v>
      </c>
      <c r="G146" s="12"/>
      <c r="H146" s="81">
        <f>-73.186-H145</f>
        <v>-17.324000000000055</v>
      </c>
      <c r="I146" s="83"/>
      <c r="J146" s="81"/>
      <c r="K146" s="83"/>
      <c r="L146" s="81">
        <f>-94.195-L145</f>
        <v>-15.731000000000009</v>
      </c>
    </row>
    <row r="147" spans="2:16">
      <c r="B147" s="17" t="s">
        <v>68</v>
      </c>
      <c r="C147" s="18">
        <v>0</v>
      </c>
      <c r="D147" s="18">
        <v>0</v>
      </c>
      <c r="E147" s="18">
        <v>0</v>
      </c>
      <c r="F147" s="19">
        <f>L147+E147-H147</f>
        <v>0</v>
      </c>
      <c r="G147" s="12"/>
      <c r="H147" s="18">
        <v>0</v>
      </c>
      <c r="I147" s="83"/>
      <c r="J147" s="18"/>
      <c r="K147" s="83"/>
      <c r="L147" s="18">
        <v>0</v>
      </c>
    </row>
    <row r="148" spans="2:16" s="11" customFormat="1">
      <c r="B148" s="32" t="s">
        <v>24</v>
      </c>
      <c r="C148" s="22">
        <f>SUM(C145:C147)</f>
        <v>54.733000000000004</v>
      </c>
      <c r="D148" s="22">
        <f>SUM(D145:D147)</f>
        <v>-34.444999999999993</v>
      </c>
      <c r="E148" s="22">
        <f>SUM(E145:E147)</f>
        <v>-15.105000000000004</v>
      </c>
      <c r="F148" s="22">
        <f>SUM(F145:F147)</f>
        <v>-36.113999999999962</v>
      </c>
      <c r="G148" s="12"/>
      <c r="H148" s="22">
        <f t="shared" ref="H148:L148" si="45">SUM(H145:H147)</f>
        <v>-73.186000000000007</v>
      </c>
      <c r="I148" s="22"/>
      <c r="J148" s="22"/>
      <c r="K148" s="170"/>
      <c r="L148" s="22">
        <f t="shared" si="45"/>
        <v>-94.194999999999993</v>
      </c>
    </row>
    <row r="149" spans="2:16">
      <c r="B149" s="32" t="s">
        <v>34</v>
      </c>
      <c r="C149" s="22">
        <f>346.267+C148</f>
        <v>401</v>
      </c>
      <c r="D149" s="22">
        <f>C149+D148</f>
        <v>366.55500000000001</v>
      </c>
      <c r="E149" s="22">
        <f>D149+E148</f>
        <v>351.45</v>
      </c>
      <c r="F149" s="22">
        <f>H149+F148</f>
        <v>257.25500000000005</v>
      </c>
      <c r="G149" s="12"/>
      <c r="H149" s="22">
        <f>D149+H148</f>
        <v>293.36900000000003</v>
      </c>
      <c r="I149" s="170"/>
      <c r="J149" s="170"/>
      <c r="K149" s="170"/>
      <c r="L149" s="22">
        <f>E149+L148</f>
        <v>257.255</v>
      </c>
      <c r="N149" s="19"/>
      <c r="O149" s="19"/>
      <c r="P149" s="19"/>
    </row>
    <row r="150" spans="2:16">
      <c r="B150" s="32"/>
      <c r="C150" s="18"/>
      <c r="D150" s="18"/>
      <c r="E150" s="18"/>
      <c r="F150" s="19"/>
      <c r="G150" s="12"/>
      <c r="H150" s="18"/>
      <c r="I150" s="18"/>
      <c r="J150" s="18"/>
      <c r="K150" s="18"/>
      <c r="L150" s="18"/>
    </row>
    <row r="151" spans="2:16" s="78" customFormat="1">
      <c r="B151" s="33" t="s">
        <v>96</v>
      </c>
      <c r="C151" s="187">
        <f>+C149-C191</f>
        <v>0</v>
      </c>
      <c r="D151" s="187">
        <f>+D149-D191</f>
        <v>0</v>
      </c>
      <c r="E151" s="187">
        <f>+E149-E191</f>
        <v>0</v>
      </c>
      <c r="F151" s="187">
        <f>+F149-F191</f>
        <v>0</v>
      </c>
      <c r="G151" s="12"/>
      <c r="H151" s="187"/>
      <c r="I151" s="187"/>
      <c r="J151" s="187"/>
      <c r="K151" s="187"/>
      <c r="L151" s="187">
        <f t="shared" ref="L151" si="46">+L149-L191</f>
        <v>0</v>
      </c>
      <c r="M151" s="16"/>
    </row>
    <row r="152" spans="2:16" s="78" customFormat="1">
      <c r="B152" s="33" t="s">
        <v>97</v>
      </c>
      <c r="C152" s="77">
        <f>474.66-(C135+C146)</f>
        <v>0</v>
      </c>
      <c r="D152" s="77">
        <f>286.353-(D135+D146)</f>
        <v>0</v>
      </c>
      <c r="E152" s="77">
        <f>310.208-(E135+E146)</f>
        <v>0</v>
      </c>
      <c r="F152" s="77"/>
      <c r="G152" s="12"/>
      <c r="H152" s="77">
        <f>-19.463-(H135+H146)</f>
        <v>0</v>
      </c>
      <c r="I152" s="77"/>
      <c r="J152" s="77"/>
      <c r="K152" s="77"/>
      <c r="L152" s="77">
        <f>15.11-(L135+L146)</f>
        <v>0</v>
      </c>
      <c r="M152" s="16"/>
    </row>
    <row r="154" spans="2:16">
      <c r="B154" s="13" t="s">
        <v>18</v>
      </c>
      <c r="C154" s="28">
        <f>C3</f>
        <v>45352</v>
      </c>
      <c r="D154" s="28">
        <f>D3</f>
        <v>45717</v>
      </c>
      <c r="E154" s="28">
        <f>E3</f>
        <v>46082</v>
      </c>
      <c r="F154" s="28" t="str">
        <f>F2</f>
        <v>LTM</v>
      </c>
      <c r="G154" s="12"/>
      <c r="H154" s="28">
        <f>H3</f>
        <v>45809</v>
      </c>
      <c r="I154" s="28"/>
      <c r="J154" s="28"/>
      <c r="K154" s="28"/>
      <c r="L154" s="28">
        <f>L3</f>
        <v>46174</v>
      </c>
    </row>
    <row r="155" spans="2:16">
      <c r="B155" s="16" t="str">
        <f>B7</f>
        <v>Revenue from contracts with customers</v>
      </c>
      <c r="C155" s="19">
        <f>C7</f>
        <v>1965.3389999999999</v>
      </c>
      <c r="D155" s="19">
        <f>D7</f>
        <v>1982.876</v>
      </c>
      <c r="E155" s="19">
        <f>E7</f>
        <v>2165.1329999999998</v>
      </c>
      <c r="F155" s="19">
        <f>F7</f>
        <v>2178.3729999999996</v>
      </c>
      <c r="G155" s="12"/>
      <c r="H155" s="101"/>
      <c r="I155" s="19"/>
      <c r="J155" s="19"/>
      <c r="K155" s="19"/>
      <c r="L155" s="19">
        <f>L7+E7-H7</f>
        <v>2178.3729999999996</v>
      </c>
    </row>
    <row r="156" spans="2:16">
      <c r="B156" s="1" t="str">
        <f>B9</f>
        <v>Cost of Sales:</v>
      </c>
      <c r="C156" s="19">
        <f>C9</f>
        <v>-321.274</v>
      </c>
      <c r="D156" s="19">
        <f>D9</f>
        <v>-322.245</v>
      </c>
      <c r="E156" s="19">
        <f>E9</f>
        <v>-357.77100000000002</v>
      </c>
      <c r="F156" s="19">
        <f>F9</f>
        <v>-359.93299999999999</v>
      </c>
      <c r="G156" s="12"/>
      <c r="H156" s="101"/>
      <c r="I156" s="19"/>
      <c r="J156" s="19"/>
      <c r="K156" s="19"/>
      <c r="L156" s="19">
        <f>L9+E9-H9</f>
        <v>-359.93300000000005</v>
      </c>
    </row>
    <row r="157" spans="2:16">
      <c r="B157" s="16" t="s">
        <v>11</v>
      </c>
      <c r="C157" s="19">
        <f>C54</f>
        <v>473.95900000000034</v>
      </c>
      <c r="D157" s="19">
        <f>D54</f>
        <v>485.72800000000001</v>
      </c>
      <c r="E157" s="19">
        <f>E54</f>
        <v>634.73999999999967</v>
      </c>
      <c r="F157" s="19">
        <f>F54</f>
        <v>623.86099999999942</v>
      </c>
      <c r="G157" s="12"/>
      <c r="H157" s="101"/>
      <c r="I157" s="19"/>
      <c r="J157" s="19"/>
      <c r="K157" s="19"/>
      <c r="L157" s="19">
        <f>L54+E54-H54</f>
        <v>623.86099999999965</v>
      </c>
    </row>
    <row r="158" spans="2:16">
      <c r="B158" s="16" t="s">
        <v>1</v>
      </c>
      <c r="C158" s="19">
        <f>+C118</f>
        <v>799.98500000000035</v>
      </c>
      <c r="D158" s="19">
        <f>+D118</f>
        <v>775.00400000000002</v>
      </c>
      <c r="E158" s="19">
        <f>+E118</f>
        <v>910.25499999999965</v>
      </c>
      <c r="F158" s="19">
        <f>+F118</f>
        <v>904.41699999999946</v>
      </c>
      <c r="G158" s="12"/>
      <c r="H158" s="101"/>
      <c r="I158" s="19"/>
      <c r="J158" s="19"/>
      <c r="K158" s="19"/>
      <c r="L158" s="19">
        <f>L118+E118-H118</f>
        <v>904.41699999999958</v>
      </c>
    </row>
    <row r="159" spans="2:16" s="11" customFormat="1">
      <c r="B159" s="16" t="s">
        <v>7</v>
      </c>
      <c r="C159" s="19">
        <f>+C123</f>
        <v>832.82</v>
      </c>
      <c r="D159" s="19">
        <f>+D123</f>
        <v>830.58600000000001</v>
      </c>
      <c r="E159" s="19">
        <f>+E123</f>
        <v>910.255</v>
      </c>
      <c r="F159" s="19">
        <f>+F123</f>
        <v>904.41700000000003</v>
      </c>
      <c r="G159" s="12"/>
      <c r="H159" s="101"/>
      <c r="I159" s="19"/>
      <c r="J159" s="19"/>
      <c r="K159" s="19"/>
      <c r="L159" s="19">
        <f>L123+E123-H123</f>
        <v>904.41700000000003</v>
      </c>
    </row>
    <row r="160" spans="2:16">
      <c r="B160" s="16" t="s">
        <v>17</v>
      </c>
      <c r="C160" s="19">
        <f>-C134</f>
        <v>304.44600000000003</v>
      </c>
      <c r="D160" s="19">
        <f>-D134</f>
        <v>284.75299999999999</v>
      </c>
      <c r="E160" s="19">
        <f>-E134</f>
        <v>286.54599999999999</v>
      </c>
      <c r="F160" s="19">
        <f>-F134</f>
        <v>288.46999999999997</v>
      </c>
      <c r="G160" s="12"/>
      <c r="H160" s="101"/>
      <c r="I160" s="19"/>
      <c r="J160" s="19"/>
      <c r="K160" s="19"/>
      <c r="L160" s="19">
        <f>-(L134+E134-H134)</f>
        <v>288.46999999999997</v>
      </c>
    </row>
    <row r="161" spans="2:13">
      <c r="B161" s="16" t="s">
        <v>4</v>
      </c>
      <c r="C161" s="19">
        <f>C59</f>
        <v>127.77300000000031</v>
      </c>
      <c r="D161" s="19">
        <f>D59</f>
        <v>105.56400000000001</v>
      </c>
      <c r="E161" s="19">
        <f>E59</f>
        <v>214.27099999999962</v>
      </c>
      <c r="F161" s="19">
        <f>F59</f>
        <v>197.87499999999943</v>
      </c>
      <c r="G161" s="12"/>
      <c r="H161" s="101"/>
      <c r="I161" s="19"/>
      <c r="J161" s="19"/>
      <c r="K161" s="19"/>
      <c r="L161" s="19">
        <f>L59+E59-H59</f>
        <v>197.87499999999957</v>
      </c>
    </row>
    <row r="162" spans="2:13">
      <c r="B162" s="16" t="s">
        <v>2</v>
      </c>
      <c r="C162" s="19">
        <f>-C136</f>
        <v>373.75</v>
      </c>
      <c r="D162" s="19">
        <f>-D136</f>
        <v>285.75299999999999</v>
      </c>
      <c r="E162" s="19">
        <f>-E136</f>
        <v>300.21499999999997</v>
      </c>
      <c r="F162" s="19">
        <f>-F136</f>
        <v>358.85599999999999</v>
      </c>
      <c r="G162" s="12"/>
      <c r="H162" s="101"/>
      <c r="I162" s="19"/>
      <c r="J162" s="19"/>
      <c r="K162" s="19"/>
      <c r="L162" s="19">
        <f>-(L136+E136-H136)</f>
        <v>358.85599999999999</v>
      </c>
    </row>
    <row r="163" spans="2:13">
      <c r="B163" s="16" t="s">
        <v>19</v>
      </c>
      <c r="C163" s="19">
        <f>+C139</f>
        <v>184.01800000000003</v>
      </c>
      <c r="D163" s="19">
        <f>+D139</f>
        <v>126.89400000000001</v>
      </c>
      <c r="E163" s="19">
        <f>+E139</f>
        <v>112.61800000000005</v>
      </c>
      <c r="F163" s="19">
        <f>+F139</f>
        <v>86.95700000000005</v>
      </c>
      <c r="G163" s="12"/>
      <c r="H163" s="101"/>
      <c r="I163" s="19"/>
      <c r="J163" s="19"/>
      <c r="K163" s="19"/>
      <c r="L163" s="19">
        <f>L139+E139-H139</f>
        <v>86.957000000000022</v>
      </c>
    </row>
    <row r="165" spans="2:13">
      <c r="B165" s="13" t="s">
        <v>21</v>
      </c>
      <c r="C165" s="28">
        <f>C3</f>
        <v>45352</v>
      </c>
      <c r="D165" s="28">
        <f>D3</f>
        <v>45717</v>
      </c>
      <c r="E165" s="28">
        <f>E3</f>
        <v>46082</v>
      </c>
      <c r="F165" s="28" t="str">
        <f>F2</f>
        <v>LTM</v>
      </c>
      <c r="G165" s="12"/>
      <c r="H165" s="28">
        <f>H3</f>
        <v>45809</v>
      </c>
      <c r="I165" s="28"/>
      <c r="J165" s="28"/>
      <c r="K165" s="28"/>
      <c r="L165" s="28">
        <f>L3</f>
        <v>46174</v>
      </c>
    </row>
    <row r="166" spans="2:13" s="11" customFormat="1">
      <c r="B166" s="16" t="s">
        <v>9</v>
      </c>
      <c r="C166" s="18">
        <f>2106.077+55.948</f>
        <v>2162.0250000000001</v>
      </c>
      <c r="D166" s="18">
        <f>2145.246+37.214</f>
        <v>2182.46</v>
      </c>
      <c r="E166" s="18">
        <f>2206.29+36.477</f>
        <v>2242.7669999999998</v>
      </c>
      <c r="F166" s="19">
        <f>L166</f>
        <v>2287.989</v>
      </c>
      <c r="G166" s="18"/>
      <c r="H166" s="178"/>
      <c r="I166" s="83"/>
      <c r="J166" s="18"/>
      <c r="K166" s="83"/>
      <c r="L166" s="18">
        <f>2252.6+35.389</f>
        <v>2287.989</v>
      </c>
      <c r="M166" s="16"/>
    </row>
    <row r="167" spans="2:13" s="11" customFormat="1">
      <c r="B167" s="17" t="s">
        <v>10</v>
      </c>
      <c r="C167" s="18">
        <v>98.21</v>
      </c>
      <c r="D167" s="18">
        <v>85.906999999999996</v>
      </c>
      <c r="E167" s="18">
        <v>90.787000000000006</v>
      </c>
      <c r="F167" s="19">
        <f t="shared" ref="F167:F169" si="47">L167</f>
        <v>93.986999999999995</v>
      </c>
      <c r="G167" s="12"/>
      <c r="H167" s="178"/>
      <c r="I167" s="83"/>
      <c r="J167" s="18"/>
      <c r="K167" s="83"/>
      <c r="L167" s="18">
        <v>93.986999999999995</v>
      </c>
    </row>
    <row r="168" spans="2:13" s="11" customFormat="1">
      <c r="B168" s="17" t="s">
        <v>69</v>
      </c>
      <c r="C168" s="18">
        <v>730.47699999999998</v>
      </c>
      <c r="D168" s="18">
        <v>746.06600000000003</v>
      </c>
      <c r="E168" s="18">
        <v>750.37</v>
      </c>
      <c r="F168" s="19">
        <f t="shared" si="47"/>
        <v>768.46400000000006</v>
      </c>
      <c r="G168" s="12"/>
      <c r="H168" s="178"/>
      <c r="I168" s="83"/>
      <c r="J168" s="18"/>
      <c r="K168" s="83"/>
      <c r="L168" s="18">
        <v>768.46400000000006</v>
      </c>
    </row>
    <row r="169" spans="2:13" s="11" customFormat="1">
      <c r="B169" s="17" t="s">
        <v>70</v>
      </c>
      <c r="C169" s="18">
        <v>612.26199999999994</v>
      </c>
      <c r="D169" s="18">
        <v>579.97299999999996</v>
      </c>
      <c r="E169" s="18">
        <v>456.21199999999999</v>
      </c>
      <c r="F169" s="19">
        <f t="shared" si="47"/>
        <v>374.99200000000002</v>
      </c>
      <c r="G169" s="12"/>
      <c r="H169" s="178"/>
      <c r="I169" s="83"/>
      <c r="J169" s="18"/>
      <c r="K169" s="83"/>
      <c r="L169" s="18">
        <v>374.99200000000002</v>
      </c>
    </row>
    <row r="170" spans="2:13" s="11" customFormat="1">
      <c r="B170" s="11" t="s">
        <v>22</v>
      </c>
      <c r="C170" s="22">
        <f>+C167+C168-C169</f>
        <v>216.42500000000007</v>
      </c>
      <c r="D170" s="22">
        <f>+D167+D168-D169</f>
        <v>252.00000000000011</v>
      </c>
      <c r="E170" s="22">
        <f>+E167+E168-E169</f>
        <v>384.94500000000005</v>
      </c>
      <c r="F170" s="22">
        <f>+F167+F168-F169</f>
        <v>487.459</v>
      </c>
      <c r="G170" s="12"/>
      <c r="H170" s="178"/>
      <c r="I170" s="22"/>
      <c r="J170" s="22"/>
      <c r="K170" s="22"/>
      <c r="L170" s="22">
        <f t="shared" ref="L170" si="48">+L167+L168-L169</f>
        <v>487.459</v>
      </c>
    </row>
    <row r="171" spans="2:13" s="20" customFormat="1">
      <c r="B171" s="35" t="s">
        <v>12</v>
      </c>
      <c r="C171" s="29">
        <f>+C170/C155</f>
        <v>0.11012095114379762</v>
      </c>
      <c r="D171" s="29">
        <f>+D170/D155</f>
        <v>0.12708812855670254</v>
      </c>
      <c r="E171" s="29">
        <f>+E170/E155</f>
        <v>0.17779277300747809</v>
      </c>
      <c r="F171" s="29">
        <f>+F170/F155</f>
        <v>0.22377205373000864</v>
      </c>
      <c r="G171" s="12"/>
      <c r="H171" s="29"/>
      <c r="I171" s="29"/>
      <c r="J171" s="29"/>
      <c r="K171" s="29"/>
      <c r="L171" s="29">
        <f t="shared" ref="L171" si="49">+L170/L155</f>
        <v>0.22377205373000864</v>
      </c>
    </row>
    <row r="172" spans="2:13" s="20" customFormat="1">
      <c r="B172" s="63"/>
      <c r="C172" s="30"/>
      <c r="D172" s="30"/>
      <c r="E172" s="30"/>
      <c r="F172" s="30"/>
      <c r="G172" s="12"/>
      <c r="H172" s="36"/>
      <c r="I172" s="36"/>
      <c r="J172" s="30"/>
      <c r="K172" s="30"/>
      <c r="L172" s="36"/>
    </row>
    <row r="173" spans="2:13" s="11" customFormat="1">
      <c r="B173" s="20" t="s">
        <v>71</v>
      </c>
      <c r="C173" s="94">
        <f>-C167/C156*365</f>
        <v>111.57656704246219</v>
      </c>
      <c r="D173" s="94">
        <f>-D167/D156*365</f>
        <v>97.305016369532495</v>
      </c>
      <c r="E173" s="94">
        <f>-E167/E156*365</f>
        <v>92.621411461521475</v>
      </c>
      <c r="F173" s="94">
        <f>-F167/F156*365</f>
        <v>95.310113271080994</v>
      </c>
      <c r="G173" s="12"/>
      <c r="H173" s="102"/>
      <c r="I173" s="94"/>
      <c r="J173" s="94"/>
      <c r="K173" s="94"/>
      <c r="L173" s="94">
        <f t="shared" ref="L173" si="50">-L167/L156*365</f>
        <v>95.310113271080979</v>
      </c>
    </row>
    <row r="174" spans="2:13" s="11" customFormat="1">
      <c r="B174" s="20" t="s">
        <v>72</v>
      </c>
      <c r="C174" s="94">
        <f>C168/C155*365</f>
        <v>135.66316294542568</v>
      </c>
      <c r="D174" s="94">
        <f>D168/D155*365</f>
        <v>137.33288919730737</v>
      </c>
      <c r="E174" s="94">
        <f>E168/E155*365</f>
        <v>126.49802575638542</v>
      </c>
      <c r="F174" s="94">
        <f>F168/F155*365</f>
        <v>128.76094222614771</v>
      </c>
      <c r="G174" s="12"/>
      <c r="H174" s="102"/>
      <c r="I174" s="94"/>
      <c r="J174" s="94"/>
      <c r="K174" s="94"/>
      <c r="L174" s="94">
        <f t="shared" ref="L174" si="51">L168/L155*365</f>
        <v>128.76094222614771</v>
      </c>
    </row>
    <row r="175" spans="2:13" s="11" customFormat="1">
      <c r="B175" s="20" t="s">
        <v>73</v>
      </c>
      <c r="C175" s="94">
        <f>-C169/C156*365</f>
        <v>695.59201802822508</v>
      </c>
      <c r="D175" s="94">
        <f>-D169/D156*365</f>
        <v>656.92297785846165</v>
      </c>
      <c r="E175" s="94">
        <f>-E169/E156*365</f>
        <v>465.43006560062162</v>
      </c>
      <c r="F175" s="94">
        <f>-F169/F156*365</f>
        <v>380.27099487960265</v>
      </c>
      <c r="G175" s="12"/>
      <c r="H175" s="102"/>
      <c r="I175" s="94"/>
      <c r="J175" s="94"/>
      <c r="K175" s="94"/>
      <c r="L175" s="94">
        <f t="shared" ref="L175" si="52">-L169/L156*365</f>
        <v>380.27099487960254</v>
      </c>
    </row>
    <row r="176" spans="2:13">
      <c r="C176" s="34"/>
      <c r="D176" s="34"/>
      <c r="E176" s="34"/>
      <c r="F176" s="19"/>
      <c r="G176" s="12"/>
      <c r="H176" s="18"/>
      <c r="I176" s="18"/>
      <c r="J176" s="18"/>
      <c r="K176" s="34"/>
      <c r="L176" s="18"/>
    </row>
    <row r="177" spans="2:14">
      <c r="B177" s="7" t="s">
        <v>42</v>
      </c>
    </row>
    <row r="178" spans="2:14">
      <c r="B178" s="8" t="s">
        <v>53</v>
      </c>
      <c r="C178" s="18">
        <v>100.98099999999999</v>
      </c>
      <c r="D178" s="18">
        <v>100.31699999999999</v>
      </c>
      <c r="E178" s="18">
        <v>100</v>
      </c>
      <c r="F178" s="19">
        <f t="shared" ref="F178:F179" si="53">L178</f>
        <v>629.76900000000001</v>
      </c>
      <c r="G178" s="12"/>
      <c r="H178" s="102"/>
      <c r="I178" s="19"/>
      <c r="J178" s="18"/>
      <c r="K178" s="19"/>
      <c r="L178" s="18">
        <v>629.76900000000001</v>
      </c>
      <c r="N178" s="69"/>
    </row>
    <row r="179" spans="2:14">
      <c r="B179" s="8" t="s">
        <v>54</v>
      </c>
      <c r="C179" s="18">
        <v>3096.1819999999998</v>
      </c>
      <c r="D179" s="18">
        <v>3110.6860000000001</v>
      </c>
      <c r="E179" s="18">
        <v>3129.2570000000001</v>
      </c>
      <c r="F179" s="19">
        <f t="shared" si="53"/>
        <v>2604.0790000000002</v>
      </c>
      <c r="G179" s="12"/>
      <c r="H179" s="102"/>
      <c r="I179" s="19"/>
      <c r="J179" s="18"/>
      <c r="K179" s="19"/>
      <c r="L179" s="18">
        <v>2604.0790000000002</v>
      </c>
      <c r="N179" s="69"/>
    </row>
    <row r="180" spans="2:14">
      <c r="B180" s="7" t="s">
        <v>35</v>
      </c>
      <c r="C180" s="22">
        <f t="shared" ref="C180" si="54">SUM(C178:C179)</f>
        <v>3197.1629999999996</v>
      </c>
      <c r="D180" s="22">
        <f>SUM(D178:D179)</f>
        <v>3211.0030000000002</v>
      </c>
      <c r="E180" s="22">
        <f>SUM(E178:E179)</f>
        <v>3229.2570000000001</v>
      </c>
      <c r="F180" s="22">
        <f>SUM(F178:F179)</f>
        <v>3233.848</v>
      </c>
      <c r="G180" s="12"/>
      <c r="H180" s="102"/>
      <c r="I180" s="22"/>
      <c r="J180" s="22"/>
      <c r="K180" s="22"/>
      <c r="L180" s="22">
        <f t="shared" ref="L180" si="55">SUM(L178:L179)</f>
        <v>3233.848</v>
      </c>
      <c r="N180" s="69"/>
    </row>
    <row r="181" spans="2:14">
      <c r="C181" s="18"/>
      <c r="D181" s="18"/>
      <c r="E181" s="18"/>
      <c r="F181" s="19"/>
      <c r="G181" s="12"/>
      <c r="H181" s="18"/>
      <c r="I181" s="18"/>
      <c r="J181" s="18"/>
      <c r="K181" s="34"/>
      <c r="L181" s="18"/>
    </row>
    <row r="182" spans="2:14">
      <c r="B182" s="7" t="s">
        <v>74</v>
      </c>
      <c r="C182" s="18"/>
      <c r="D182" s="18"/>
      <c r="E182" s="18"/>
      <c r="F182" s="19"/>
      <c r="G182" s="12"/>
      <c r="H182" s="18"/>
      <c r="I182" s="18"/>
      <c r="J182" s="18"/>
      <c r="K182" s="34"/>
      <c r="L182" s="18"/>
    </row>
    <row r="183" spans="2:14">
      <c r="B183" s="8" t="s">
        <v>75</v>
      </c>
      <c r="C183" s="18">
        <v>26.344000000000001</v>
      </c>
      <c r="D183" s="18">
        <v>12.266</v>
      </c>
      <c r="E183" s="18">
        <v>9.9149999999999991</v>
      </c>
      <c r="F183" s="19">
        <f t="shared" ref="F183:F184" si="56">L183</f>
        <v>9.6159999999999997</v>
      </c>
      <c r="G183" s="12"/>
      <c r="H183" s="102"/>
      <c r="I183" s="19"/>
      <c r="J183" s="18"/>
      <c r="K183" s="19"/>
      <c r="L183" s="18">
        <v>9.6159999999999997</v>
      </c>
    </row>
    <row r="184" spans="2:14">
      <c r="B184" s="8" t="s">
        <v>76</v>
      </c>
      <c r="C184" s="18">
        <v>37.305999999999997</v>
      </c>
      <c r="D184" s="18">
        <v>30.585999999999999</v>
      </c>
      <c r="E184" s="18">
        <v>30.829000000000001</v>
      </c>
      <c r="F184" s="19">
        <f t="shared" si="56"/>
        <v>30.92</v>
      </c>
      <c r="G184" s="12"/>
      <c r="H184" s="102"/>
      <c r="I184" s="19"/>
      <c r="J184" s="18"/>
      <c r="K184" s="19"/>
      <c r="L184" s="18">
        <v>30.92</v>
      </c>
    </row>
    <row r="185" spans="2:14">
      <c r="B185" s="7" t="s">
        <v>77</v>
      </c>
      <c r="C185" s="22">
        <f t="shared" ref="C185" si="57">SUM(C183:C184)</f>
        <v>63.65</v>
      </c>
      <c r="D185" s="22">
        <f t="shared" ref="D185:E185" si="58">SUM(D183:D184)</f>
        <v>42.851999999999997</v>
      </c>
      <c r="E185" s="22">
        <f t="shared" si="58"/>
        <v>40.744</v>
      </c>
      <c r="F185" s="22">
        <f>SUM(F183:F184)</f>
        <v>40.536000000000001</v>
      </c>
      <c r="G185" s="12"/>
      <c r="H185" s="102"/>
      <c r="I185" s="22"/>
      <c r="J185" s="22"/>
      <c r="K185" s="22"/>
      <c r="L185" s="22">
        <f t="shared" ref="L185" si="59">SUM(L183:L184)</f>
        <v>40.536000000000001</v>
      </c>
    </row>
    <row r="186" spans="2:14">
      <c r="B186" s="11"/>
      <c r="C186" s="18"/>
      <c r="D186" s="67"/>
      <c r="E186" s="67"/>
      <c r="F186" s="19"/>
      <c r="G186" s="12"/>
      <c r="H186" s="18"/>
      <c r="I186" s="18"/>
      <c r="J186" s="18"/>
      <c r="K186" s="34"/>
      <c r="L186" s="18"/>
    </row>
    <row r="187" spans="2:14">
      <c r="B187" s="7" t="s">
        <v>99</v>
      </c>
    </row>
    <row r="188" spans="2:14">
      <c r="B188" s="8" t="s">
        <v>53</v>
      </c>
      <c r="C188" s="19">
        <f>C178+C183</f>
        <v>127.32499999999999</v>
      </c>
      <c r="D188" s="19">
        <f>D178+D183</f>
        <v>112.583</v>
      </c>
      <c r="E188" s="19">
        <f>E178+E183</f>
        <v>109.91499999999999</v>
      </c>
      <c r="F188" s="19">
        <f t="shared" ref="F188" si="60">F178+F183</f>
        <v>639.38499999999999</v>
      </c>
      <c r="G188" s="12"/>
      <c r="H188" s="102"/>
      <c r="I188" s="19"/>
      <c r="J188" s="19"/>
      <c r="K188" s="19"/>
      <c r="L188" s="19">
        <f t="shared" ref="L188" si="61">L178+L183</f>
        <v>639.38499999999999</v>
      </c>
    </row>
    <row r="189" spans="2:14">
      <c r="B189" s="8" t="s">
        <v>54</v>
      </c>
      <c r="C189" s="19">
        <f>C179+C184</f>
        <v>3133.4879999999998</v>
      </c>
      <c r="D189" s="19">
        <f t="shared" ref="D189:F189" si="62">D179+D184</f>
        <v>3141.2719999999999</v>
      </c>
      <c r="E189" s="19">
        <f t="shared" si="62"/>
        <v>3160.0860000000002</v>
      </c>
      <c r="F189" s="19">
        <f t="shared" si="62"/>
        <v>2634.9990000000003</v>
      </c>
      <c r="G189" s="12"/>
      <c r="H189" s="102"/>
      <c r="I189" s="19"/>
      <c r="J189" s="19"/>
      <c r="K189" s="19"/>
      <c r="L189" s="19">
        <f t="shared" ref="L189" si="63">L179+L184</f>
        <v>2634.9990000000003</v>
      </c>
    </row>
    <row r="190" spans="2:14" s="11" customFormat="1">
      <c r="B190" s="11" t="s">
        <v>102</v>
      </c>
      <c r="C190" s="22">
        <f t="shared" ref="C190" si="64">SUM(C188:C189)</f>
        <v>3260.8129999999996</v>
      </c>
      <c r="D190" s="22">
        <f t="shared" ref="D190:E190" si="65">SUM(D188:D189)</f>
        <v>3253.855</v>
      </c>
      <c r="E190" s="22">
        <f t="shared" si="65"/>
        <v>3270.0010000000002</v>
      </c>
      <c r="F190" s="22">
        <f>SUM(F188:F189)</f>
        <v>3274.384</v>
      </c>
      <c r="G190" s="12"/>
      <c r="H190" s="102"/>
      <c r="I190" s="22"/>
      <c r="J190" s="22"/>
      <c r="K190" s="22"/>
      <c r="L190" s="22">
        <f t="shared" ref="L190" si="66">SUM(L188:L189)</f>
        <v>3274.384</v>
      </c>
    </row>
    <row r="191" spans="2:14">
      <c r="B191" s="17" t="s">
        <v>230</v>
      </c>
      <c r="C191" s="18">
        <f>407.988-6.988</f>
        <v>401</v>
      </c>
      <c r="D191" s="18">
        <f>373.543-6.988</f>
        <v>366.55500000000001</v>
      </c>
      <c r="E191" s="18">
        <f>358.438-6.988</f>
        <v>351.45</v>
      </c>
      <c r="F191" s="19">
        <f>L191</f>
        <v>257.255</v>
      </c>
      <c r="G191" s="12"/>
      <c r="H191" s="102"/>
      <c r="I191" s="19"/>
      <c r="J191" s="18"/>
      <c r="K191" s="19"/>
      <c r="L191" s="18">
        <f>264.243-6.988</f>
        <v>257.255</v>
      </c>
    </row>
    <row r="192" spans="2:14">
      <c r="B192" s="11" t="s">
        <v>101</v>
      </c>
      <c r="C192" s="22">
        <f t="shared" ref="C192:F192" si="67">C190-C191</f>
        <v>2859.8129999999996</v>
      </c>
      <c r="D192" s="22">
        <f t="shared" si="67"/>
        <v>2887.3</v>
      </c>
      <c r="E192" s="22">
        <f t="shared" ref="E192" si="68">E190-E191</f>
        <v>2918.5510000000004</v>
      </c>
      <c r="F192" s="22">
        <f t="shared" si="67"/>
        <v>3017.1289999999999</v>
      </c>
      <c r="G192" s="12"/>
      <c r="H192" s="102"/>
      <c r="I192" s="22"/>
      <c r="J192" s="22"/>
      <c r="K192" s="22"/>
      <c r="L192" s="22">
        <f t="shared" ref="L192" si="69">L190-L191</f>
        <v>3017.1289999999999</v>
      </c>
    </row>
    <row r="193" spans="2:12">
      <c r="B193" s="11"/>
      <c r="C193" s="22"/>
      <c r="D193" s="22"/>
      <c r="E193" s="22"/>
      <c r="F193" s="22"/>
      <c r="G193" s="12"/>
      <c r="H193" s="22"/>
      <c r="I193" s="22"/>
      <c r="J193" s="22"/>
      <c r="K193" s="22"/>
      <c r="L193" s="22"/>
    </row>
    <row r="194" spans="2:12">
      <c r="B194" s="7" t="s">
        <v>100</v>
      </c>
      <c r="C194" s="22"/>
      <c r="D194" s="22"/>
      <c r="E194" s="19"/>
      <c r="F194" s="22"/>
      <c r="G194" s="12"/>
      <c r="H194" s="22"/>
      <c r="I194" s="22"/>
      <c r="J194" s="22"/>
      <c r="K194" s="22"/>
      <c r="L194" s="22"/>
    </row>
    <row r="195" spans="2:12">
      <c r="B195" s="8" t="s">
        <v>53</v>
      </c>
      <c r="C195" s="19">
        <f t="shared" ref="C195:D195" si="70">C188-C183</f>
        <v>100.98099999999999</v>
      </c>
      <c r="D195" s="19">
        <f t="shared" si="70"/>
        <v>100.31699999999999</v>
      </c>
      <c r="E195" s="19">
        <f t="shared" ref="E195:F196" si="71">E188-E183</f>
        <v>100</v>
      </c>
      <c r="F195" s="19">
        <f t="shared" si="71"/>
        <v>629.76900000000001</v>
      </c>
      <c r="G195" s="12"/>
      <c r="H195" s="102"/>
      <c r="I195" s="19"/>
      <c r="J195" s="19"/>
      <c r="K195" s="19"/>
      <c r="L195" s="19">
        <f t="shared" ref="L195" si="72">L188-L183</f>
        <v>629.76900000000001</v>
      </c>
    </row>
    <row r="196" spans="2:12">
      <c r="B196" s="8" t="s">
        <v>54</v>
      </c>
      <c r="C196" s="19">
        <f t="shared" ref="C196:D196" si="73">C189-C184</f>
        <v>3096.1819999999998</v>
      </c>
      <c r="D196" s="19">
        <f t="shared" si="73"/>
        <v>3110.6860000000001</v>
      </c>
      <c r="E196" s="19">
        <f t="shared" si="71"/>
        <v>3129.2570000000001</v>
      </c>
      <c r="F196" s="19">
        <f t="shared" si="71"/>
        <v>2604.0790000000002</v>
      </c>
      <c r="G196" s="12"/>
      <c r="H196" s="102"/>
      <c r="I196" s="19"/>
      <c r="J196" s="19"/>
      <c r="K196" s="19"/>
      <c r="L196" s="19">
        <f t="shared" ref="L196" si="74">L189-L184</f>
        <v>2604.0790000000002</v>
      </c>
    </row>
    <row r="197" spans="2:12">
      <c r="B197" s="11" t="s">
        <v>103</v>
      </c>
      <c r="C197" s="22">
        <f t="shared" ref="C197:D197" si="75">SUM(C195:C196)</f>
        <v>3197.1629999999996</v>
      </c>
      <c r="D197" s="22">
        <f t="shared" si="75"/>
        <v>3211.0030000000002</v>
      </c>
      <c r="E197" s="22">
        <f>SUM(E195:E196)</f>
        <v>3229.2570000000001</v>
      </c>
      <c r="F197" s="22">
        <f>SUM(F195:F196)</f>
        <v>3233.848</v>
      </c>
      <c r="G197" s="12"/>
      <c r="H197" s="102"/>
      <c r="I197" s="22"/>
      <c r="J197" s="22"/>
      <c r="K197" s="22"/>
      <c r="L197" s="22">
        <f t="shared" ref="L197" si="76">SUM(L195:L196)</f>
        <v>3233.848</v>
      </c>
    </row>
    <row r="198" spans="2:12">
      <c r="B198" s="17" t="s">
        <v>34</v>
      </c>
      <c r="C198" s="19">
        <f t="shared" ref="C198:D198" si="77">C191</f>
        <v>401</v>
      </c>
      <c r="D198" s="19">
        <f t="shared" si="77"/>
        <v>366.55500000000001</v>
      </c>
      <c r="E198" s="19">
        <f>E191</f>
        <v>351.45</v>
      </c>
      <c r="F198" s="19">
        <f>F191</f>
        <v>257.255</v>
      </c>
      <c r="G198" s="12"/>
      <c r="H198" s="102"/>
      <c r="I198" s="19"/>
      <c r="J198" s="19"/>
      <c r="K198" s="19"/>
      <c r="L198" s="19">
        <f t="shared" ref="L198" si="78">L191</f>
        <v>257.255</v>
      </c>
    </row>
    <row r="199" spans="2:12">
      <c r="B199" s="11" t="s">
        <v>104</v>
      </c>
      <c r="C199" s="79">
        <f t="shared" ref="C199:D199" si="79">C197-C198</f>
        <v>2796.1629999999996</v>
      </c>
      <c r="D199" s="79">
        <f t="shared" si="79"/>
        <v>2844.4480000000003</v>
      </c>
      <c r="E199" s="79">
        <f>E197-E198</f>
        <v>2877.8070000000002</v>
      </c>
      <c r="F199" s="79">
        <f>F197-F198</f>
        <v>2976.5929999999998</v>
      </c>
      <c r="G199" s="12"/>
      <c r="H199" s="102"/>
      <c r="I199" s="79"/>
      <c r="J199" s="79"/>
      <c r="K199" s="79"/>
      <c r="L199" s="79">
        <f t="shared" ref="L199" si="80">L197-L198</f>
        <v>2976.5929999999998</v>
      </c>
    </row>
    <row r="200" spans="2:12">
      <c r="B200" s="11"/>
      <c r="C200" s="188"/>
      <c r="D200" s="188"/>
      <c r="E200" s="188"/>
      <c r="L200" s="188"/>
    </row>
    <row r="201" spans="2:12">
      <c r="B201" s="11" t="s">
        <v>170</v>
      </c>
      <c r="C201" s="68">
        <v>2796.163</v>
      </c>
      <c r="D201" s="68">
        <v>2844.4479999999999</v>
      </c>
      <c r="E201" s="68">
        <v>2877.8069999999998</v>
      </c>
      <c r="F201" s="22">
        <f>L201</f>
        <v>2976.5929999999998</v>
      </c>
      <c r="G201" s="12"/>
      <c r="H201" s="102"/>
      <c r="I201" s="22"/>
      <c r="J201" s="22"/>
      <c r="K201" s="22"/>
      <c r="L201" s="22">
        <f>L192-L185-L151</f>
        <v>2976.5929999999998</v>
      </c>
    </row>
    <row r="202" spans="2:12">
      <c r="B202" s="16" t="s">
        <v>27</v>
      </c>
      <c r="C202" s="18">
        <v>381.56099999999998</v>
      </c>
      <c r="D202" s="18">
        <v>299.315</v>
      </c>
      <c r="E202" s="18">
        <v>611.08100000000002</v>
      </c>
      <c r="F202" s="19">
        <f>L202</f>
        <v>652.21</v>
      </c>
      <c r="G202" s="12"/>
      <c r="H202" s="102"/>
      <c r="I202" s="19"/>
      <c r="J202" s="18"/>
      <c r="K202" s="19"/>
      <c r="L202" s="18">
        <v>652.21</v>
      </c>
    </row>
    <row r="203" spans="2:12" s="11" customFormat="1">
      <c r="B203" s="11" t="s">
        <v>98</v>
      </c>
      <c r="C203" s="22">
        <f>+C190+C202</f>
        <v>3642.3739999999998</v>
      </c>
      <c r="D203" s="22">
        <f>+D190+D202</f>
        <v>3553.17</v>
      </c>
      <c r="E203" s="22">
        <f>+E190+E202</f>
        <v>3881.0820000000003</v>
      </c>
      <c r="F203" s="22">
        <f>+F190+F202</f>
        <v>3926.5940000000001</v>
      </c>
      <c r="G203" s="12"/>
      <c r="H203" s="102"/>
      <c r="I203" s="22"/>
      <c r="J203" s="22"/>
      <c r="K203" s="22"/>
      <c r="L203" s="22">
        <f t="shared" ref="L203" si="81">+L190+L202</f>
        <v>3926.5940000000001</v>
      </c>
    </row>
    <row r="204" spans="2:12" s="11" customFormat="1">
      <c r="C204" s="22"/>
      <c r="D204" s="22"/>
      <c r="E204" s="22"/>
      <c r="F204" s="22"/>
      <c r="G204" s="12"/>
      <c r="H204" s="22"/>
      <c r="I204" s="22"/>
      <c r="J204" s="22"/>
      <c r="K204" s="22"/>
      <c r="L204" s="22"/>
    </row>
    <row r="205" spans="2:12">
      <c r="C205"/>
      <c r="D205"/>
      <c r="E205"/>
    </row>
    <row r="206" spans="2:12">
      <c r="B206" s="13" t="s">
        <v>26</v>
      </c>
      <c r="C206" s="28">
        <f>C3</f>
        <v>45352</v>
      </c>
      <c r="D206" s="28">
        <f>D3</f>
        <v>45717</v>
      </c>
      <c r="E206" s="28">
        <f>E3</f>
        <v>46082</v>
      </c>
      <c r="F206" s="28" t="str">
        <f>F2</f>
        <v>LTM</v>
      </c>
      <c r="G206" s="12"/>
      <c r="H206" s="28">
        <f>H3</f>
        <v>45809</v>
      </c>
      <c r="I206" s="28"/>
      <c r="J206" s="28"/>
      <c r="K206" s="28"/>
      <c r="L206" s="28">
        <f>L3</f>
        <v>46174</v>
      </c>
    </row>
    <row r="207" spans="2:12">
      <c r="B207" s="11"/>
      <c r="G207" s="12"/>
    </row>
    <row r="208" spans="2:12" s="11" customFormat="1">
      <c r="B208" s="7" t="s">
        <v>79</v>
      </c>
      <c r="C208" s="37">
        <f>IF(C192&lt;0,"net cash", C192/C159)</f>
        <v>3.433890876780096</v>
      </c>
      <c r="D208" s="37">
        <f t="shared" ref="D208:F208" si="82">IF(D192&lt;0,"net cash", D192/D159)</f>
        <v>3.4762204034260149</v>
      </c>
      <c r="E208" s="37">
        <f t="shared" si="82"/>
        <v>3.206300432296445</v>
      </c>
      <c r="F208" s="37">
        <f t="shared" si="82"/>
        <v>3.3359932420553791</v>
      </c>
      <c r="G208" s="151"/>
      <c r="H208" s="152"/>
      <c r="I208" s="37"/>
      <c r="J208" s="37"/>
      <c r="K208" s="37"/>
      <c r="L208" s="37">
        <f t="shared" ref="L208" si="83">IF(L192&lt;0,"net cash", L192/L159)</f>
        <v>3.3359932420553791</v>
      </c>
    </row>
    <row r="209" spans="2:12">
      <c r="B209" s="8" t="s">
        <v>108</v>
      </c>
      <c r="C209" s="38">
        <f>+C190/C159</f>
        <v>3.9153874786868705</v>
      </c>
      <c r="D209" s="38">
        <f t="shared" ref="D209:F209" si="84">+D190/D159</f>
        <v>3.9175413503237473</v>
      </c>
      <c r="E209" s="38">
        <f t="shared" si="84"/>
        <v>3.5924010304804699</v>
      </c>
      <c r="F209" s="38">
        <f t="shared" si="84"/>
        <v>3.6204361483696128</v>
      </c>
      <c r="G209" s="12"/>
      <c r="H209" s="102"/>
      <c r="I209" s="38"/>
      <c r="J209" s="38"/>
      <c r="K209" s="38"/>
      <c r="L209" s="38">
        <f t="shared" ref="L209" si="85">+L190/L159</f>
        <v>3.6204361483696128</v>
      </c>
    </row>
    <row r="210" spans="2:12">
      <c r="B210" s="8"/>
      <c r="C210" s="38"/>
      <c r="D210" s="38"/>
      <c r="E210" s="38"/>
      <c r="F210" s="38"/>
      <c r="G210" s="12"/>
      <c r="H210" s="38"/>
      <c r="I210" s="38"/>
      <c r="J210" s="38"/>
      <c r="K210" s="38"/>
      <c r="L210" s="38"/>
    </row>
    <row r="211" spans="2:12" s="11" customFormat="1">
      <c r="B211" s="7" t="s">
        <v>78</v>
      </c>
      <c r="C211" s="37">
        <f>IF(C199&lt;0,"net cash", C199/C159)</f>
        <v>3.3574637976993822</v>
      </c>
      <c r="D211" s="37">
        <f t="shared" ref="D211:F211" si="86">IF(D199&lt;0,"net cash", D199/D159)</f>
        <v>3.4246279133045827</v>
      </c>
      <c r="E211" s="37">
        <f t="shared" si="86"/>
        <v>3.1615393488637804</v>
      </c>
      <c r="F211" s="37">
        <f t="shared" si="86"/>
        <v>3.2911732088184982</v>
      </c>
      <c r="G211" s="151"/>
      <c r="H211" s="152"/>
      <c r="I211" s="37"/>
      <c r="J211" s="37"/>
      <c r="K211" s="37"/>
      <c r="L211" s="37">
        <f t="shared" ref="L211" si="87">IF(L199&lt;0,"net cash", L199/L159)</f>
        <v>3.2911732088184982</v>
      </c>
    </row>
    <row r="212" spans="2:12">
      <c r="B212" s="8" t="s">
        <v>107</v>
      </c>
      <c r="C212" s="38">
        <f>+C197/C159</f>
        <v>3.8389603996061568</v>
      </c>
      <c r="D212" s="38">
        <f t="shared" ref="D212:F212" si="88">+D197/D159</f>
        <v>3.8659488602023151</v>
      </c>
      <c r="E212" s="38">
        <f t="shared" si="88"/>
        <v>3.5476399470478053</v>
      </c>
      <c r="F212" s="38">
        <f t="shared" si="88"/>
        <v>3.5756161151327319</v>
      </c>
      <c r="G212" s="12"/>
      <c r="H212" s="102"/>
      <c r="I212" s="38"/>
      <c r="J212" s="38"/>
      <c r="K212" s="38"/>
      <c r="L212" s="38">
        <f t="shared" ref="L212" si="89">+L197/L159</f>
        <v>3.5756161151327319</v>
      </c>
    </row>
    <row r="213" spans="2:12">
      <c r="B213" s="17"/>
      <c r="C213" s="24"/>
      <c r="D213" s="24"/>
      <c r="E213" s="24"/>
      <c r="F213" s="24"/>
      <c r="G213" s="12"/>
      <c r="H213" s="38"/>
      <c r="I213" s="38"/>
      <c r="J213" s="38"/>
      <c r="K213" s="38"/>
      <c r="L213" s="38"/>
    </row>
    <row r="214" spans="2:12" s="11" customFormat="1">
      <c r="B214" s="11" t="s">
        <v>171</v>
      </c>
      <c r="C214" s="37">
        <f>C201/C159</f>
        <v>3.3574637976993826</v>
      </c>
      <c r="D214" s="37">
        <f t="shared" ref="D214:F214" si="90">D201/D159</f>
        <v>3.4246279133045823</v>
      </c>
      <c r="E214" s="37">
        <f t="shared" si="90"/>
        <v>3.1615393488637795</v>
      </c>
      <c r="F214" s="37">
        <f t="shared" si="90"/>
        <v>3.2911732088184982</v>
      </c>
      <c r="G214" s="151"/>
      <c r="H214" s="153"/>
      <c r="I214" s="37"/>
      <c r="J214" s="37"/>
      <c r="K214" s="37"/>
      <c r="L214" s="37">
        <f t="shared" ref="L214" si="91">L201/L159</f>
        <v>3.2911732088184982</v>
      </c>
    </row>
    <row r="215" spans="2:12">
      <c r="C215" s="38"/>
      <c r="D215" s="38"/>
      <c r="E215" s="38"/>
      <c r="F215" s="38"/>
      <c r="G215" s="12"/>
      <c r="H215" s="38"/>
      <c r="I215" s="38"/>
      <c r="J215" s="38"/>
      <c r="K215" s="38"/>
      <c r="L215" s="38"/>
    </row>
    <row r="216" spans="2:12" s="11" customFormat="1">
      <c r="B216" s="11" t="s">
        <v>5</v>
      </c>
      <c r="C216" s="37">
        <f>+(C159-C162)/C160</f>
        <v>1.5078864560546041</v>
      </c>
      <c r="D216" s="37">
        <f t="shared" ref="D216:F216" si="92">+(D159-D162)/D160</f>
        <v>1.9133529760880486</v>
      </c>
      <c r="E216" s="37">
        <f t="shared" si="92"/>
        <v>2.1289426479518121</v>
      </c>
      <c r="F216" s="37">
        <f t="shared" si="92"/>
        <v>1.8912226574687145</v>
      </c>
      <c r="G216" s="151"/>
      <c r="H216" s="152"/>
      <c r="I216" s="37"/>
      <c r="J216" s="37"/>
      <c r="K216" s="37"/>
      <c r="L216" s="37">
        <f t="shared" ref="L216" si="93">+(L159-L162)/L160</f>
        <v>1.8912226574687145</v>
      </c>
    </row>
    <row r="217" spans="2:12">
      <c r="B217" s="16" t="s">
        <v>6</v>
      </c>
      <c r="C217" s="38">
        <f>+(C159)/C160</f>
        <v>2.7355261688443928</v>
      </c>
      <c r="D217" s="38">
        <f t="shared" ref="D217:F217" si="94">+(D159)/D160</f>
        <v>2.9168647915913093</v>
      </c>
      <c r="E217" s="38">
        <f t="shared" si="94"/>
        <v>3.1766452855736951</v>
      </c>
      <c r="F217" s="38">
        <f t="shared" si="94"/>
        <v>3.1352203002045278</v>
      </c>
      <c r="G217" s="12"/>
      <c r="H217" s="102"/>
      <c r="I217" s="38"/>
      <c r="J217" s="38"/>
      <c r="K217" s="38"/>
      <c r="L217" s="38">
        <f t="shared" ref="L217" si="95">+(L159)/L160</f>
        <v>3.1352203002045278</v>
      </c>
    </row>
    <row r="218" spans="2:12">
      <c r="C218" s="39"/>
      <c r="D218" s="39"/>
      <c r="E218" s="39"/>
      <c r="F218" s="39"/>
      <c r="G218" s="12"/>
      <c r="H218" s="39"/>
      <c r="I218" s="39"/>
      <c r="J218" s="39"/>
      <c r="K218" s="39"/>
      <c r="L218" s="39"/>
    </row>
    <row r="219" spans="2:12" s="11" customFormat="1">
      <c r="B219" s="40" t="s">
        <v>30</v>
      </c>
      <c r="C219" s="41">
        <f>C192/C202</f>
        <v>7.4950348699159504</v>
      </c>
      <c r="D219" s="41">
        <f t="shared" ref="D219:F219" si="96">D192/D202</f>
        <v>9.6463591868098835</v>
      </c>
      <c r="E219" s="41">
        <f t="shared" si="96"/>
        <v>4.7760460560874911</v>
      </c>
      <c r="F219" s="41">
        <f t="shared" si="96"/>
        <v>4.6260084941966539</v>
      </c>
      <c r="G219" s="12"/>
      <c r="H219" s="102"/>
      <c r="I219" s="41"/>
      <c r="J219" s="41"/>
      <c r="K219" s="41"/>
      <c r="L219" s="41">
        <f t="shared" ref="L219" si="97">L192/L202</f>
        <v>4.6260084941966539</v>
      </c>
    </row>
    <row r="220" spans="2:12" s="11" customFormat="1">
      <c r="C220" s="42"/>
      <c r="D220" s="42"/>
      <c r="E220" s="42"/>
      <c r="F220" s="42"/>
      <c r="G220" s="12"/>
      <c r="H220" s="42"/>
      <c r="I220" s="42"/>
      <c r="J220" s="42"/>
      <c r="K220" s="42"/>
      <c r="L220" s="42"/>
    </row>
    <row r="221" spans="2:12">
      <c r="B221" s="43" t="s">
        <v>86</v>
      </c>
      <c r="C221" s="28">
        <f>C3</f>
        <v>45352</v>
      </c>
      <c r="D221" s="28">
        <f>D3</f>
        <v>45717</v>
      </c>
      <c r="E221" s="28">
        <f>E3</f>
        <v>46082</v>
      </c>
      <c r="F221" s="28" t="str">
        <f>F2</f>
        <v>LTM</v>
      </c>
      <c r="G221" s="12"/>
      <c r="H221" s="28">
        <f>H3</f>
        <v>45809</v>
      </c>
      <c r="I221" s="28"/>
      <c r="J221" s="28"/>
      <c r="K221" s="28"/>
      <c r="L221" s="28">
        <f>L3</f>
        <v>46174</v>
      </c>
    </row>
    <row r="222" spans="2:12">
      <c r="B222" s="16" t="s">
        <v>80</v>
      </c>
      <c r="C222" s="95">
        <f>C155</f>
        <v>1965.3389999999999</v>
      </c>
      <c r="D222" s="95">
        <f>D155</f>
        <v>1982.876</v>
      </c>
      <c r="E222" s="95">
        <f>E155</f>
        <v>2165.1329999999998</v>
      </c>
      <c r="F222" s="95">
        <f>F155</f>
        <v>2178.3729999999996</v>
      </c>
      <c r="G222" s="12"/>
      <c r="H222" s="101"/>
      <c r="I222" s="19"/>
      <c r="J222" s="19"/>
      <c r="K222" s="19"/>
      <c r="L222" s="19">
        <f>L155</f>
        <v>2178.3729999999996</v>
      </c>
    </row>
    <row r="223" spans="2:12">
      <c r="B223" s="16" t="s">
        <v>81</v>
      </c>
      <c r="C223" s="95">
        <f>C159</f>
        <v>832.82</v>
      </c>
      <c r="D223" s="95">
        <f>D159</f>
        <v>830.58600000000001</v>
      </c>
      <c r="E223" s="95">
        <f>E159</f>
        <v>910.255</v>
      </c>
      <c r="F223" s="95">
        <f>F159</f>
        <v>904.41700000000003</v>
      </c>
      <c r="G223" s="12"/>
      <c r="H223" s="101"/>
      <c r="I223" s="19"/>
      <c r="J223" s="19"/>
      <c r="K223" s="19"/>
      <c r="L223" s="19">
        <f>L159</f>
        <v>904.41700000000003</v>
      </c>
    </row>
    <row r="224" spans="2:12">
      <c r="B224" s="16" t="s">
        <v>82</v>
      </c>
      <c r="C224" s="26">
        <f t="shared" ref="C224:E224" si="98">C223/C222</f>
        <v>0.42375386638132151</v>
      </c>
      <c r="D224" s="26">
        <f t="shared" si="98"/>
        <v>0.41887944581506864</v>
      </c>
      <c r="E224" s="26">
        <f t="shared" si="98"/>
        <v>0.42041528164782488</v>
      </c>
      <c r="F224" s="26">
        <f>F223/F222</f>
        <v>0.41518004492343608</v>
      </c>
      <c r="G224" s="12"/>
      <c r="H224" s="103"/>
      <c r="I224" s="44"/>
      <c r="J224" s="44"/>
      <c r="K224" s="44"/>
      <c r="L224" s="44">
        <f t="shared" ref="L224" si="99">L223/L222</f>
        <v>0.41518004492343608</v>
      </c>
    </row>
    <row r="225" spans="2:12">
      <c r="B225" s="16" t="str">
        <f>B160</f>
        <v>Cash interest paid</v>
      </c>
      <c r="C225" s="95">
        <f>C160</f>
        <v>304.44600000000003</v>
      </c>
      <c r="D225" s="95">
        <f>D160</f>
        <v>284.75299999999999</v>
      </c>
      <c r="E225" s="95">
        <f>E160</f>
        <v>286.54599999999999</v>
      </c>
      <c r="F225" s="95">
        <f>F160</f>
        <v>288.46999999999997</v>
      </c>
      <c r="G225" s="12"/>
      <c r="H225" s="101"/>
      <c r="I225" s="19"/>
      <c r="J225" s="19"/>
      <c r="K225" s="19"/>
      <c r="L225" s="19">
        <f>L160</f>
        <v>288.46999999999997</v>
      </c>
    </row>
    <row r="226" spans="2:12">
      <c r="B226" s="16" t="str">
        <f t="shared" ref="B226:F227" si="100">B162</f>
        <v>Capex</v>
      </c>
      <c r="C226" s="95">
        <f t="shared" si="100"/>
        <v>373.75</v>
      </c>
      <c r="D226" s="95">
        <f t="shared" si="100"/>
        <v>285.75299999999999</v>
      </c>
      <c r="E226" s="95">
        <f t="shared" si="100"/>
        <v>300.21499999999997</v>
      </c>
      <c r="F226" s="95">
        <f t="shared" si="100"/>
        <v>358.85599999999999</v>
      </c>
      <c r="G226" s="12"/>
      <c r="H226" s="101"/>
      <c r="I226" s="19"/>
      <c r="J226" s="19"/>
      <c r="K226" s="19"/>
      <c r="L226" s="19">
        <f t="shared" ref="L226:L227" si="101">L162</f>
        <v>358.85599999999999</v>
      </c>
    </row>
    <row r="227" spans="2:12">
      <c r="B227" s="16" t="str">
        <f t="shared" si="100"/>
        <v xml:space="preserve">Free cash flow </v>
      </c>
      <c r="C227" s="95">
        <f t="shared" si="100"/>
        <v>184.01800000000003</v>
      </c>
      <c r="D227" s="95">
        <f t="shared" si="100"/>
        <v>126.89400000000001</v>
      </c>
      <c r="E227" s="95">
        <f t="shared" si="100"/>
        <v>112.61800000000005</v>
      </c>
      <c r="F227" s="95">
        <f t="shared" si="100"/>
        <v>86.95700000000005</v>
      </c>
      <c r="G227" s="12"/>
      <c r="H227" s="101"/>
      <c r="I227" s="19"/>
      <c r="J227" s="19"/>
      <c r="K227" s="19"/>
      <c r="L227" s="19">
        <f t="shared" si="101"/>
        <v>86.957000000000022</v>
      </c>
    </row>
    <row r="228" spans="2:12">
      <c r="B228" s="16" t="s">
        <v>36</v>
      </c>
      <c r="C228" s="95">
        <f>C191</f>
        <v>401</v>
      </c>
      <c r="D228" s="95">
        <f>D191</f>
        <v>366.55500000000001</v>
      </c>
      <c r="E228" s="95">
        <f>E191</f>
        <v>351.45</v>
      </c>
      <c r="F228" s="95">
        <f>F191</f>
        <v>257.255</v>
      </c>
      <c r="G228" s="12"/>
      <c r="H228" s="101"/>
      <c r="I228" s="19"/>
      <c r="J228" s="19"/>
      <c r="K228" s="19"/>
      <c r="L228" s="19">
        <f>L191</f>
        <v>257.255</v>
      </c>
    </row>
    <row r="229" spans="2:12">
      <c r="B229" s="16" t="s">
        <v>115</v>
      </c>
      <c r="C229" s="95">
        <f>C190</f>
        <v>3260.8129999999996</v>
      </c>
      <c r="D229" s="95">
        <f>D190</f>
        <v>3253.855</v>
      </c>
      <c r="E229" s="95">
        <f>E190</f>
        <v>3270.0010000000002</v>
      </c>
      <c r="F229" s="95">
        <f>F190</f>
        <v>3274.384</v>
      </c>
      <c r="G229" s="12"/>
      <c r="H229" s="101"/>
      <c r="I229" s="19"/>
      <c r="J229" s="19"/>
      <c r="K229" s="19"/>
      <c r="L229" s="19">
        <f>L190</f>
        <v>3274.384</v>
      </c>
    </row>
    <row r="230" spans="2:12" s="11" customFormat="1">
      <c r="B230" s="11" t="s">
        <v>114</v>
      </c>
      <c r="C230" s="47">
        <f>C229-C228</f>
        <v>2859.8129999999996</v>
      </c>
      <c r="D230" s="47">
        <f t="shared" ref="D230:E230" si="102">D229-D228</f>
        <v>2887.3</v>
      </c>
      <c r="E230" s="47">
        <f t="shared" si="102"/>
        <v>2918.5510000000004</v>
      </c>
      <c r="F230" s="47">
        <f>F229-F228</f>
        <v>3017.1289999999999</v>
      </c>
      <c r="G230" s="12"/>
      <c r="H230" s="154"/>
      <c r="I230" s="22"/>
      <c r="J230" s="22"/>
      <c r="K230" s="22"/>
      <c r="L230" s="22">
        <f t="shared" ref="L230" si="103">L229-L228</f>
        <v>3017.1289999999999</v>
      </c>
    </row>
    <row r="231" spans="2:12">
      <c r="B231" s="16" t="s">
        <v>38</v>
      </c>
      <c r="C231" s="45">
        <f>C209</f>
        <v>3.9153874786868705</v>
      </c>
      <c r="D231" s="45">
        <f>D209</f>
        <v>3.9175413503237473</v>
      </c>
      <c r="E231" s="45">
        <f>E209</f>
        <v>3.5924010304804699</v>
      </c>
      <c r="F231" s="45">
        <f>F209</f>
        <v>3.6204361483696128</v>
      </c>
      <c r="G231" s="12"/>
      <c r="H231" s="104"/>
      <c r="I231" s="45"/>
      <c r="J231" s="45"/>
      <c r="K231" s="45"/>
      <c r="L231" s="45">
        <f>L209</f>
        <v>3.6204361483696128</v>
      </c>
    </row>
    <row r="232" spans="2:12" s="11" customFormat="1">
      <c r="B232" s="11" t="s">
        <v>39</v>
      </c>
      <c r="C232" s="60">
        <f>C208</f>
        <v>3.433890876780096</v>
      </c>
      <c r="D232" s="60">
        <f>D208</f>
        <v>3.4762204034260149</v>
      </c>
      <c r="E232" s="60">
        <f>E208</f>
        <v>3.206300432296445</v>
      </c>
      <c r="F232" s="60">
        <f>F208</f>
        <v>3.3359932420553791</v>
      </c>
      <c r="G232" s="12"/>
      <c r="H232" s="105"/>
      <c r="I232" s="60"/>
      <c r="J232" s="60"/>
      <c r="K232" s="60"/>
      <c r="L232" s="60">
        <f>L208</f>
        <v>3.3359932420553791</v>
      </c>
    </row>
    <row r="233" spans="2:12">
      <c r="C233" s="19"/>
      <c r="D233" s="19"/>
      <c r="E233" s="19"/>
      <c r="F233" s="19"/>
      <c r="G233" s="12"/>
      <c r="H233" s="19"/>
      <c r="I233" s="19"/>
      <c r="J233" s="19"/>
      <c r="K233" s="19"/>
      <c r="L233" s="19"/>
    </row>
    <row r="234" spans="2:12">
      <c r="B234" s="13" t="s">
        <v>41</v>
      </c>
      <c r="C234" s="46"/>
      <c r="D234" s="46"/>
      <c r="E234" s="46"/>
      <c r="F234" s="46"/>
      <c r="G234" s="12"/>
      <c r="H234" s="46"/>
      <c r="I234" s="46"/>
      <c r="J234" s="46"/>
      <c r="K234" s="46"/>
      <c r="L234" s="46"/>
    </row>
    <row r="235" spans="2:12" s="9" customFormat="1">
      <c r="B235" s="43" t="str">
        <f>B3</f>
        <v>(Trinidad and Tobago Dollars millions)</v>
      </c>
      <c r="C235" s="10">
        <f>C3</f>
        <v>45352</v>
      </c>
      <c r="D235" s="10">
        <f>D3</f>
        <v>45717</v>
      </c>
      <c r="E235" s="10">
        <f>E3</f>
        <v>46082</v>
      </c>
      <c r="F235" s="10" t="str">
        <f>F2</f>
        <v>LTM</v>
      </c>
      <c r="G235" s="12"/>
      <c r="H235" s="10">
        <f>H3</f>
        <v>45809</v>
      </c>
      <c r="I235" s="10"/>
      <c r="J235" s="10"/>
      <c r="K235" s="10"/>
      <c r="L235" s="10">
        <f>L3</f>
        <v>46174</v>
      </c>
    </row>
    <row r="236" spans="2:12" s="11" customFormat="1">
      <c r="B236" s="43"/>
      <c r="C236" s="10" t="s">
        <v>8</v>
      </c>
      <c r="D236" s="10" t="s">
        <v>8</v>
      </c>
      <c r="E236" s="10" t="s">
        <v>8</v>
      </c>
      <c r="F236" s="10" t="s">
        <v>8</v>
      </c>
      <c r="G236" s="12"/>
      <c r="H236" s="10" t="s">
        <v>8</v>
      </c>
      <c r="I236" s="10"/>
      <c r="J236" s="10"/>
      <c r="K236" s="10"/>
      <c r="L236" s="10" t="s">
        <v>8</v>
      </c>
    </row>
    <row r="237" spans="2:12">
      <c r="G237" s="12"/>
    </row>
    <row r="238" spans="2:12" s="11" customFormat="1">
      <c r="B238" s="11" t="str">
        <f>B7</f>
        <v>Revenue from contracts with customers</v>
      </c>
      <c r="C238" s="22">
        <f>C7</f>
        <v>1965.3389999999999</v>
      </c>
      <c r="D238" s="22">
        <f>D7</f>
        <v>1982.876</v>
      </c>
      <c r="E238" s="22">
        <f>E7</f>
        <v>2165.1329999999998</v>
      </c>
      <c r="F238" s="22">
        <f>F7</f>
        <v>2178.3729999999996</v>
      </c>
      <c r="G238" s="12"/>
      <c r="H238" s="22">
        <f>H7</f>
        <v>490.59</v>
      </c>
      <c r="I238" s="22"/>
      <c r="J238" s="22"/>
      <c r="K238" s="22"/>
      <c r="L238" s="22">
        <f>L7</f>
        <v>503.83</v>
      </c>
    </row>
    <row r="239" spans="2:12" s="20" customFormat="1">
      <c r="B239" s="23" t="s">
        <v>83</v>
      </c>
      <c r="C239" s="48"/>
      <c r="D239" s="48">
        <f>D238/C238-1</f>
        <v>8.923142521468419E-3</v>
      </c>
      <c r="E239" s="48">
        <f>E238/D238-1</f>
        <v>9.1915480342694034E-2</v>
      </c>
      <c r="F239" s="48"/>
      <c r="G239" s="12"/>
      <c r="H239" s="102"/>
      <c r="I239" s="102"/>
      <c r="J239" s="48"/>
      <c r="K239" s="48"/>
      <c r="L239" s="21">
        <f>L238/H238-1</f>
        <v>2.6987912513504186E-2</v>
      </c>
    </row>
    <row r="240" spans="2:12">
      <c r="G240" s="12"/>
      <c r="H240" s="49"/>
      <c r="I240" s="49"/>
      <c r="J240" s="49"/>
      <c r="K240" s="49"/>
      <c r="L240" s="49"/>
    </row>
    <row r="241" spans="2:17" s="11" customFormat="1" ht="13.5" thickBot="1">
      <c r="B241" s="50" t="str">
        <f>B123</f>
        <v xml:space="preserve">Adj. EBITDA </v>
      </c>
      <c r="C241" s="51">
        <f>C123</f>
        <v>832.82</v>
      </c>
      <c r="D241" s="51">
        <f>D123</f>
        <v>830.58600000000001</v>
      </c>
      <c r="E241" s="51">
        <f>E123</f>
        <v>910.255</v>
      </c>
      <c r="F241" s="51">
        <f>F123</f>
        <v>904.41700000000003</v>
      </c>
      <c r="G241" s="12"/>
      <c r="H241" s="51">
        <f t="shared" ref="H241:L241" si="104">H123</f>
        <v>220.16800000000001</v>
      </c>
      <c r="I241" s="51"/>
      <c r="J241" s="51"/>
      <c r="K241" s="51"/>
      <c r="L241" s="51">
        <f t="shared" si="104"/>
        <v>214.33</v>
      </c>
      <c r="M241" s="42"/>
      <c r="N241" s="42"/>
      <c r="O241" s="42"/>
      <c r="P241" s="42"/>
      <c r="Q241" s="42"/>
    </row>
    <row r="242" spans="2:17" s="20" customFormat="1" ht="13.5" thickTop="1">
      <c r="B242" s="52" t="str">
        <f t="shared" ref="B242:E243" si="105">B124</f>
        <v xml:space="preserve">% growth </v>
      </c>
      <c r="C242" s="48">
        <f t="shared" si="105"/>
        <v>0</v>
      </c>
      <c r="D242" s="48">
        <f t="shared" si="105"/>
        <v>-2.6824523906726627E-3</v>
      </c>
      <c r="E242" s="48">
        <f t="shared" si="105"/>
        <v>9.5919025844403816E-2</v>
      </c>
      <c r="F242" s="48"/>
      <c r="G242" s="12"/>
      <c r="H242" s="102"/>
      <c r="I242" s="48"/>
      <c r="J242" s="48"/>
      <c r="K242" s="48"/>
      <c r="L242" s="21">
        <f>L241/H241-1</f>
        <v>-2.6516114966752657E-2</v>
      </c>
    </row>
    <row r="243" spans="2:17" s="20" customFormat="1">
      <c r="B243" s="52" t="str">
        <f t="shared" si="105"/>
        <v>% margin</v>
      </c>
      <c r="C243" s="48">
        <f t="shared" si="105"/>
        <v>0.42375386638132151</v>
      </c>
      <c r="D243" s="48">
        <f t="shared" si="105"/>
        <v>0.41887944581506864</v>
      </c>
      <c r="E243" s="48">
        <f t="shared" si="105"/>
        <v>0.42041528164782488</v>
      </c>
      <c r="F243" s="48">
        <f>F125</f>
        <v>0.41518004492343608</v>
      </c>
      <c r="G243" s="12"/>
      <c r="H243" s="48">
        <f t="shared" ref="H243:L243" si="106">H125</f>
        <v>0.44878207872153941</v>
      </c>
      <c r="I243" s="48"/>
      <c r="J243" s="48"/>
      <c r="K243" s="48"/>
      <c r="L243" s="48">
        <f t="shared" si="106"/>
        <v>0.4254014250838577</v>
      </c>
    </row>
    <row r="244" spans="2:17">
      <c r="G244" s="12"/>
      <c r="H244" s="49"/>
      <c r="I244" s="49"/>
      <c r="J244" s="49"/>
      <c r="K244" s="49"/>
      <c r="L244" s="49"/>
    </row>
    <row r="245" spans="2:17" s="11" customFormat="1">
      <c r="B245" s="11" t="str">
        <f t="shared" ref="B245:F254" si="107">B131</f>
        <v xml:space="preserve">Adj. EBITDA </v>
      </c>
      <c r="C245" s="53">
        <f t="shared" si="107"/>
        <v>832.82</v>
      </c>
      <c r="D245" s="53">
        <f t="shared" si="107"/>
        <v>830.58600000000001</v>
      </c>
      <c r="E245" s="53">
        <f t="shared" si="107"/>
        <v>910.255</v>
      </c>
      <c r="F245" s="53">
        <f t="shared" si="107"/>
        <v>904.41700000000003</v>
      </c>
      <c r="G245" s="12"/>
      <c r="H245" s="53">
        <f t="shared" ref="H245:L254" si="108">H131</f>
        <v>220.16800000000001</v>
      </c>
      <c r="I245" s="53"/>
      <c r="J245" s="53"/>
      <c r="K245" s="53"/>
      <c r="L245" s="53">
        <f t="shared" si="108"/>
        <v>214.33</v>
      </c>
    </row>
    <row r="246" spans="2:17">
      <c r="B246" s="16" t="str">
        <f t="shared" si="107"/>
        <v>Working Capital</v>
      </c>
      <c r="C246" s="54">
        <f t="shared" si="107"/>
        <v>42.897999999999996</v>
      </c>
      <c r="D246" s="54">
        <f t="shared" si="107"/>
        <v>-120.354</v>
      </c>
      <c r="E246" s="54">
        <f t="shared" si="107"/>
        <v>-196.26600000000002</v>
      </c>
      <c r="F246" s="54">
        <f t="shared" si="107"/>
        <v>-157.22500000000002</v>
      </c>
      <c r="G246" s="12"/>
      <c r="H246" s="54">
        <f t="shared" si="108"/>
        <v>-77.83799999999998</v>
      </c>
      <c r="I246" s="54"/>
      <c r="J246" s="54"/>
      <c r="K246" s="54"/>
      <c r="L246" s="54">
        <f t="shared" si="108"/>
        <v>-38.796999999999997</v>
      </c>
    </row>
    <row r="247" spans="2:17">
      <c r="B247" s="16" t="str">
        <f t="shared" si="107"/>
        <v>Taxes</v>
      </c>
      <c r="C247" s="54">
        <f t="shared" si="107"/>
        <v>-13.504</v>
      </c>
      <c r="D247" s="54">
        <f t="shared" si="107"/>
        <v>-12.832000000000001</v>
      </c>
      <c r="E247" s="54">
        <f t="shared" si="107"/>
        <v>-14.61</v>
      </c>
      <c r="F247" s="54">
        <f t="shared" si="107"/>
        <v>-12.908999999999999</v>
      </c>
      <c r="G247" s="12"/>
      <c r="H247" s="54">
        <f t="shared" si="108"/>
        <v>-5.5579999999999998</v>
      </c>
      <c r="I247" s="54"/>
      <c r="J247" s="54"/>
      <c r="K247" s="54"/>
      <c r="L247" s="54">
        <f t="shared" si="108"/>
        <v>-3.8570000000000002</v>
      </c>
    </row>
    <row r="248" spans="2:17">
      <c r="B248" s="16" t="str">
        <f t="shared" si="107"/>
        <v>Cash interest paid</v>
      </c>
      <c r="C248" s="54">
        <f t="shared" si="107"/>
        <v>-304.44600000000003</v>
      </c>
      <c r="D248" s="54">
        <f t="shared" si="107"/>
        <v>-284.75299999999999</v>
      </c>
      <c r="E248" s="54">
        <f t="shared" si="107"/>
        <v>-286.54599999999999</v>
      </c>
      <c r="F248" s="54">
        <f t="shared" si="107"/>
        <v>-288.46999999999997</v>
      </c>
      <c r="G248" s="12"/>
      <c r="H248" s="54">
        <f t="shared" si="108"/>
        <v>-138.911</v>
      </c>
      <c r="I248" s="54"/>
      <c r="J248" s="54"/>
      <c r="K248" s="54"/>
      <c r="L248" s="54">
        <f t="shared" si="108"/>
        <v>-140.83500000000001</v>
      </c>
    </row>
    <row r="249" spans="2:17" s="11" customFormat="1" ht="13.5" thickBot="1">
      <c r="B249" s="50" t="str">
        <f t="shared" si="107"/>
        <v xml:space="preserve">Net cash from operations </v>
      </c>
      <c r="C249" s="55">
        <f t="shared" si="107"/>
        <v>557.76800000000003</v>
      </c>
      <c r="D249" s="55">
        <f t="shared" si="107"/>
        <v>412.64699999999999</v>
      </c>
      <c r="E249" s="55">
        <f t="shared" si="107"/>
        <v>412.83300000000003</v>
      </c>
      <c r="F249" s="55">
        <f t="shared" si="107"/>
        <v>445.81300000000005</v>
      </c>
      <c r="G249" s="12"/>
      <c r="H249" s="55">
        <f t="shared" si="108"/>
        <v>-2.1389999999999532</v>
      </c>
      <c r="I249" s="55"/>
      <c r="J249" s="55"/>
      <c r="K249" s="55"/>
      <c r="L249" s="55">
        <f t="shared" si="108"/>
        <v>30.841000000000008</v>
      </c>
    </row>
    <row r="250" spans="2:17" ht="13.5" thickTop="1">
      <c r="B250" s="16" t="str">
        <f t="shared" si="107"/>
        <v>Net Capex</v>
      </c>
      <c r="C250" s="57">
        <f t="shared" si="107"/>
        <v>-373.75</v>
      </c>
      <c r="D250" s="57">
        <f t="shared" si="107"/>
        <v>-285.75299999999999</v>
      </c>
      <c r="E250" s="57">
        <f t="shared" si="107"/>
        <v>-300.21499999999997</v>
      </c>
      <c r="F250" s="57">
        <f t="shared" si="107"/>
        <v>-358.85599999999999</v>
      </c>
      <c r="G250" s="12"/>
      <c r="H250" s="57">
        <f t="shared" si="108"/>
        <v>-48.923000000000002</v>
      </c>
      <c r="I250" s="57"/>
      <c r="J250" s="57"/>
      <c r="K250" s="57"/>
      <c r="L250" s="57">
        <f t="shared" si="108"/>
        <v>-107.56399999999999</v>
      </c>
    </row>
    <row r="251" spans="2:17">
      <c r="B251" s="16" t="str">
        <f t="shared" si="107"/>
        <v>Purchase of intangible assets</v>
      </c>
      <c r="C251" s="57">
        <f t="shared" si="107"/>
        <v>0</v>
      </c>
      <c r="D251" s="57">
        <f t="shared" si="107"/>
        <v>0</v>
      </c>
      <c r="E251" s="57">
        <f t="shared" si="107"/>
        <v>0</v>
      </c>
      <c r="F251" s="57">
        <f t="shared" si="107"/>
        <v>0</v>
      </c>
      <c r="G251" s="12"/>
      <c r="H251" s="57">
        <f t="shared" si="108"/>
        <v>0</v>
      </c>
      <c r="I251" s="57"/>
      <c r="J251" s="57"/>
      <c r="K251" s="57"/>
      <c r="L251" s="57">
        <f t="shared" si="108"/>
        <v>0</v>
      </c>
    </row>
    <row r="252" spans="2:17">
      <c r="B252" s="16" t="str">
        <f t="shared" si="107"/>
        <v>Disposals/ Acquistion, of subsidiaries, businesses</v>
      </c>
      <c r="C252" s="57">
        <f t="shared" si="107"/>
        <v>0</v>
      </c>
      <c r="D252" s="57">
        <f t="shared" si="107"/>
        <v>0</v>
      </c>
      <c r="E252" s="57">
        <f t="shared" si="107"/>
        <v>0</v>
      </c>
      <c r="F252" s="57">
        <f t="shared" si="107"/>
        <v>0</v>
      </c>
      <c r="G252" s="12"/>
      <c r="H252" s="57">
        <f t="shared" si="108"/>
        <v>0</v>
      </c>
      <c r="I252" s="57"/>
      <c r="J252" s="57"/>
      <c r="K252" s="57"/>
      <c r="L252" s="57">
        <f t="shared" si="108"/>
        <v>0</v>
      </c>
    </row>
    <row r="253" spans="2:17" s="11" customFormat="1" ht="13.5" thickBot="1">
      <c r="B253" s="50" t="str">
        <f t="shared" si="107"/>
        <v xml:space="preserve">Free cash flow </v>
      </c>
      <c r="C253" s="55">
        <f t="shared" si="107"/>
        <v>184.01800000000003</v>
      </c>
      <c r="D253" s="55">
        <f t="shared" si="107"/>
        <v>126.89400000000001</v>
      </c>
      <c r="E253" s="55">
        <f t="shared" si="107"/>
        <v>112.61800000000005</v>
      </c>
      <c r="F253" s="55">
        <f t="shared" si="107"/>
        <v>86.95700000000005</v>
      </c>
      <c r="G253" s="12"/>
      <c r="H253" s="55">
        <f t="shared" si="108"/>
        <v>-51.061999999999955</v>
      </c>
      <c r="I253" s="55"/>
      <c r="J253" s="55"/>
      <c r="K253" s="55"/>
      <c r="L253" s="55">
        <f t="shared" si="108"/>
        <v>-76.722999999999985</v>
      </c>
    </row>
    <row r="254" spans="2:17" s="11" customFormat="1" ht="13.5" thickTop="1">
      <c r="B254" s="16" t="str">
        <f t="shared" si="107"/>
        <v>Other Investing activities</v>
      </c>
      <c r="C254" s="57">
        <f t="shared" si="107"/>
        <v>31.399000000000001</v>
      </c>
      <c r="D254" s="57">
        <f t="shared" si="107"/>
        <v>2.7669999999999999</v>
      </c>
      <c r="E254" s="57">
        <f t="shared" si="107"/>
        <v>2.5499999999999998</v>
      </c>
      <c r="F254" s="57">
        <f t="shared" si="107"/>
        <v>3.246</v>
      </c>
      <c r="G254" s="12"/>
      <c r="H254" s="57">
        <f t="shared" si="108"/>
        <v>0.93200000000000005</v>
      </c>
      <c r="I254" s="57"/>
      <c r="J254" s="57"/>
      <c r="K254" s="57"/>
      <c r="L254" s="57">
        <f t="shared" si="108"/>
        <v>1.6279999999999999</v>
      </c>
    </row>
    <row r="255" spans="2:17">
      <c r="B255" s="16" t="str">
        <f t="shared" ref="B255:F262" si="109">B141</f>
        <v>Equity Issuance / Buyback</v>
      </c>
      <c r="C255" s="57">
        <f t="shared" si="109"/>
        <v>0</v>
      </c>
      <c r="D255" s="57">
        <f t="shared" si="109"/>
        <v>0</v>
      </c>
      <c r="E255" s="57">
        <f t="shared" si="109"/>
        <v>0</v>
      </c>
      <c r="F255" s="57">
        <f t="shared" si="109"/>
        <v>0</v>
      </c>
      <c r="G255" s="12"/>
      <c r="H255" s="57">
        <f t="shared" ref="H255:L262" si="110">H141</f>
        <v>0</v>
      </c>
      <c r="I255" s="57"/>
      <c r="J255" s="57"/>
      <c r="K255" s="57"/>
      <c r="L255" s="57">
        <f t="shared" si="110"/>
        <v>0</v>
      </c>
    </row>
    <row r="256" spans="2:17">
      <c r="B256" s="16" t="str">
        <f t="shared" si="109"/>
        <v>Dividends</v>
      </c>
      <c r="C256" s="57">
        <f t="shared" si="109"/>
        <v>0</v>
      </c>
      <c r="D256" s="57">
        <f t="shared" si="109"/>
        <v>0</v>
      </c>
      <c r="E256" s="57">
        <f t="shared" si="109"/>
        <v>0</v>
      </c>
      <c r="F256" s="57">
        <f t="shared" si="109"/>
        <v>0</v>
      </c>
      <c r="G256" s="12"/>
      <c r="H256" s="57">
        <f t="shared" si="110"/>
        <v>0</v>
      </c>
      <c r="I256" s="57"/>
      <c r="J256" s="57"/>
      <c r="K256" s="57"/>
      <c r="L256" s="57">
        <f t="shared" si="110"/>
        <v>0</v>
      </c>
    </row>
    <row r="257" spans="2:12">
      <c r="B257" s="16" t="str">
        <f t="shared" si="109"/>
        <v>Net Change in debt</v>
      </c>
      <c r="C257" s="57">
        <f t="shared" si="109"/>
        <v>-77.575999999999993</v>
      </c>
      <c r="D257" s="57">
        <f t="shared" si="109"/>
        <v>-37.812000000000005</v>
      </c>
      <c r="E257" s="57">
        <f t="shared" si="109"/>
        <v>-27.648</v>
      </c>
      <c r="F257" s="57">
        <f t="shared" si="109"/>
        <v>-25.285</v>
      </c>
      <c r="G257" s="12"/>
      <c r="H257" s="57">
        <f t="shared" si="110"/>
        <v>-5.7320000000000002</v>
      </c>
      <c r="I257" s="57"/>
      <c r="J257" s="57"/>
      <c r="K257" s="57"/>
      <c r="L257" s="57">
        <f t="shared" si="110"/>
        <v>-3.3690000000000002</v>
      </c>
    </row>
    <row r="258" spans="2:12">
      <c r="B258" s="16" t="str">
        <f t="shared" si="109"/>
        <v>Other financing activities</v>
      </c>
      <c r="C258" s="57">
        <f t="shared" si="109"/>
        <v>0</v>
      </c>
      <c r="D258" s="57">
        <f t="shared" si="109"/>
        <v>0</v>
      </c>
      <c r="E258" s="57">
        <f t="shared" si="109"/>
        <v>0</v>
      </c>
      <c r="F258" s="57">
        <f t="shared" si="109"/>
        <v>0</v>
      </c>
      <c r="G258" s="12"/>
      <c r="H258" s="57">
        <f t="shared" si="110"/>
        <v>0</v>
      </c>
      <c r="I258" s="57"/>
      <c r="J258" s="57"/>
      <c r="K258" s="57"/>
      <c r="L258" s="57">
        <f t="shared" si="110"/>
        <v>0</v>
      </c>
    </row>
    <row r="259" spans="2:12" s="11" customFormat="1" ht="13.5" thickBot="1">
      <c r="B259" s="50" t="str">
        <f t="shared" si="109"/>
        <v>Cash flow after financing activities</v>
      </c>
      <c r="C259" s="55">
        <f t="shared" si="109"/>
        <v>137.84100000000004</v>
      </c>
      <c r="D259" s="55">
        <f t="shared" si="109"/>
        <v>91.84899999999999</v>
      </c>
      <c r="E259" s="55">
        <f t="shared" si="109"/>
        <v>87.520000000000053</v>
      </c>
      <c r="F259" s="55">
        <f t="shared" si="109"/>
        <v>64.918000000000049</v>
      </c>
      <c r="G259" s="12"/>
      <c r="H259" s="55">
        <f t="shared" si="110"/>
        <v>-55.861999999999952</v>
      </c>
      <c r="I259" s="55"/>
      <c r="J259" s="55"/>
      <c r="K259" s="55"/>
      <c r="L259" s="55">
        <f t="shared" si="110"/>
        <v>-78.463999999999984</v>
      </c>
    </row>
    <row r="260" spans="2:12" s="11" customFormat="1" ht="13.5" thickTop="1">
      <c r="B260" s="16" t="str">
        <f t="shared" si="109"/>
        <v>Balancing figure</v>
      </c>
      <c r="C260" s="57">
        <f t="shared" si="109"/>
        <v>-83.108000000000033</v>
      </c>
      <c r="D260" s="57">
        <f t="shared" si="109"/>
        <v>-126.29399999999998</v>
      </c>
      <c r="E260" s="57">
        <f t="shared" si="109"/>
        <v>-102.62500000000006</v>
      </c>
      <c r="F260" s="57">
        <f t="shared" si="109"/>
        <v>-101.03200000000001</v>
      </c>
      <c r="G260" s="12"/>
      <c r="H260" s="57">
        <f t="shared" si="110"/>
        <v>-17.324000000000055</v>
      </c>
      <c r="I260" s="57"/>
      <c r="J260" s="57"/>
      <c r="K260" s="57"/>
      <c r="L260" s="57">
        <f t="shared" si="110"/>
        <v>-15.731000000000009</v>
      </c>
    </row>
    <row r="261" spans="2:12">
      <c r="B261" s="16" t="str">
        <f t="shared" si="109"/>
        <v xml:space="preserve">FX </v>
      </c>
      <c r="C261" s="57">
        <f t="shared" si="109"/>
        <v>0</v>
      </c>
      <c r="D261" s="57">
        <f t="shared" si="109"/>
        <v>0</v>
      </c>
      <c r="E261" s="57">
        <f t="shared" si="109"/>
        <v>0</v>
      </c>
      <c r="F261" s="57">
        <f t="shared" si="109"/>
        <v>0</v>
      </c>
      <c r="G261" s="12"/>
      <c r="H261" s="57">
        <f t="shared" si="110"/>
        <v>0</v>
      </c>
      <c r="I261" s="57"/>
      <c r="J261" s="57"/>
      <c r="K261" s="57"/>
      <c r="L261" s="57">
        <f t="shared" si="110"/>
        <v>0</v>
      </c>
    </row>
    <row r="262" spans="2:12" s="11" customFormat="1" ht="13.5" thickBot="1">
      <c r="B262" s="50" t="str">
        <f t="shared" si="109"/>
        <v xml:space="preserve">Net change in cash </v>
      </c>
      <c r="C262" s="55">
        <f t="shared" si="109"/>
        <v>54.733000000000004</v>
      </c>
      <c r="D262" s="55">
        <f t="shared" si="109"/>
        <v>-34.444999999999993</v>
      </c>
      <c r="E262" s="55">
        <f t="shared" si="109"/>
        <v>-15.105000000000004</v>
      </c>
      <c r="F262" s="55">
        <f t="shared" si="109"/>
        <v>-36.113999999999962</v>
      </c>
      <c r="G262" s="12"/>
      <c r="H262" s="55">
        <f t="shared" si="110"/>
        <v>-73.186000000000007</v>
      </c>
      <c r="I262" s="55"/>
      <c r="J262" s="55"/>
      <c r="K262" s="55"/>
      <c r="L262" s="55">
        <f t="shared" si="110"/>
        <v>-94.194999999999993</v>
      </c>
    </row>
    <row r="263" spans="2:12" ht="13.5" thickTop="1">
      <c r="C263" s="58"/>
      <c r="D263" s="58"/>
      <c r="E263" s="58"/>
      <c r="F263" s="58"/>
      <c r="G263" s="12"/>
      <c r="H263" s="58"/>
      <c r="I263" s="58"/>
      <c r="J263" s="58"/>
      <c r="K263" s="58"/>
      <c r="L263" s="58"/>
    </row>
    <row r="264" spans="2:12" s="11" customFormat="1">
      <c r="B264" s="11" t="str">
        <f>+B190</f>
        <v>Total debt including leases</v>
      </c>
      <c r="C264" s="56">
        <f t="shared" ref="C264:F266" si="111">C190</f>
        <v>3260.8129999999996</v>
      </c>
      <c r="D264" s="56">
        <f t="shared" si="111"/>
        <v>3253.855</v>
      </c>
      <c r="E264" s="56">
        <f t="shared" si="111"/>
        <v>3270.0010000000002</v>
      </c>
      <c r="F264" s="56">
        <f t="shared" si="111"/>
        <v>3274.384</v>
      </c>
      <c r="G264" s="12"/>
      <c r="H264" s="56">
        <f t="shared" ref="H264:L266" si="112">H190</f>
        <v>0</v>
      </c>
      <c r="I264" s="56"/>
      <c r="J264" s="56"/>
      <c r="K264" s="56"/>
      <c r="L264" s="56">
        <f t="shared" si="112"/>
        <v>3274.384</v>
      </c>
    </row>
    <row r="265" spans="2:12">
      <c r="B265" s="16" t="str">
        <f>+B191</f>
        <v>Cash and cash equivalents (excl. restriced cash)</v>
      </c>
      <c r="C265" s="58">
        <f t="shared" si="111"/>
        <v>401</v>
      </c>
      <c r="D265" s="58">
        <f t="shared" si="111"/>
        <v>366.55500000000001</v>
      </c>
      <c r="E265" s="58">
        <f t="shared" si="111"/>
        <v>351.45</v>
      </c>
      <c r="F265" s="58">
        <f t="shared" si="111"/>
        <v>257.255</v>
      </c>
      <c r="G265" s="12"/>
      <c r="H265" s="58">
        <f t="shared" si="112"/>
        <v>0</v>
      </c>
      <c r="I265" s="58"/>
      <c r="J265" s="58"/>
      <c r="K265" s="58"/>
      <c r="L265" s="58">
        <f t="shared" si="112"/>
        <v>257.255</v>
      </c>
    </row>
    <row r="266" spans="2:12" s="11" customFormat="1" ht="13.5" thickBot="1">
      <c r="B266" s="50" t="str">
        <f>+B192</f>
        <v>Net debt including leases</v>
      </c>
      <c r="C266" s="55">
        <f t="shared" si="111"/>
        <v>2859.8129999999996</v>
      </c>
      <c r="D266" s="55">
        <f t="shared" si="111"/>
        <v>2887.3</v>
      </c>
      <c r="E266" s="55">
        <f t="shared" si="111"/>
        <v>2918.5510000000004</v>
      </c>
      <c r="F266" s="55">
        <f t="shared" si="111"/>
        <v>3017.1289999999999</v>
      </c>
      <c r="G266" s="12"/>
      <c r="H266" s="55">
        <f t="shared" si="112"/>
        <v>0</v>
      </c>
      <c r="I266" s="55"/>
      <c r="J266" s="55"/>
      <c r="K266" s="55"/>
      <c r="L266" s="55">
        <f t="shared" si="112"/>
        <v>3017.1289999999999</v>
      </c>
    </row>
    <row r="267" spans="2:12" ht="13.5" thickTop="1">
      <c r="C267" s="59"/>
      <c r="D267" s="59"/>
      <c r="E267" s="59"/>
      <c r="F267" s="59"/>
      <c r="G267" s="12"/>
      <c r="H267" s="59"/>
      <c r="I267" s="59"/>
      <c r="J267" s="59"/>
      <c r="K267" s="59"/>
      <c r="L267" s="59"/>
    </row>
    <row r="268" spans="2:12">
      <c r="B268" s="16" t="str">
        <f>B192</f>
        <v>Net debt including leases</v>
      </c>
      <c r="C268" s="96">
        <f>C192</f>
        <v>2859.8129999999996</v>
      </c>
      <c r="D268" s="96">
        <f>D192</f>
        <v>2887.3</v>
      </c>
      <c r="E268" s="96">
        <f>E192</f>
        <v>2918.5510000000004</v>
      </c>
      <c r="F268" s="96">
        <f>F192</f>
        <v>3017.1289999999999</v>
      </c>
      <c r="G268" s="107"/>
      <c r="H268" s="96">
        <f t="shared" ref="H268:L268" si="113">H192</f>
        <v>0</v>
      </c>
      <c r="I268" s="96"/>
      <c r="J268" s="96"/>
      <c r="K268" s="96"/>
      <c r="L268" s="96">
        <f t="shared" si="113"/>
        <v>3017.1289999999999</v>
      </c>
    </row>
    <row r="269" spans="2:12">
      <c r="B269" s="16" t="str">
        <f>B199</f>
        <v>Net debt excluding leases</v>
      </c>
      <c r="C269" s="96">
        <f>C199</f>
        <v>2796.1629999999996</v>
      </c>
      <c r="D269" s="96">
        <f>D199</f>
        <v>2844.4480000000003</v>
      </c>
      <c r="E269" s="96">
        <f>E199</f>
        <v>2877.8070000000002</v>
      </c>
      <c r="F269" s="96">
        <f>F199</f>
        <v>2976.5929999999998</v>
      </c>
      <c r="G269" s="107"/>
      <c r="H269" s="96">
        <f t="shared" ref="H269:L269" si="114">H199</f>
        <v>0</v>
      </c>
      <c r="I269" s="96"/>
      <c r="J269" s="96"/>
      <c r="K269" s="96"/>
      <c r="L269" s="96">
        <f t="shared" si="114"/>
        <v>2976.5929999999998</v>
      </c>
    </row>
    <row r="270" spans="2:12">
      <c r="B270" s="16" t="str">
        <f>B201</f>
        <v>Company reported net debt (excl. leases and restricted cash)</v>
      </c>
      <c r="C270" s="96">
        <f>C201</f>
        <v>2796.163</v>
      </c>
      <c r="D270" s="96">
        <f>D201</f>
        <v>2844.4479999999999</v>
      </c>
      <c r="E270" s="96">
        <f>E201</f>
        <v>2877.8069999999998</v>
      </c>
      <c r="F270" s="96">
        <f>F201</f>
        <v>2976.5929999999998</v>
      </c>
      <c r="G270" s="107"/>
      <c r="H270" s="96">
        <f t="shared" ref="H270:L270" si="115">H201</f>
        <v>0</v>
      </c>
      <c r="I270" s="96"/>
      <c r="J270" s="96"/>
      <c r="K270" s="96"/>
      <c r="L270" s="96">
        <f t="shared" si="115"/>
        <v>2976.5929999999998</v>
      </c>
    </row>
    <row r="271" spans="2:12">
      <c r="C271" s="59"/>
      <c r="D271" s="59"/>
      <c r="E271" s="59"/>
      <c r="F271" s="59"/>
      <c r="G271" s="12"/>
      <c r="H271" s="59"/>
      <c r="I271" s="59"/>
      <c r="J271" s="59"/>
      <c r="K271" s="59"/>
      <c r="L271" s="59"/>
    </row>
    <row r="272" spans="2:12" s="11" customFormat="1">
      <c r="B272" s="11" t="str">
        <f>+B208</f>
        <v>Net Leverage including lease obligations</v>
      </c>
      <c r="C272" s="60">
        <f t="shared" ref="C272:F273" si="116">C208</f>
        <v>3.433890876780096</v>
      </c>
      <c r="D272" s="60">
        <f t="shared" si="116"/>
        <v>3.4762204034260149</v>
      </c>
      <c r="E272" s="60">
        <f t="shared" si="116"/>
        <v>3.206300432296445</v>
      </c>
      <c r="F272" s="60">
        <f t="shared" si="116"/>
        <v>3.3359932420553791</v>
      </c>
      <c r="G272" s="12"/>
      <c r="H272" s="105"/>
      <c r="I272" s="60"/>
      <c r="J272" s="60"/>
      <c r="K272" s="60"/>
      <c r="L272" s="60">
        <f t="shared" ref="L272:L273" si="117">L208</f>
        <v>3.3359932420553791</v>
      </c>
    </row>
    <row r="273" spans="2:12">
      <c r="B273" s="16" t="str">
        <f>+B209</f>
        <v>Gross Leverage including lease obligations</v>
      </c>
      <c r="C273" s="45">
        <f t="shared" si="116"/>
        <v>3.9153874786868705</v>
      </c>
      <c r="D273" s="45">
        <f t="shared" si="116"/>
        <v>3.9175413503237473</v>
      </c>
      <c r="E273" s="45">
        <f t="shared" si="116"/>
        <v>3.5924010304804699</v>
      </c>
      <c r="F273" s="45">
        <f t="shared" si="116"/>
        <v>3.6204361483696128</v>
      </c>
      <c r="G273" s="12"/>
      <c r="H273" s="104"/>
      <c r="I273" s="45"/>
      <c r="J273" s="45"/>
      <c r="K273" s="45"/>
      <c r="L273" s="45">
        <f t="shared" si="117"/>
        <v>3.6204361483696128</v>
      </c>
    </row>
    <row r="274" spans="2:12">
      <c r="C274" s="45"/>
      <c r="D274" s="45"/>
      <c r="E274" s="45"/>
      <c r="F274" s="45"/>
      <c r="G274" s="12"/>
      <c r="H274" s="12"/>
      <c r="I274" s="12"/>
      <c r="J274" s="12"/>
      <c r="K274" s="12"/>
      <c r="L274" s="45"/>
    </row>
    <row r="275" spans="2:12">
      <c r="B275" s="11" t="str">
        <f t="shared" ref="B275:F276" si="118">B211</f>
        <v>Net Leverage excluding lease obligations</v>
      </c>
      <c r="C275" s="60">
        <f t="shared" si="118"/>
        <v>3.3574637976993822</v>
      </c>
      <c r="D275" s="60">
        <f t="shared" si="118"/>
        <v>3.4246279133045827</v>
      </c>
      <c r="E275" s="60">
        <f t="shared" si="118"/>
        <v>3.1615393488637804</v>
      </c>
      <c r="F275" s="60">
        <f t="shared" si="118"/>
        <v>3.2911732088184982</v>
      </c>
      <c r="G275" s="12"/>
      <c r="H275" s="105"/>
      <c r="I275" s="60"/>
      <c r="J275" s="60"/>
      <c r="K275" s="60"/>
      <c r="L275" s="60">
        <f t="shared" ref="L275:L276" si="119">L211</f>
        <v>3.2911732088184982</v>
      </c>
    </row>
    <row r="276" spans="2:12">
      <c r="B276" s="16" t="str">
        <f t="shared" si="118"/>
        <v>Gross Leverage excluding lease obligations</v>
      </c>
      <c r="C276" s="45">
        <f t="shared" si="118"/>
        <v>3.8389603996061568</v>
      </c>
      <c r="D276" s="45">
        <f t="shared" si="118"/>
        <v>3.8659488602023151</v>
      </c>
      <c r="E276" s="45">
        <f t="shared" si="118"/>
        <v>3.5476399470478053</v>
      </c>
      <c r="F276" s="45">
        <f t="shared" si="118"/>
        <v>3.5756161151327319</v>
      </c>
      <c r="G276" s="12"/>
      <c r="H276" s="104"/>
      <c r="I276" s="45"/>
      <c r="J276" s="45"/>
      <c r="K276" s="45"/>
      <c r="L276" s="45">
        <f t="shared" si="119"/>
        <v>3.5756161151327319</v>
      </c>
    </row>
    <row r="277" spans="2:12">
      <c r="C277" s="45"/>
      <c r="D277" s="45"/>
      <c r="E277" s="45"/>
      <c r="F277" s="45"/>
      <c r="G277" s="12"/>
      <c r="H277" s="12"/>
      <c r="I277" s="12"/>
      <c r="J277" s="12"/>
      <c r="K277" s="12"/>
      <c r="L277" s="45"/>
    </row>
    <row r="278" spans="2:12">
      <c r="B278" s="11" t="str">
        <f>+B214</f>
        <v>Company reported net leverage (excl. leases and restricted cash)</v>
      </c>
      <c r="C278" s="60">
        <f>C214</f>
        <v>3.3574637976993826</v>
      </c>
      <c r="D278" s="60">
        <f>D214</f>
        <v>3.4246279133045823</v>
      </c>
      <c r="E278" s="60">
        <f>E214</f>
        <v>3.1615393488637795</v>
      </c>
      <c r="F278" s="60">
        <f>F214</f>
        <v>3.2911732088184982</v>
      </c>
      <c r="G278" s="12"/>
      <c r="H278" s="105"/>
      <c r="I278" s="60"/>
      <c r="J278" s="60"/>
      <c r="K278" s="60"/>
      <c r="L278" s="60">
        <f>L214</f>
        <v>3.2911732088184982</v>
      </c>
    </row>
    <row r="279" spans="2:12">
      <c r="C279" s="45"/>
      <c r="D279" s="45"/>
      <c r="E279" s="45"/>
      <c r="F279" s="45"/>
      <c r="G279" s="12"/>
      <c r="H279" s="12"/>
      <c r="I279" s="45"/>
      <c r="J279" s="45"/>
      <c r="K279" s="45"/>
      <c r="L279" s="45"/>
    </row>
    <row r="280" spans="2:12" s="11" customFormat="1">
      <c r="B280" s="11" t="str">
        <f>+B216</f>
        <v>EBITDA - Capex / Interest</v>
      </c>
      <c r="C280" s="60">
        <f t="shared" ref="C280:F281" si="120">C216</f>
        <v>1.5078864560546041</v>
      </c>
      <c r="D280" s="60">
        <f t="shared" si="120"/>
        <v>1.9133529760880486</v>
      </c>
      <c r="E280" s="60">
        <f t="shared" si="120"/>
        <v>2.1289426479518121</v>
      </c>
      <c r="F280" s="60">
        <f t="shared" si="120"/>
        <v>1.8912226574687145</v>
      </c>
      <c r="G280" s="12"/>
      <c r="H280" s="105"/>
      <c r="I280" s="60"/>
      <c r="J280" s="60"/>
      <c r="K280" s="60"/>
      <c r="L280" s="60">
        <f t="shared" ref="L280:L281" si="121">L216</f>
        <v>1.8912226574687145</v>
      </c>
    </row>
    <row r="281" spans="2:12">
      <c r="B281" s="16" t="str">
        <f>+B217</f>
        <v>EBITDA/Interest</v>
      </c>
      <c r="C281" s="45">
        <f t="shared" si="120"/>
        <v>2.7355261688443928</v>
      </c>
      <c r="D281" s="45">
        <f t="shared" si="120"/>
        <v>2.9168647915913093</v>
      </c>
      <c r="E281" s="45">
        <f t="shared" si="120"/>
        <v>3.1766452855736951</v>
      </c>
      <c r="F281" s="45">
        <f t="shared" si="120"/>
        <v>3.1352203002045278</v>
      </c>
      <c r="G281" s="12"/>
      <c r="H281" s="104"/>
      <c r="I281" s="45"/>
      <c r="J281" s="45"/>
      <c r="K281" s="45"/>
      <c r="L281" s="45">
        <f t="shared" si="121"/>
        <v>3.1352203002045278</v>
      </c>
    </row>
    <row r="282" spans="2:12">
      <c r="C282" s="59"/>
      <c r="D282" s="59"/>
      <c r="E282" s="59"/>
      <c r="F282" s="59"/>
      <c r="G282" s="12"/>
      <c r="H282" s="59"/>
      <c r="I282" s="59"/>
      <c r="J282" s="59"/>
      <c r="K282" s="59"/>
      <c r="L282" s="59"/>
    </row>
    <row r="283" spans="2:12" s="11" customFormat="1">
      <c r="B283" s="40" t="str">
        <f>+B219</f>
        <v xml:space="preserve">Gearing (Net debt / Equity) </v>
      </c>
      <c r="C283" s="97">
        <f>+C219</f>
        <v>7.4950348699159504</v>
      </c>
      <c r="D283" s="97">
        <f>+D219</f>
        <v>9.6463591868098835</v>
      </c>
      <c r="E283" s="97">
        <f>+E219</f>
        <v>4.7760460560874911</v>
      </c>
      <c r="F283" s="97">
        <f>+F219</f>
        <v>4.6260084941966539</v>
      </c>
      <c r="G283" s="12"/>
      <c r="H283" s="104"/>
      <c r="I283" s="97"/>
      <c r="J283" s="97"/>
      <c r="K283" s="97"/>
      <c r="L283" s="97">
        <f t="shared" ref="L283" si="122">+L219</f>
        <v>4.6260084941966539</v>
      </c>
    </row>
    <row r="284" spans="2:12">
      <c r="C284" s="19"/>
      <c r="D284" s="19"/>
      <c r="E284" s="19"/>
      <c r="F284" s="19"/>
      <c r="G284" s="12"/>
      <c r="H284" s="19"/>
      <c r="I284" s="19"/>
      <c r="J284" s="19"/>
      <c r="K284" s="19"/>
      <c r="L284" s="19"/>
    </row>
    <row r="285" spans="2:12">
      <c r="C285" s="19"/>
      <c r="D285" s="19"/>
      <c r="E285" s="19"/>
      <c r="F285" s="19"/>
      <c r="G285" s="19"/>
      <c r="H285" s="19"/>
      <c r="I285" s="19"/>
      <c r="J285" s="19"/>
      <c r="K285" s="19"/>
      <c r="L285" s="19"/>
    </row>
    <row r="286" spans="2:12">
      <c r="B286" s="98" t="s">
        <v>173</v>
      </c>
      <c r="C286" s="190">
        <f>1/6.7497</f>
        <v>0.14815473280293939</v>
      </c>
      <c r="D286" s="190">
        <f>1/6.7535</f>
        <v>0.14807137040053306</v>
      </c>
      <c r="E286" s="190">
        <f>1/6.7837</f>
        <v>0.14741217919424504</v>
      </c>
      <c r="F286" s="190">
        <f>1/6.7855</f>
        <v>0.14737307493920862</v>
      </c>
      <c r="G286" s="12"/>
      <c r="H286" s="190">
        <f>1/6.7781</f>
        <v>0.14753396969652263</v>
      </c>
      <c r="I286" s="190"/>
      <c r="J286" s="190"/>
      <c r="K286" s="190"/>
      <c r="L286" s="190">
        <f>1/6.7854</f>
        <v>0.14737524685353848</v>
      </c>
    </row>
    <row r="287" spans="2:12">
      <c r="B287" s="98" t="s">
        <v>174</v>
      </c>
      <c r="C287" s="190">
        <f>1/6.7601</f>
        <v>0.14792680581648199</v>
      </c>
      <c r="D287" s="190">
        <f>1/6.7443</f>
        <v>0.14827335676052369</v>
      </c>
      <c r="E287" s="190">
        <f>1/6.7873</f>
        <v>0.14733399142516171</v>
      </c>
      <c r="F287" s="190">
        <f>1/6.7889</f>
        <v>0.14729926792263842</v>
      </c>
      <c r="G287" s="12"/>
      <c r="H287" s="190">
        <f>1/6.7677</f>
        <v>0.14776068679167223</v>
      </c>
      <c r="I287" s="190"/>
      <c r="J287" s="190"/>
      <c r="K287" s="190"/>
      <c r="L287" s="190">
        <f>1/6.7889</f>
        <v>0.14729926792263842</v>
      </c>
    </row>
    <row r="288" spans="2:12">
      <c r="B288" s="98" t="s">
        <v>48</v>
      </c>
      <c r="C288" s="189">
        <f>C286</f>
        <v>0.14815473280293939</v>
      </c>
      <c r="D288" s="189">
        <f>D286</f>
        <v>0.14807137040053306</v>
      </c>
      <c r="E288" s="189">
        <f>E286</f>
        <v>0.14741217919424504</v>
      </c>
      <c r="F288" s="189">
        <f>F286</f>
        <v>0.14737307493920862</v>
      </c>
      <c r="G288" s="12"/>
      <c r="H288" s="190">
        <f>1/6.7599</f>
        <v>0.14793118241394104</v>
      </c>
      <c r="I288" s="189"/>
      <c r="J288" s="189"/>
      <c r="K288" s="189"/>
      <c r="L288" s="190">
        <f>1/6.7855</f>
        <v>0.14737307493920862</v>
      </c>
    </row>
    <row r="289" spans="2:12">
      <c r="B289" s="99" t="s">
        <v>175</v>
      </c>
      <c r="C289" s="172">
        <f>1/C287</f>
        <v>6.7601000000000004</v>
      </c>
      <c r="D289" s="172">
        <f t="shared" ref="D289:L289" si="123">1/D287</f>
        <v>6.7443</v>
      </c>
      <c r="E289" s="172">
        <f t="shared" si="123"/>
        <v>6.7872999999999992</v>
      </c>
      <c r="F289" s="172">
        <f t="shared" si="123"/>
        <v>6.7888999999999999</v>
      </c>
      <c r="G289" s="107"/>
      <c r="H289" s="172">
        <f t="shared" si="123"/>
        <v>6.7676999999999987</v>
      </c>
      <c r="I289" s="172"/>
      <c r="J289" s="172"/>
      <c r="K289" s="172"/>
      <c r="L289" s="172">
        <f t="shared" si="123"/>
        <v>6.7888999999999999</v>
      </c>
    </row>
    <row r="290" spans="2:12">
      <c r="C290" s="19"/>
      <c r="F290" s="19"/>
      <c r="H290" s="19"/>
      <c r="I290" s="19"/>
      <c r="J290" s="19"/>
      <c r="K290" s="19"/>
      <c r="L290" s="19"/>
    </row>
    <row r="291" spans="2:12">
      <c r="B291" s="43" t="s">
        <v>84</v>
      </c>
      <c r="C291" s="10">
        <f>C3</f>
        <v>45352</v>
      </c>
      <c r="D291" s="10">
        <f>D3</f>
        <v>45717</v>
      </c>
      <c r="E291" s="10">
        <f>E3</f>
        <v>46082</v>
      </c>
      <c r="F291" s="10" t="str">
        <f>F2</f>
        <v>LTM</v>
      </c>
      <c r="H291" s="10">
        <f>H3</f>
        <v>45809</v>
      </c>
      <c r="I291" s="10"/>
      <c r="J291" s="10"/>
      <c r="K291" s="10"/>
      <c r="L291" s="10">
        <f>L3</f>
        <v>46174</v>
      </c>
    </row>
    <row r="292" spans="2:12">
      <c r="B292" s="16" t="s">
        <v>80</v>
      </c>
      <c r="C292" s="19">
        <f>C222*C$288</f>
        <v>291.1742744121961</v>
      </c>
      <c r="D292" s="19">
        <f t="shared" ref="D292:F292" si="124">D222*D$288</f>
        <v>293.60716665432739</v>
      </c>
      <c r="E292" s="19">
        <f t="shared" si="124"/>
        <v>319.16697377537332</v>
      </c>
      <c r="F292" s="19">
        <f t="shared" si="124"/>
        <v>321.03352737454861</v>
      </c>
      <c r="H292" s="102"/>
      <c r="I292" s="19"/>
      <c r="J292" s="19"/>
      <c r="K292" s="19"/>
      <c r="L292" s="19">
        <f t="shared" ref="L292" si="125">L222*L$288</f>
        <v>321.03352737454861</v>
      </c>
    </row>
    <row r="293" spans="2:12">
      <c r="B293" s="16" t="s">
        <v>81</v>
      </c>
      <c r="C293" s="19">
        <f>C223*C$288</f>
        <v>123.38622457294399</v>
      </c>
      <c r="D293" s="19">
        <f t="shared" ref="D293:F293" si="126">D223*D$288</f>
        <v>122.98600725549716</v>
      </c>
      <c r="E293" s="19">
        <f t="shared" si="126"/>
        <v>134.18267317245753</v>
      </c>
      <c r="F293" s="19">
        <f t="shared" si="126"/>
        <v>133.28671431729424</v>
      </c>
      <c r="H293" s="102"/>
      <c r="I293" s="19"/>
      <c r="J293" s="19"/>
      <c r="K293" s="19"/>
      <c r="L293" s="19">
        <f t="shared" ref="L293" si="127">L223*L$288</f>
        <v>133.28671431729424</v>
      </c>
    </row>
    <row r="294" spans="2:12">
      <c r="B294" s="16" t="s">
        <v>82</v>
      </c>
      <c r="C294" s="44">
        <f t="shared" ref="C294" si="128">C293/C292</f>
        <v>0.42375386638132151</v>
      </c>
      <c r="D294" s="44">
        <f t="shared" ref="D294:F294" si="129">D293/D292</f>
        <v>0.41887944581506864</v>
      </c>
      <c r="E294" s="44">
        <f t="shared" si="129"/>
        <v>0.42041528164782493</v>
      </c>
      <c r="F294" s="44">
        <f t="shared" si="129"/>
        <v>0.41518004492343608</v>
      </c>
      <c r="H294" s="102"/>
      <c r="I294" s="44"/>
      <c r="J294" s="44"/>
      <c r="K294" s="44"/>
      <c r="L294" s="44">
        <f t="shared" ref="L294" si="130">L293/L292</f>
        <v>0.41518004492343608</v>
      </c>
    </row>
    <row r="295" spans="2:12" s="1" customFormat="1">
      <c r="B295" s="1" t="s">
        <v>17</v>
      </c>
      <c r="C295" s="155">
        <f>C$288*C225</f>
        <v>45.10511578292369</v>
      </c>
      <c r="D295" s="155">
        <f t="shared" ref="D295:F295" si="131">D$288*D225</f>
        <v>42.163766935662991</v>
      </c>
      <c r="E295" s="155">
        <f t="shared" si="131"/>
        <v>42.240370299394137</v>
      </c>
      <c r="F295" s="155">
        <f t="shared" si="131"/>
        <v>42.512710927713506</v>
      </c>
      <c r="G295" s="6"/>
      <c r="H295" s="102"/>
      <c r="I295" s="155"/>
      <c r="J295" s="155"/>
      <c r="K295" s="155"/>
      <c r="L295" s="155">
        <f t="shared" ref="L295" si="132">L$288*L225</f>
        <v>42.512710927713506</v>
      </c>
    </row>
    <row r="296" spans="2:12" s="1" customFormat="1">
      <c r="B296" s="1" t="s">
        <v>2</v>
      </c>
      <c r="C296" s="155">
        <f>C$288*C226</f>
        <v>55.3728313850986</v>
      </c>
      <c r="D296" s="155">
        <f t="shared" ref="D296:F296" si="133">D$288*D226</f>
        <v>42.311838306063521</v>
      </c>
      <c r="E296" s="155">
        <f t="shared" si="133"/>
        <v>44.255347376800273</v>
      </c>
      <c r="F296" s="155">
        <f t="shared" si="133"/>
        <v>52.885712180384651</v>
      </c>
      <c r="G296" s="6"/>
      <c r="H296" s="102"/>
      <c r="I296" s="155"/>
      <c r="J296" s="155"/>
      <c r="K296" s="155"/>
      <c r="L296" s="155">
        <f t="shared" ref="L296" si="134">L$288*L226</f>
        <v>52.885712180384651</v>
      </c>
    </row>
    <row r="297" spans="2:12" s="1" customFormat="1">
      <c r="B297" s="1" t="s">
        <v>19</v>
      </c>
      <c r="C297" s="155">
        <f>C$288*C227</f>
        <v>27.263137620931307</v>
      </c>
      <c r="D297" s="155">
        <f t="shared" ref="D297:F297" si="135">D$288*D227</f>
        <v>18.789368475605244</v>
      </c>
      <c r="E297" s="155">
        <f t="shared" si="135"/>
        <v>16.601264796497496</v>
      </c>
      <c r="F297" s="155">
        <f t="shared" si="135"/>
        <v>12.815120477488771</v>
      </c>
      <c r="G297" s="6"/>
      <c r="H297" s="102"/>
      <c r="I297" s="155"/>
      <c r="J297" s="155"/>
      <c r="K297" s="155"/>
      <c r="L297" s="155">
        <f t="shared" ref="L297" si="136">L$288*L227</f>
        <v>12.815120477488767</v>
      </c>
    </row>
    <row r="298" spans="2:12">
      <c r="B298" s="16" t="s">
        <v>36</v>
      </c>
      <c r="C298" s="19">
        <f>C228*C$287</f>
        <v>59.318649132409277</v>
      </c>
      <c r="D298" s="19">
        <f t="shared" ref="D298:F298" si="137">D228*D$287</f>
        <v>54.350340287353767</v>
      </c>
      <c r="E298" s="19">
        <f t="shared" si="137"/>
        <v>51.780531286373083</v>
      </c>
      <c r="F298" s="19">
        <f t="shared" si="137"/>
        <v>37.893473169438344</v>
      </c>
      <c r="H298" s="102"/>
      <c r="I298" s="19"/>
      <c r="J298" s="19"/>
      <c r="K298" s="19"/>
      <c r="L298" s="19">
        <f t="shared" ref="L298" si="138">L228*L$287</f>
        <v>37.893473169438344</v>
      </c>
    </row>
    <row r="299" spans="2:12">
      <c r="B299" s="16" t="s">
        <v>35</v>
      </c>
      <c r="C299" s="19">
        <f>C229*C$287</f>
        <v>482.36165145486001</v>
      </c>
      <c r="D299" s="19">
        <f t="shared" ref="D299:F299" si="139">D229*D$287</f>
        <v>482.46000326201386</v>
      </c>
      <c r="E299" s="19">
        <f t="shared" si="139"/>
        <v>481.78229929427022</v>
      </c>
      <c r="F299" s="19">
        <f t="shared" si="139"/>
        <v>482.3143660976005</v>
      </c>
      <c r="H299" s="102"/>
      <c r="I299" s="19"/>
      <c r="J299" s="19"/>
      <c r="K299" s="19"/>
      <c r="L299" s="19">
        <f t="shared" ref="L299" si="140">L229*L$287</f>
        <v>482.3143660976005</v>
      </c>
    </row>
    <row r="300" spans="2:12" s="11" customFormat="1">
      <c r="B300" s="11" t="s">
        <v>37</v>
      </c>
      <c r="C300" s="22">
        <f>C230*C$287</f>
        <v>423.04300232245077</v>
      </c>
      <c r="D300" s="22">
        <f t="shared" ref="D300:F300" si="141">D230*D$287</f>
        <v>428.10966297466007</v>
      </c>
      <c r="E300" s="22">
        <f t="shared" si="141"/>
        <v>430.00176800789717</v>
      </c>
      <c r="F300" s="22">
        <f t="shared" si="141"/>
        <v>444.42089292816212</v>
      </c>
      <c r="G300" s="91"/>
      <c r="H300" s="156"/>
      <c r="I300" s="22"/>
      <c r="J300" s="22"/>
      <c r="K300" s="22"/>
      <c r="L300" s="22">
        <f t="shared" ref="L300" si="142">L230*L$287</f>
        <v>444.42089292816212</v>
      </c>
    </row>
    <row r="301" spans="2:12">
      <c r="B301" s="16" t="s">
        <v>38</v>
      </c>
      <c r="C301" s="45">
        <f>C299/C293</f>
        <v>3.9093638947490077</v>
      </c>
      <c r="D301" s="45">
        <f t="shared" ref="D301:F301" si="143">D299/D293</f>
        <v>3.9228853267813451</v>
      </c>
      <c r="E301" s="45">
        <f t="shared" si="143"/>
        <v>3.5904956124630356</v>
      </c>
      <c r="F301" s="45">
        <f t="shared" si="143"/>
        <v>3.6186229705492798</v>
      </c>
      <c r="H301" s="102"/>
      <c r="I301" s="45"/>
      <c r="J301" s="45"/>
      <c r="K301" s="45"/>
      <c r="L301" s="45">
        <f t="shared" ref="L301" si="144">L299/L293</f>
        <v>3.6186229705492798</v>
      </c>
    </row>
    <row r="302" spans="2:12" s="11" customFormat="1">
      <c r="B302" s="11" t="s">
        <v>39</v>
      </c>
      <c r="C302" s="60">
        <f>C300/C293</f>
        <v>3.4286080458872816</v>
      </c>
      <c r="D302" s="60">
        <f t="shared" ref="D302:F302" si="145">D300/D293</f>
        <v>3.4809623674121242</v>
      </c>
      <c r="E302" s="60">
        <f t="shared" si="145"/>
        <v>3.2045998029510101</v>
      </c>
      <c r="F302" s="60">
        <f t="shared" si="145"/>
        <v>3.3343225182233902</v>
      </c>
      <c r="G302" s="91"/>
      <c r="H302" s="156"/>
      <c r="I302" s="60"/>
      <c r="J302" s="60"/>
      <c r="K302" s="60"/>
      <c r="L302" s="60">
        <f t="shared" ref="L302" si="146">L300/L293</f>
        <v>3.3343225182233902</v>
      </c>
    </row>
    <row r="303" spans="2:12">
      <c r="C303" s="19"/>
      <c r="D303" s="19"/>
      <c r="E303" s="19"/>
      <c r="F303" s="19"/>
      <c r="H303" s="19"/>
      <c r="I303" s="19"/>
      <c r="J303" s="19"/>
      <c r="K303" s="19"/>
      <c r="L303" s="19"/>
    </row>
    <row r="304" spans="2:12">
      <c r="B304" s="13" t="s">
        <v>41</v>
      </c>
      <c r="C304" s="46"/>
      <c r="D304" s="46"/>
      <c r="E304" s="46"/>
      <c r="F304" s="46"/>
      <c r="H304" s="46"/>
      <c r="I304" s="46"/>
      <c r="J304" s="46"/>
      <c r="K304" s="46"/>
      <c r="L304" s="46"/>
    </row>
    <row r="305" spans="2:12" s="9" customFormat="1">
      <c r="B305" s="43" t="s">
        <v>40</v>
      </c>
      <c r="C305" s="10">
        <f>C3</f>
        <v>45352</v>
      </c>
      <c r="D305" s="10">
        <f>D3</f>
        <v>45717</v>
      </c>
      <c r="E305" s="10">
        <f>E3</f>
        <v>46082</v>
      </c>
      <c r="F305" s="10" t="str">
        <f>F2</f>
        <v>LTM</v>
      </c>
      <c r="H305" s="10">
        <f>H3</f>
        <v>45809</v>
      </c>
      <c r="I305" s="10"/>
      <c r="J305" s="10"/>
      <c r="K305" s="10"/>
      <c r="L305" s="10">
        <f>L3</f>
        <v>46174</v>
      </c>
    </row>
    <row r="306" spans="2:12" s="11" customFormat="1">
      <c r="B306" s="43"/>
      <c r="C306" s="10" t="s">
        <v>8</v>
      </c>
      <c r="D306" s="10" t="s">
        <v>8</v>
      </c>
      <c r="E306" s="10" t="s">
        <v>8</v>
      </c>
      <c r="F306" s="10" t="s">
        <v>8</v>
      </c>
      <c r="H306" s="10" t="s">
        <v>8</v>
      </c>
      <c r="I306" s="10"/>
      <c r="J306" s="10"/>
      <c r="K306" s="10"/>
      <c r="L306" s="10" t="s">
        <v>8</v>
      </c>
    </row>
    <row r="308" spans="2:12" s="11" customFormat="1">
      <c r="B308" s="22" t="str">
        <f>B7</f>
        <v>Revenue from contracts with customers</v>
      </c>
      <c r="C308" s="47">
        <f>C7*C$286</f>
        <v>291.1742744121961</v>
      </c>
      <c r="D308" s="47">
        <f t="shared" ref="D308:F308" si="147">D7*D$286</f>
        <v>293.60716665432739</v>
      </c>
      <c r="E308" s="47">
        <f t="shared" si="147"/>
        <v>319.16697377537332</v>
      </c>
      <c r="F308" s="47">
        <f t="shared" si="147"/>
        <v>321.03352737454861</v>
      </c>
      <c r="H308" s="47">
        <f t="shared" ref="H308" si="148">H7*H$286</f>
        <v>72.378690193417029</v>
      </c>
      <c r="I308" s="47"/>
      <c r="J308" s="47"/>
      <c r="K308" s="47"/>
      <c r="L308" s="47">
        <f t="shared" ref="L308" si="149">L7*L$286</f>
        <v>74.252070622218284</v>
      </c>
    </row>
    <row r="309" spans="2:12" s="20" customFormat="1">
      <c r="B309" s="23" t="s">
        <v>83</v>
      </c>
      <c r="C309" s="61"/>
      <c r="D309" s="21">
        <f>D308/C308-1</f>
        <v>8.3554505185687855E-3</v>
      </c>
      <c r="E309" s="21">
        <f>E308/D308-1</f>
        <v>8.7054438801006162E-2</v>
      </c>
      <c r="F309" s="61"/>
      <c r="H309" s="21"/>
      <c r="I309" s="48"/>
      <c r="J309" s="48"/>
      <c r="K309" s="48"/>
      <c r="L309" s="21">
        <f>L308/H308-1</f>
        <v>2.5883038554511462E-2</v>
      </c>
    </row>
    <row r="311" spans="2:12" s="11" customFormat="1" ht="13.5" thickBot="1">
      <c r="B311" s="50" t="str">
        <f>B123</f>
        <v xml:space="preserve">Adj. EBITDA </v>
      </c>
      <c r="C311" s="51">
        <f>C123*C$286</f>
        <v>123.38622457294399</v>
      </c>
      <c r="D311" s="51">
        <f t="shared" ref="D311:F311" si="150">D123*D$286</f>
        <v>122.98600725549716</v>
      </c>
      <c r="E311" s="51">
        <f t="shared" si="150"/>
        <v>134.18267317245753</v>
      </c>
      <c r="F311" s="51">
        <f t="shared" si="150"/>
        <v>133.28671431729424</v>
      </c>
      <c r="H311" s="51">
        <f t="shared" ref="H311" si="151">H123*H$286</f>
        <v>32.482259040143994</v>
      </c>
      <c r="I311" s="51"/>
      <c r="J311" s="51"/>
      <c r="K311" s="51"/>
      <c r="L311" s="51">
        <f t="shared" ref="L311" si="152">L123*L$286</f>
        <v>31.586936658118905</v>
      </c>
    </row>
    <row r="312" spans="2:12" s="20" customFormat="1" ht="13.5" thickTop="1">
      <c r="B312" s="52" t="str">
        <f>B124</f>
        <v xml:space="preserve">% growth </v>
      </c>
      <c r="C312" s="48"/>
      <c r="D312" s="21">
        <f>D311/C311-1</f>
        <v>-3.2436142594688411E-3</v>
      </c>
      <c r="E312" s="21">
        <f>E311/D311-1</f>
        <v>9.1040161127435182E-2</v>
      </c>
      <c r="F312" s="48"/>
      <c r="H312" s="21"/>
      <c r="I312" s="48"/>
      <c r="J312" s="48"/>
      <c r="K312" s="48"/>
      <c r="L312" s="21">
        <f>L311/H311-1</f>
        <v>-2.7563427190165024E-2</v>
      </c>
    </row>
    <row r="313" spans="2:12" s="20" customFormat="1">
      <c r="B313" s="52" t="str">
        <f>B125</f>
        <v>% margin</v>
      </c>
      <c r="C313" s="48">
        <f t="shared" ref="C313" si="153">C311/C308</f>
        <v>0.42375386638132151</v>
      </c>
      <c r="D313" s="48">
        <f t="shared" ref="D313:F313" si="154">D311/D308</f>
        <v>0.41887944581506864</v>
      </c>
      <c r="E313" s="48">
        <f t="shared" si="154"/>
        <v>0.42041528164782493</v>
      </c>
      <c r="F313" s="48">
        <f t="shared" si="154"/>
        <v>0.41518004492343608</v>
      </c>
      <c r="H313" s="48">
        <f t="shared" ref="H313" si="155">H311/H308</f>
        <v>0.44878207872153941</v>
      </c>
      <c r="I313" s="48"/>
      <c r="J313" s="48"/>
      <c r="K313" s="48"/>
      <c r="L313" s="48">
        <f t="shared" ref="L313" si="156">L311/L308</f>
        <v>0.42540142508385775</v>
      </c>
    </row>
    <row r="315" spans="2:12" s="11" customFormat="1">
      <c r="B315" s="11" t="str">
        <f t="shared" ref="B315:B332" si="157">B131</f>
        <v xml:space="preserve">Adj. EBITDA </v>
      </c>
      <c r="C315" s="53">
        <f t="shared" ref="C315:C332" si="158">C131*C$286</f>
        <v>123.38622457294399</v>
      </c>
      <c r="D315" s="53">
        <f t="shared" ref="D315:F315" si="159">D131*D$286</f>
        <v>122.98600725549716</v>
      </c>
      <c r="E315" s="53">
        <f t="shared" si="159"/>
        <v>134.18267317245753</v>
      </c>
      <c r="F315" s="53">
        <f t="shared" si="159"/>
        <v>133.28671431729424</v>
      </c>
      <c r="H315" s="53">
        <f t="shared" ref="H315:H332" si="160">H131*H$286</f>
        <v>32.482259040143994</v>
      </c>
      <c r="I315" s="53"/>
      <c r="J315" s="53"/>
      <c r="K315" s="53"/>
      <c r="L315" s="53">
        <f t="shared" ref="L315" si="161">L131*L$286</f>
        <v>31.586936658118905</v>
      </c>
    </row>
    <row r="316" spans="2:12">
      <c r="B316" s="16" t="str">
        <f t="shared" si="157"/>
        <v>Working Capital</v>
      </c>
      <c r="C316" s="54">
        <f t="shared" si="158"/>
        <v>6.3555417277804933</v>
      </c>
      <c r="D316" s="54">
        <f t="shared" ref="D316:F316" si="162">D132*D$286</f>
        <v>-17.820981713185756</v>
      </c>
      <c r="E316" s="54">
        <f t="shared" si="162"/>
        <v>-28.931998761737699</v>
      </c>
      <c r="F316" s="54">
        <f t="shared" si="162"/>
        <v>-23.170731707317078</v>
      </c>
      <c r="H316" s="54">
        <f t="shared" si="160"/>
        <v>-11.483749133237925</v>
      </c>
      <c r="I316" s="54"/>
      <c r="J316" s="54"/>
      <c r="K316" s="54"/>
      <c r="L316" s="54">
        <f t="shared" ref="L316" si="163">L132*L$286</f>
        <v>-5.717717452176732</v>
      </c>
    </row>
    <row r="317" spans="2:12">
      <c r="B317" s="16" t="str">
        <f t="shared" si="157"/>
        <v>Taxes</v>
      </c>
      <c r="C317" s="54">
        <f t="shared" si="158"/>
        <v>-2.0006815117708934</v>
      </c>
      <c r="D317" s="54">
        <f t="shared" ref="D317:F317" si="164">D133*D$286</f>
        <v>-1.9000518249796403</v>
      </c>
      <c r="E317" s="54">
        <f t="shared" si="164"/>
        <v>-2.15369193802792</v>
      </c>
      <c r="F317" s="54">
        <f t="shared" si="164"/>
        <v>-1.9024390243902438</v>
      </c>
      <c r="H317" s="54">
        <f t="shared" si="160"/>
        <v>-0.81999380357327278</v>
      </c>
      <c r="I317" s="54"/>
      <c r="J317" s="54"/>
      <c r="K317" s="54"/>
      <c r="L317" s="54">
        <f t="shared" ref="L317" si="165">L133*L$286</f>
        <v>-0.56842632711409791</v>
      </c>
    </row>
    <row r="318" spans="2:12">
      <c r="B318" s="16" t="str">
        <f t="shared" si="157"/>
        <v>Cash interest paid</v>
      </c>
      <c r="C318" s="54">
        <f t="shared" si="158"/>
        <v>-45.10511578292369</v>
      </c>
      <c r="D318" s="54">
        <f t="shared" ref="D318:F318" si="166">D134*D$286</f>
        <v>-42.163766935662991</v>
      </c>
      <c r="E318" s="54">
        <f t="shared" si="166"/>
        <v>-42.240370299394137</v>
      </c>
      <c r="F318" s="54">
        <f t="shared" si="166"/>
        <v>-42.512710927713506</v>
      </c>
      <c r="H318" s="54">
        <f t="shared" si="160"/>
        <v>-20.494091264513656</v>
      </c>
      <c r="I318" s="54"/>
      <c r="J318" s="54"/>
      <c r="K318" s="54"/>
      <c r="L318" s="54">
        <f t="shared" ref="L318" si="167">L134*L$286</f>
        <v>-20.755592890618093</v>
      </c>
    </row>
    <row r="319" spans="2:12" s="11" customFormat="1" ht="13.5" thickBot="1">
      <c r="B319" s="50" t="str">
        <f t="shared" si="157"/>
        <v xml:space="preserve">Net cash from operations </v>
      </c>
      <c r="C319" s="55">
        <f t="shared" si="158"/>
        <v>82.63596900602991</v>
      </c>
      <c r="D319" s="55">
        <f t="shared" ref="D319:F319" si="168">D135*D$286</f>
        <v>61.101206781668765</v>
      </c>
      <c r="E319" s="55">
        <f t="shared" si="168"/>
        <v>60.856612173297769</v>
      </c>
      <c r="F319" s="55">
        <f t="shared" si="168"/>
        <v>65.70083265787342</v>
      </c>
      <c r="H319" s="55">
        <f t="shared" si="160"/>
        <v>-0.31557516118085499</v>
      </c>
      <c r="I319" s="55"/>
      <c r="J319" s="55"/>
      <c r="K319" s="55"/>
      <c r="L319" s="55">
        <f t="shared" ref="L319" si="169">L135*L$286</f>
        <v>4.5451999882099816</v>
      </c>
    </row>
    <row r="320" spans="2:12" ht="13.5" thickTop="1">
      <c r="B320" s="16" t="str">
        <f t="shared" si="157"/>
        <v>Net Capex</v>
      </c>
      <c r="C320" s="57">
        <f t="shared" si="158"/>
        <v>-55.3728313850986</v>
      </c>
      <c r="D320" s="57">
        <f t="shared" ref="D320:F320" si="170">D136*D$286</f>
        <v>-42.311838306063521</v>
      </c>
      <c r="E320" s="57">
        <f t="shared" si="170"/>
        <v>-44.255347376800273</v>
      </c>
      <c r="F320" s="57">
        <f t="shared" si="170"/>
        <v>-52.885712180384651</v>
      </c>
      <c r="H320" s="57">
        <f t="shared" si="160"/>
        <v>-7.2178043994629766</v>
      </c>
      <c r="I320" s="57"/>
      <c r="J320" s="57"/>
      <c r="K320" s="57"/>
      <c r="L320" s="57">
        <f t="shared" ref="L320" si="171">L136*L$286</f>
        <v>-15.852271052554011</v>
      </c>
    </row>
    <row r="321" spans="2:12">
      <c r="B321" s="16" t="str">
        <f t="shared" si="157"/>
        <v>Purchase of intangible assets</v>
      </c>
      <c r="C321" s="57">
        <f t="shared" si="158"/>
        <v>0</v>
      </c>
      <c r="D321" s="57">
        <f t="shared" ref="D321:F321" si="172">D137*D$286</f>
        <v>0</v>
      </c>
      <c r="E321" s="57">
        <f t="shared" si="172"/>
        <v>0</v>
      </c>
      <c r="F321" s="57">
        <f t="shared" si="172"/>
        <v>0</v>
      </c>
      <c r="H321" s="57">
        <f t="shared" si="160"/>
        <v>0</v>
      </c>
      <c r="I321" s="57"/>
      <c r="J321" s="57"/>
      <c r="K321" s="57"/>
      <c r="L321" s="57">
        <f t="shared" ref="L321" si="173">L137*L$286</f>
        <v>0</v>
      </c>
    </row>
    <row r="322" spans="2:12">
      <c r="B322" s="16" t="str">
        <f t="shared" si="157"/>
        <v>Disposals/ Acquistion, of subsidiaries, businesses</v>
      </c>
      <c r="C322" s="57">
        <f t="shared" si="158"/>
        <v>0</v>
      </c>
      <c r="D322" s="57">
        <f t="shared" ref="D322:F322" si="174">D138*D$286</f>
        <v>0</v>
      </c>
      <c r="E322" s="57">
        <f t="shared" si="174"/>
        <v>0</v>
      </c>
      <c r="F322" s="57">
        <f t="shared" si="174"/>
        <v>0</v>
      </c>
      <c r="H322" s="57">
        <f t="shared" si="160"/>
        <v>0</v>
      </c>
      <c r="I322" s="57"/>
      <c r="J322" s="57"/>
      <c r="K322" s="57"/>
      <c r="L322" s="57">
        <f t="shared" ref="L322" si="175">L138*L$286</f>
        <v>0</v>
      </c>
    </row>
    <row r="323" spans="2:12" s="11" customFormat="1" ht="13.5" thickBot="1">
      <c r="B323" s="50" t="str">
        <f t="shared" si="157"/>
        <v xml:space="preserve">Free cash flow </v>
      </c>
      <c r="C323" s="55">
        <f t="shared" si="158"/>
        <v>27.263137620931307</v>
      </c>
      <c r="D323" s="55">
        <f t="shared" ref="D323:F323" si="176">D139*D$286</f>
        <v>18.789368475605244</v>
      </c>
      <c r="E323" s="55">
        <f t="shared" si="176"/>
        <v>16.601264796497496</v>
      </c>
      <c r="F323" s="55">
        <f t="shared" si="176"/>
        <v>12.815120477488771</v>
      </c>
      <c r="H323" s="55">
        <f t="shared" si="160"/>
        <v>-7.5333795606438319</v>
      </c>
      <c r="I323" s="55"/>
      <c r="J323" s="55"/>
      <c r="K323" s="55"/>
      <c r="L323" s="55">
        <f t="shared" ref="L323" si="177">L139*L$286</f>
        <v>-11.307071064344031</v>
      </c>
    </row>
    <row r="324" spans="2:12" s="11" customFormat="1" ht="13.5" thickTop="1">
      <c r="B324" s="16" t="str">
        <f t="shared" si="157"/>
        <v>Other Investing activities</v>
      </c>
      <c r="C324" s="57">
        <f t="shared" si="158"/>
        <v>4.6519104552794941</v>
      </c>
      <c r="D324" s="57">
        <f t="shared" ref="D324:F324" si="178">D140*D$286</f>
        <v>0.40971348189827494</v>
      </c>
      <c r="E324" s="57">
        <f t="shared" si="178"/>
        <v>0.37590105694532483</v>
      </c>
      <c r="F324" s="57">
        <f t="shared" si="178"/>
        <v>0.47837300125267118</v>
      </c>
      <c r="H324" s="57">
        <f t="shared" si="160"/>
        <v>0.13750165975715911</v>
      </c>
      <c r="I324" s="57"/>
      <c r="J324" s="57"/>
      <c r="K324" s="57"/>
      <c r="L324" s="57">
        <f t="shared" ref="L324" si="179">L140*L$286</f>
        <v>0.23992690187756063</v>
      </c>
    </row>
    <row r="325" spans="2:12">
      <c r="B325" s="16" t="str">
        <f t="shared" si="157"/>
        <v>Equity Issuance / Buyback</v>
      </c>
      <c r="C325" s="57">
        <f t="shared" si="158"/>
        <v>0</v>
      </c>
      <c r="D325" s="57">
        <f t="shared" ref="D325:F325" si="180">D141*D$286</f>
        <v>0</v>
      </c>
      <c r="E325" s="57">
        <f t="shared" si="180"/>
        <v>0</v>
      </c>
      <c r="F325" s="57">
        <f t="shared" si="180"/>
        <v>0</v>
      </c>
      <c r="H325" s="57">
        <f t="shared" si="160"/>
        <v>0</v>
      </c>
      <c r="I325" s="57"/>
      <c r="J325" s="57"/>
      <c r="K325" s="57"/>
      <c r="L325" s="57">
        <f t="shared" ref="L325" si="181">L141*L$286</f>
        <v>0</v>
      </c>
    </row>
    <row r="326" spans="2:12">
      <c r="B326" s="16" t="str">
        <f t="shared" si="157"/>
        <v>Dividends</v>
      </c>
      <c r="C326" s="57">
        <f t="shared" si="158"/>
        <v>0</v>
      </c>
      <c r="D326" s="57">
        <f t="shared" ref="D326:F326" si="182">D142*D$286</f>
        <v>0</v>
      </c>
      <c r="E326" s="57">
        <f t="shared" si="182"/>
        <v>0</v>
      </c>
      <c r="F326" s="57">
        <f t="shared" si="182"/>
        <v>0</v>
      </c>
      <c r="H326" s="57">
        <f t="shared" si="160"/>
        <v>0</v>
      </c>
      <c r="I326" s="57"/>
      <c r="J326" s="57"/>
      <c r="K326" s="57"/>
      <c r="L326" s="57">
        <f t="shared" ref="L326" si="183">L142*L$286</f>
        <v>0</v>
      </c>
    </row>
    <row r="327" spans="2:12">
      <c r="B327" s="16" t="str">
        <f t="shared" si="157"/>
        <v>Net Change in debt</v>
      </c>
      <c r="C327" s="57">
        <f t="shared" si="158"/>
        <v>-11.493251551920824</v>
      </c>
      <c r="D327" s="57">
        <f t="shared" ref="D327:F327" si="184">D143*D$286</f>
        <v>-5.5988746575849566</v>
      </c>
      <c r="E327" s="57">
        <f t="shared" si="184"/>
        <v>-4.0756519303624872</v>
      </c>
      <c r="F327" s="57">
        <f t="shared" si="184"/>
        <v>-3.7263281998378899</v>
      </c>
      <c r="H327" s="57">
        <f t="shared" si="160"/>
        <v>-0.84566471430046775</v>
      </c>
      <c r="I327" s="57"/>
      <c r="J327" s="57"/>
      <c r="K327" s="57"/>
      <c r="L327" s="57">
        <f t="shared" ref="L327" si="185">L143*L$286</f>
        <v>-0.49650720664957115</v>
      </c>
    </row>
    <row r="328" spans="2:12">
      <c r="B328" s="16" t="str">
        <f t="shared" si="157"/>
        <v>Other financing activities</v>
      </c>
      <c r="C328" s="57">
        <f t="shared" si="158"/>
        <v>0</v>
      </c>
      <c r="D328" s="57">
        <f t="shared" ref="D328:F328" si="186">D144*D$286</f>
        <v>0</v>
      </c>
      <c r="E328" s="57">
        <f t="shared" si="186"/>
        <v>0</v>
      </c>
      <c r="F328" s="57">
        <f t="shared" si="186"/>
        <v>0</v>
      </c>
      <c r="H328" s="57">
        <f t="shared" si="160"/>
        <v>0</v>
      </c>
      <c r="I328" s="57"/>
      <c r="J328" s="57"/>
      <c r="K328" s="57"/>
      <c r="L328" s="57">
        <f t="shared" ref="L328" si="187">L144*L$286</f>
        <v>0</v>
      </c>
    </row>
    <row r="329" spans="2:12" s="11" customFormat="1" ht="13.5" thickBot="1">
      <c r="B329" s="50" t="str">
        <f t="shared" si="157"/>
        <v>Cash flow after financing activities</v>
      </c>
      <c r="C329" s="55">
        <f t="shared" si="158"/>
        <v>20.421796524289974</v>
      </c>
      <c r="D329" s="55">
        <f t="shared" ref="D329:F329" si="188">D145*D$286</f>
        <v>13.600207299918559</v>
      </c>
      <c r="E329" s="55">
        <f t="shared" si="188"/>
        <v>12.901513923080334</v>
      </c>
      <c r="F329" s="55">
        <f t="shared" si="188"/>
        <v>9.567165278903552</v>
      </c>
      <c r="H329" s="55">
        <f t="shared" si="160"/>
        <v>-8.2415426151871394</v>
      </c>
      <c r="I329" s="55"/>
      <c r="J329" s="55"/>
      <c r="K329" s="55"/>
      <c r="L329" s="55">
        <f t="shared" ref="L329" si="189">L145*L$286</f>
        <v>-11.563651369116041</v>
      </c>
    </row>
    <row r="330" spans="2:12" s="11" customFormat="1" ht="13.5" thickTop="1">
      <c r="B330" s="16" t="str">
        <f t="shared" si="157"/>
        <v>Balancing figure</v>
      </c>
      <c r="C330" s="57">
        <f t="shared" si="158"/>
        <v>-12.312843533786692</v>
      </c>
      <c r="D330" s="57">
        <f t="shared" ref="D330:F330" si="190">D146*D$286</f>
        <v>-18.70052565336492</v>
      </c>
      <c r="E330" s="57">
        <f t="shared" si="190"/>
        <v>-15.128174889809406</v>
      </c>
      <c r="F330" s="57">
        <f t="shared" si="190"/>
        <v>-14.889396507258127</v>
      </c>
      <c r="H330" s="57">
        <f t="shared" si="160"/>
        <v>-2.555878491022566</v>
      </c>
      <c r="I330" s="57"/>
      <c r="J330" s="57"/>
      <c r="K330" s="57"/>
      <c r="L330" s="57">
        <f t="shared" ref="L330" si="191">L146*L$286</f>
        <v>-2.3183600082530149</v>
      </c>
    </row>
    <row r="331" spans="2:12">
      <c r="B331" s="16" t="str">
        <f t="shared" si="157"/>
        <v xml:space="preserve">FX </v>
      </c>
      <c r="C331" s="57">
        <f t="shared" si="158"/>
        <v>0</v>
      </c>
      <c r="D331" s="57">
        <f t="shared" ref="D331:F331" si="192">D147*D$286</f>
        <v>0</v>
      </c>
      <c r="E331" s="57">
        <f t="shared" si="192"/>
        <v>0</v>
      </c>
      <c r="F331" s="57">
        <f t="shared" si="192"/>
        <v>0</v>
      </c>
      <c r="H331" s="57">
        <f t="shared" si="160"/>
        <v>0</v>
      </c>
      <c r="I331" s="57"/>
      <c r="J331" s="57"/>
      <c r="K331" s="57"/>
      <c r="L331" s="57">
        <f t="shared" ref="L331" si="193">L147*L$286</f>
        <v>0</v>
      </c>
    </row>
    <row r="332" spans="2:12" s="11" customFormat="1" ht="13.5" thickBot="1">
      <c r="B332" s="50" t="str">
        <f t="shared" si="157"/>
        <v xml:space="preserve">Net change in cash </v>
      </c>
      <c r="C332" s="55">
        <f t="shared" si="158"/>
        <v>8.1089529905032816</v>
      </c>
      <c r="D332" s="55">
        <f t="shared" ref="D332:F332" si="194">D148*D$286</f>
        <v>-5.1003183534463599</v>
      </c>
      <c r="E332" s="55">
        <f t="shared" si="194"/>
        <v>-2.2266609667290718</v>
      </c>
      <c r="F332" s="55">
        <f t="shared" si="194"/>
        <v>-5.3222312283545747</v>
      </c>
      <c r="H332" s="55">
        <f t="shared" si="160"/>
        <v>-10.797421106209706</v>
      </c>
      <c r="I332" s="55"/>
      <c r="J332" s="55"/>
      <c r="K332" s="55"/>
      <c r="L332" s="55">
        <f t="shared" ref="L332" si="195">L148*L$286</f>
        <v>-13.882011377369055</v>
      </c>
    </row>
    <row r="333" spans="2:12" ht="13.5" thickTop="1">
      <c r="C333" s="58"/>
      <c r="D333" s="58"/>
      <c r="E333" s="58"/>
      <c r="F333" s="58"/>
      <c r="H333" s="58"/>
      <c r="I333" s="58"/>
      <c r="J333" s="58"/>
      <c r="K333" s="58"/>
      <c r="L333" s="58"/>
    </row>
    <row r="334" spans="2:12" s="11" customFormat="1">
      <c r="B334" s="11" t="str">
        <f>+B190</f>
        <v>Total debt including leases</v>
      </c>
      <c r="C334" s="56">
        <f>C190*C$287</f>
        <v>482.36165145486001</v>
      </c>
      <c r="D334" s="56">
        <f t="shared" ref="D334:F334" si="196">D190*D$287</f>
        <v>482.46000326201386</v>
      </c>
      <c r="E334" s="56">
        <f t="shared" si="196"/>
        <v>481.78229929427022</v>
      </c>
      <c r="F334" s="56">
        <f t="shared" si="196"/>
        <v>482.3143660976005</v>
      </c>
      <c r="H334" s="191"/>
      <c r="I334" s="56"/>
      <c r="J334" s="56"/>
      <c r="K334" s="56"/>
      <c r="L334" s="56">
        <f t="shared" ref="L334" si="197">L190*L$287</f>
        <v>482.3143660976005</v>
      </c>
    </row>
    <row r="335" spans="2:12">
      <c r="B335" s="16" t="str">
        <f>+B191</f>
        <v>Cash and cash equivalents (excl. restriced cash)</v>
      </c>
      <c r="C335" s="58">
        <f>(C191)*C$287</f>
        <v>59.318649132409277</v>
      </c>
      <c r="D335" s="58">
        <f t="shared" ref="D335:F335" si="198">(D191)*D$287</f>
        <v>54.350340287353767</v>
      </c>
      <c r="E335" s="58">
        <f t="shared" si="198"/>
        <v>51.780531286373083</v>
      </c>
      <c r="F335" s="58">
        <f t="shared" si="198"/>
        <v>37.893473169438344</v>
      </c>
      <c r="H335" s="192"/>
      <c r="I335" s="58"/>
      <c r="J335" s="58"/>
      <c r="K335" s="58"/>
      <c r="L335" s="58">
        <f t="shared" ref="L335" si="199">(L191)*L$287</f>
        <v>37.893473169438344</v>
      </c>
    </row>
    <row r="336" spans="2:12" s="11" customFormat="1" ht="13.5" thickBot="1">
      <c r="B336" s="50" t="str">
        <f>+B192</f>
        <v>Net debt including leases</v>
      </c>
      <c r="C336" s="55">
        <f t="shared" ref="C336" si="200">C334-C335</f>
        <v>423.04300232245072</v>
      </c>
      <c r="D336" s="55">
        <f t="shared" ref="D336:F336" si="201">D334-D335</f>
        <v>428.10966297466007</v>
      </c>
      <c r="E336" s="55">
        <f t="shared" si="201"/>
        <v>430.00176800789711</v>
      </c>
      <c r="F336" s="55">
        <f t="shared" si="201"/>
        <v>444.42089292816217</v>
      </c>
      <c r="H336" s="193"/>
      <c r="I336" s="55"/>
      <c r="J336" s="55"/>
      <c r="K336" s="55"/>
      <c r="L336" s="55">
        <f t="shared" ref="L336" si="202">L334-L335</f>
        <v>444.42089292816217</v>
      </c>
    </row>
    <row r="337" spans="2:12" ht="13.5" thickTop="1">
      <c r="C337" s="59"/>
      <c r="D337" s="59"/>
      <c r="E337" s="59"/>
      <c r="F337" s="59"/>
      <c r="H337" s="59"/>
      <c r="I337" s="59"/>
      <c r="J337" s="59"/>
      <c r="K337" s="59"/>
      <c r="L337" s="59"/>
    </row>
    <row r="338" spans="2:12">
      <c r="B338" s="7" t="s">
        <v>74</v>
      </c>
      <c r="C338" s="59"/>
      <c r="D338" s="59"/>
      <c r="E338" s="59"/>
      <c r="F338" s="59"/>
      <c r="H338" s="59"/>
      <c r="I338" s="59"/>
      <c r="J338" s="59"/>
      <c r="K338" s="59"/>
      <c r="L338" s="59"/>
    </row>
    <row r="339" spans="2:12">
      <c r="B339" s="8" t="s">
        <v>75</v>
      </c>
      <c r="C339" s="58">
        <f>C183*C$287</f>
        <v>3.8969837724294019</v>
      </c>
      <c r="D339" s="58">
        <f t="shared" ref="D339:F339" si="203">D183*D$287</f>
        <v>1.8187209940245836</v>
      </c>
      <c r="E339" s="58">
        <f t="shared" si="203"/>
        <v>1.4608165249804783</v>
      </c>
      <c r="F339" s="58">
        <f t="shared" si="203"/>
        <v>1.416429760344091</v>
      </c>
      <c r="H339" s="192"/>
      <c r="I339" s="58"/>
      <c r="J339" s="58"/>
      <c r="K339" s="58"/>
      <c r="L339" s="58">
        <f t="shared" ref="L339" si="204">L183*L$287</f>
        <v>1.416429760344091</v>
      </c>
    </row>
    <row r="340" spans="2:12">
      <c r="B340" s="8" t="s">
        <v>76</v>
      </c>
      <c r="C340" s="58">
        <f>C184*C$287</f>
        <v>5.518557417789677</v>
      </c>
      <c r="D340" s="58">
        <f t="shared" ref="D340:F340" si="205">D184*D$287</f>
        <v>4.5350888898773771</v>
      </c>
      <c r="E340" s="58">
        <f t="shared" si="205"/>
        <v>4.5421596216463103</v>
      </c>
      <c r="F340" s="58">
        <f t="shared" si="205"/>
        <v>4.5544933641679801</v>
      </c>
      <c r="H340" s="192"/>
      <c r="I340" s="58"/>
      <c r="J340" s="58"/>
      <c r="K340" s="58"/>
      <c r="L340" s="58">
        <f t="shared" ref="L340" si="206">L184*L$287</f>
        <v>4.5544933641679801</v>
      </c>
    </row>
    <row r="341" spans="2:12">
      <c r="B341" s="7" t="s">
        <v>77</v>
      </c>
      <c r="C341" s="56">
        <f t="shared" ref="C341:F341" si="207">SUM(C339:C340)</f>
        <v>9.4155411902190789</v>
      </c>
      <c r="D341" s="56">
        <f t="shared" si="207"/>
        <v>6.3538098839019606</v>
      </c>
      <c r="E341" s="56">
        <f t="shared" si="207"/>
        <v>6.0029761466267884</v>
      </c>
      <c r="F341" s="56">
        <f t="shared" si="207"/>
        <v>5.9709231245120709</v>
      </c>
      <c r="H341" s="191"/>
      <c r="I341" s="56"/>
      <c r="J341" s="56"/>
      <c r="K341" s="56"/>
      <c r="L341" s="56">
        <f t="shared" ref="L341" si="208">SUM(L339:L340)</f>
        <v>5.9709231245120709</v>
      </c>
    </row>
    <row r="342" spans="2:12">
      <c r="B342" s="7"/>
      <c r="C342" s="56"/>
      <c r="D342" s="56"/>
      <c r="E342" s="56"/>
      <c r="F342" s="56"/>
      <c r="H342" s="56"/>
      <c r="I342" s="62"/>
      <c r="J342" s="62"/>
      <c r="K342" s="62"/>
      <c r="L342" s="56"/>
    </row>
    <row r="343" spans="2:12">
      <c r="B343" s="7" t="s">
        <v>101</v>
      </c>
      <c r="C343" s="56">
        <f>C336</f>
        <v>423.04300232245072</v>
      </c>
      <c r="D343" s="56">
        <f t="shared" ref="D343:F343" si="209">D336</f>
        <v>428.10966297466007</v>
      </c>
      <c r="E343" s="56">
        <f t="shared" si="209"/>
        <v>430.00176800789711</v>
      </c>
      <c r="F343" s="56">
        <f t="shared" si="209"/>
        <v>444.42089292816217</v>
      </c>
      <c r="H343" s="191"/>
      <c r="I343" s="56"/>
      <c r="J343" s="56"/>
      <c r="K343" s="56"/>
      <c r="L343" s="56">
        <f t="shared" ref="L343" si="210">L336</f>
        <v>444.42089292816217</v>
      </c>
    </row>
    <row r="344" spans="2:12">
      <c r="B344" s="8" t="s">
        <v>105</v>
      </c>
      <c r="C344" s="58">
        <f>C334</f>
        <v>482.36165145486001</v>
      </c>
      <c r="D344" s="58">
        <f t="shared" ref="D344:F344" si="211">D334</f>
        <v>482.46000326201386</v>
      </c>
      <c r="E344" s="58">
        <f t="shared" si="211"/>
        <v>481.78229929427022</v>
      </c>
      <c r="F344" s="58">
        <f t="shared" si="211"/>
        <v>482.3143660976005</v>
      </c>
      <c r="H344" s="192"/>
      <c r="I344" s="58"/>
      <c r="J344" s="58"/>
      <c r="K344" s="58"/>
      <c r="L344" s="58">
        <f t="shared" ref="L344" si="212">L334</f>
        <v>482.3143660976005</v>
      </c>
    </row>
    <row r="345" spans="2:12">
      <c r="B345" s="7"/>
      <c r="C345" s="56"/>
      <c r="D345" s="56"/>
      <c r="E345" s="56"/>
      <c r="F345" s="56"/>
      <c r="H345" s="56"/>
      <c r="I345" s="56"/>
      <c r="J345" s="56"/>
      <c r="K345" s="56"/>
      <c r="L345" s="56"/>
    </row>
    <row r="346" spans="2:12" s="11" customFormat="1">
      <c r="B346" s="7" t="s">
        <v>104</v>
      </c>
      <c r="C346" s="56">
        <f>C343-C341</f>
        <v>413.62746113223164</v>
      </c>
      <c r="D346" s="56">
        <f t="shared" ref="D346:F346" si="213">D343-D341</f>
        <v>421.75585309075808</v>
      </c>
      <c r="E346" s="56">
        <f t="shared" si="213"/>
        <v>423.99879186127032</v>
      </c>
      <c r="F346" s="56">
        <f t="shared" si="213"/>
        <v>438.44996980365011</v>
      </c>
      <c r="G346"/>
      <c r="H346" s="191"/>
      <c r="I346" s="56"/>
      <c r="J346" s="56"/>
      <c r="K346" s="56"/>
      <c r="L346" s="56">
        <f t="shared" ref="L346" si="214">L343-L341</f>
        <v>438.44996980365011</v>
      </c>
    </row>
    <row r="347" spans="2:12">
      <c r="B347" s="8" t="s">
        <v>89</v>
      </c>
      <c r="C347" s="58">
        <f>C344-C341</f>
        <v>472.94611026464094</v>
      </c>
      <c r="D347" s="58">
        <f t="shared" ref="D347:F347" si="215">D344-D341</f>
        <v>476.10619337811187</v>
      </c>
      <c r="E347" s="58">
        <f t="shared" si="215"/>
        <v>475.77932314764342</v>
      </c>
      <c r="F347" s="58">
        <f t="shared" si="215"/>
        <v>476.34344297308843</v>
      </c>
      <c r="H347" s="192"/>
      <c r="I347" s="58"/>
      <c r="J347" s="58"/>
      <c r="K347" s="58"/>
      <c r="L347" s="58">
        <f t="shared" ref="L347" si="216">L344-L341</f>
        <v>476.34344297308843</v>
      </c>
    </row>
    <row r="348" spans="2:12">
      <c r="B348" s="7"/>
      <c r="C348" s="62"/>
      <c r="D348" s="62"/>
      <c r="E348" s="62"/>
      <c r="F348" s="62"/>
      <c r="H348" s="62"/>
      <c r="I348" s="62"/>
      <c r="J348" s="62"/>
      <c r="K348" s="62"/>
      <c r="L348" s="62"/>
    </row>
    <row r="349" spans="2:12">
      <c r="B349" s="16" t="s">
        <v>27</v>
      </c>
      <c r="C349" s="80">
        <f>C202*C$287</f>
        <v>56.443099954142681</v>
      </c>
      <c r="D349" s="80">
        <f t="shared" ref="D349:F349" si="217">D202*D$287</f>
        <v>44.38043977877615</v>
      </c>
      <c r="E349" s="80">
        <f t="shared" si="217"/>
        <v>90.033002814079239</v>
      </c>
      <c r="F349" s="80">
        <f t="shared" si="217"/>
        <v>96.070055531824011</v>
      </c>
      <c r="H349" s="194"/>
      <c r="I349" s="80"/>
      <c r="J349" s="80"/>
      <c r="K349" s="80"/>
      <c r="L349" s="80">
        <f t="shared" ref="L349" si="218">L202*L$287</f>
        <v>96.070055531824011</v>
      </c>
    </row>
    <row r="350" spans="2:12">
      <c r="C350" s="59"/>
      <c r="D350" s="59"/>
      <c r="E350" s="59"/>
      <c r="F350" s="59"/>
      <c r="H350" s="59"/>
      <c r="I350" s="59"/>
      <c r="J350" s="59"/>
      <c r="K350" s="59"/>
      <c r="L350" s="59"/>
    </row>
    <row r="351" spans="2:12">
      <c r="B351" s="16" t="str">
        <f>B201</f>
        <v>Company reported net debt (excl. leases and restricted cash)</v>
      </c>
      <c r="C351" s="80">
        <f>C201*C287</f>
        <v>413.6274611322317</v>
      </c>
      <c r="D351" s="80">
        <f t="shared" ref="D351:F351" si="219">D201*D287</f>
        <v>421.75585309075808</v>
      </c>
      <c r="E351" s="80">
        <f t="shared" si="219"/>
        <v>423.99879186127032</v>
      </c>
      <c r="F351" s="80">
        <f t="shared" si="219"/>
        <v>438.44996980365005</v>
      </c>
      <c r="H351" s="194"/>
      <c r="I351" s="80"/>
      <c r="J351" s="80"/>
      <c r="K351" s="80"/>
      <c r="L351" s="80">
        <f t="shared" ref="L351" si="220">L201*L287</f>
        <v>438.44996980365005</v>
      </c>
    </row>
    <row r="352" spans="2:12">
      <c r="C352" s="62"/>
      <c r="D352" s="62"/>
      <c r="E352" s="62"/>
      <c r="F352" s="62"/>
      <c r="H352" s="62"/>
      <c r="I352" s="62"/>
      <c r="J352" s="62"/>
      <c r="K352" s="62"/>
      <c r="L352" s="62"/>
    </row>
    <row r="353" spans="2:12" s="11" customFormat="1">
      <c r="B353" s="11" t="s">
        <v>88</v>
      </c>
      <c r="C353" s="56">
        <f>C311</f>
        <v>123.38622457294399</v>
      </c>
      <c r="D353" s="56">
        <f t="shared" ref="D353:F353" si="221">D311</f>
        <v>122.98600725549716</v>
      </c>
      <c r="E353" s="56">
        <f t="shared" si="221"/>
        <v>134.18267317245753</v>
      </c>
      <c r="F353" s="56">
        <f t="shared" si="221"/>
        <v>133.28671431729424</v>
      </c>
      <c r="G353" s="91"/>
      <c r="H353" s="191"/>
      <c r="I353" s="56"/>
      <c r="J353" s="56"/>
      <c r="K353" s="56"/>
      <c r="L353" s="56">
        <f>(L311+E311-H311)</f>
        <v>133.28735079043244</v>
      </c>
    </row>
    <row r="354" spans="2:12">
      <c r="C354" s="59"/>
      <c r="D354" s="59"/>
      <c r="E354" s="59"/>
      <c r="F354" s="59"/>
      <c r="H354" s="59"/>
      <c r="I354" s="59"/>
      <c r="J354" s="59"/>
      <c r="K354" s="59"/>
      <c r="L354" s="59"/>
    </row>
    <row r="355" spans="2:12" s="11" customFormat="1">
      <c r="B355" s="11" t="str">
        <f>+B208</f>
        <v>Net Leverage including lease obligations</v>
      </c>
      <c r="C355" s="60">
        <f>C343/C353</f>
        <v>3.4286080458872812</v>
      </c>
      <c r="D355" s="60">
        <f t="shared" ref="D355:F355" si="222">D343/D353</f>
        <v>3.4809623674121242</v>
      </c>
      <c r="E355" s="60">
        <f t="shared" si="222"/>
        <v>3.2045998029510097</v>
      </c>
      <c r="F355" s="60">
        <f t="shared" si="222"/>
        <v>3.3343225182233907</v>
      </c>
      <c r="H355" s="105"/>
      <c r="I355" s="60"/>
      <c r="J355" s="60"/>
      <c r="K355" s="60"/>
      <c r="L355" s="60">
        <f t="shared" ref="L355" si="223">L343/L353</f>
        <v>3.3343065961819938</v>
      </c>
    </row>
    <row r="356" spans="2:12">
      <c r="B356" s="16" t="str">
        <f>+B209</f>
        <v>Gross Leverage including lease obligations</v>
      </c>
      <c r="C356" s="45">
        <f>C344/C353</f>
        <v>3.9093638947490077</v>
      </c>
      <c r="D356" s="45">
        <f t="shared" ref="D356:F356" si="224">D344/D353</f>
        <v>3.9228853267813451</v>
      </c>
      <c r="E356" s="45">
        <f t="shared" si="224"/>
        <v>3.5904956124630356</v>
      </c>
      <c r="F356" s="45">
        <f t="shared" si="224"/>
        <v>3.6186229705492798</v>
      </c>
      <c r="H356" s="104"/>
      <c r="I356" s="45"/>
      <c r="J356" s="45"/>
      <c r="K356" s="45"/>
      <c r="L356" s="45">
        <f t="shared" ref="L356" si="225">L344/L353</f>
        <v>3.618605690917684</v>
      </c>
    </row>
    <row r="357" spans="2:12">
      <c r="C357" s="45"/>
      <c r="D357" s="45"/>
      <c r="E357" s="45"/>
      <c r="F357" s="45"/>
      <c r="H357" s="45"/>
      <c r="I357" s="45"/>
      <c r="J357" s="45"/>
      <c r="K357" s="45"/>
      <c r="L357" s="45"/>
    </row>
    <row r="358" spans="2:12">
      <c r="B358" s="11" t="str">
        <f>+B211</f>
        <v>Net Leverage excluding lease obligations</v>
      </c>
      <c r="C358" s="60">
        <f>C346/C353</f>
        <v>3.3522985451889049</v>
      </c>
      <c r="D358" s="60">
        <f t="shared" ref="D358:F358" si="226">D346/D353</f>
        <v>3.4292994992071075</v>
      </c>
      <c r="E358" s="60">
        <f t="shared" si="226"/>
        <v>3.1598624609030428</v>
      </c>
      <c r="F358" s="60">
        <f t="shared" si="226"/>
        <v>3.2895249316439954</v>
      </c>
      <c r="H358" s="105"/>
      <c r="I358" s="60"/>
      <c r="J358" s="60"/>
      <c r="K358" s="60"/>
      <c r="L358" s="60">
        <f t="shared" ref="L358" si="227">L346/L353</f>
        <v>3.289509223519826</v>
      </c>
    </row>
    <row r="359" spans="2:12">
      <c r="B359" s="16" t="str">
        <f>+B212</f>
        <v>Gross Leverage excluding lease obligations</v>
      </c>
      <c r="C359" s="45">
        <f>C347/C353</f>
        <v>3.8330543940506314</v>
      </c>
      <c r="D359" s="45">
        <f t="shared" ref="D359:F359" si="228">D347/D353</f>
        <v>3.8712224585763284</v>
      </c>
      <c r="E359" s="45">
        <f t="shared" si="228"/>
        <v>3.5457582704150687</v>
      </c>
      <c r="F359" s="45">
        <f t="shared" si="228"/>
        <v>3.5738253839698846</v>
      </c>
      <c r="H359" s="104"/>
      <c r="I359" s="45"/>
      <c r="J359" s="45"/>
      <c r="K359" s="45"/>
      <c r="L359" s="45">
        <f t="shared" ref="L359" si="229">L347/L353</f>
        <v>3.5738083182555163</v>
      </c>
    </row>
    <row r="360" spans="2:12">
      <c r="C360" s="45"/>
      <c r="D360" s="45"/>
      <c r="E360" s="45"/>
      <c r="F360" s="45"/>
      <c r="H360" s="45"/>
      <c r="I360" s="45"/>
      <c r="J360" s="45"/>
      <c r="K360" s="45"/>
      <c r="L360" s="45"/>
    </row>
    <row r="361" spans="2:12">
      <c r="B361" s="11" t="str">
        <f>+B214</f>
        <v>Company reported net leverage (excl. leases and restricted cash)</v>
      </c>
      <c r="C361" s="60">
        <f>C351/C353</f>
        <v>3.3522985451889054</v>
      </c>
      <c r="D361" s="60">
        <f t="shared" ref="D361:F361" si="230">D351/D353</f>
        <v>3.4292994992071075</v>
      </c>
      <c r="E361" s="60">
        <f t="shared" si="230"/>
        <v>3.1598624609030428</v>
      </c>
      <c r="F361" s="60">
        <f t="shared" si="230"/>
        <v>3.289524931643995</v>
      </c>
      <c r="H361" s="105"/>
      <c r="I361" s="60"/>
      <c r="J361" s="60"/>
      <c r="K361" s="60"/>
      <c r="L361" s="60">
        <f t="shared" ref="L361" si="231">L351/L353</f>
        <v>3.2895092235198256</v>
      </c>
    </row>
    <row r="362" spans="2:12">
      <c r="C362" s="45"/>
      <c r="D362" s="45"/>
      <c r="E362" s="45"/>
      <c r="F362" s="45"/>
      <c r="H362" s="45"/>
      <c r="I362" s="45"/>
      <c r="J362" s="45"/>
      <c r="K362" s="45"/>
      <c r="L362" s="45"/>
    </row>
    <row r="363" spans="2:12" s="11" customFormat="1">
      <c r="B363" s="11" t="str">
        <f>+B216</f>
        <v>EBITDA - Capex / Interest</v>
      </c>
      <c r="C363" s="60">
        <f>(C353+C320)/-C318</f>
        <v>1.5078864560546041</v>
      </c>
      <c r="D363" s="60">
        <f t="shared" ref="D363:F363" si="232">(D353+D320)/-D318</f>
        <v>1.9133529760880483</v>
      </c>
      <c r="E363" s="60">
        <f t="shared" si="232"/>
        <v>2.1289426479518125</v>
      </c>
      <c r="F363" s="60">
        <f t="shared" si="232"/>
        <v>1.8912226574687145</v>
      </c>
      <c r="G363" s="91"/>
      <c r="H363" s="105"/>
      <c r="I363" s="60"/>
      <c r="J363" s="60"/>
      <c r="K363" s="60"/>
      <c r="L363" s="60">
        <f>(L353+(L320+E320-H320))/-(L318+E318-H318)</f>
        <v>1.8916234301743171</v>
      </c>
    </row>
    <row r="364" spans="2:12">
      <c r="B364" s="16" t="str">
        <f>+B217</f>
        <v>EBITDA/Interest</v>
      </c>
      <c r="C364" s="45">
        <f>(C353)/-C318</f>
        <v>2.7355261688443928</v>
      </c>
      <c r="D364" s="45">
        <f t="shared" ref="D364:F364" si="233">(D353)/-D318</f>
        <v>2.9168647915913088</v>
      </c>
      <c r="E364" s="45">
        <f t="shared" si="233"/>
        <v>3.1766452855736955</v>
      </c>
      <c r="F364" s="45">
        <f t="shared" si="233"/>
        <v>3.1352203002045278</v>
      </c>
      <c r="G364" s="16"/>
      <c r="H364" s="104"/>
      <c r="I364" s="45"/>
      <c r="J364" s="45"/>
      <c r="K364" s="45"/>
      <c r="L364" s="45">
        <f>(L353)/-(L318+E318-H318)</f>
        <v>3.1360348321615459</v>
      </c>
    </row>
    <row r="365" spans="2:12">
      <c r="C365" s="59"/>
      <c r="D365" s="59"/>
      <c r="E365" s="59"/>
      <c r="F365" s="59"/>
      <c r="H365" s="59"/>
      <c r="I365" s="59"/>
      <c r="J365" s="59"/>
      <c r="K365" s="59"/>
      <c r="L365" s="59"/>
    </row>
    <row r="366" spans="2:12" s="11" customFormat="1">
      <c r="B366" s="40" t="str">
        <f>+B219</f>
        <v xml:space="preserve">Gearing (Net debt / Equity) </v>
      </c>
      <c r="C366" s="97">
        <f>C336/(C349)</f>
        <v>7.4950348699159495</v>
      </c>
      <c r="D366" s="97">
        <f t="shared" ref="D366:F366" si="234">D336/(D349)</f>
        <v>9.6463591868098817</v>
      </c>
      <c r="E366" s="97">
        <f t="shared" si="234"/>
        <v>4.7760460560874911</v>
      </c>
      <c r="F366" s="97">
        <f t="shared" si="234"/>
        <v>4.6260084941966548</v>
      </c>
      <c r="G366" s="91"/>
      <c r="H366" s="195"/>
      <c r="I366" s="97"/>
      <c r="J366" s="97"/>
      <c r="K366" s="97"/>
      <c r="L366" s="97">
        <f t="shared" ref="L366" si="235">L336/(L349)</f>
        <v>4.6260084941966548</v>
      </c>
    </row>
    <row r="367" spans="2:12">
      <c r="C367" s="44"/>
      <c r="D367" s="44"/>
      <c r="E367" s="44"/>
      <c r="F367" s="44"/>
      <c r="I367" s="44"/>
      <c r="J367" s="44"/>
    </row>
    <row r="368" spans="2:12">
      <c r="C368" s="19"/>
      <c r="D368" s="19"/>
      <c r="E368" s="19"/>
      <c r="F368" s="19"/>
      <c r="I368" s="19"/>
      <c r="J368" s="19"/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D1F93-7BB2-4787-A966-680269877308}">
  <dimension ref="B2:N144"/>
  <sheetViews>
    <sheetView showGridLines="0" zoomScale="115" zoomScaleNormal="115" workbookViewId="0">
      <pane xSplit="2" ySplit="6" topLeftCell="C7" activePane="bottomRight" state="frozen"/>
      <selection activeCell="P1" sqref="P1"/>
      <selection pane="topRight" activeCell="P1" sqref="P1"/>
      <selection pane="bottomLeft" activeCell="P1" sqref="P1"/>
      <selection pane="bottomRight" activeCell="P1" sqref="P1"/>
    </sheetView>
  </sheetViews>
  <sheetFormatPr defaultRowHeight="12.75"/>
  <cols>
    <col min="1" max="1" width="2.7109375" customWidth="1"/>
    <col min="2" max="2" width="50.7109375" customWidth="1"/>
    <col min="3" max="8" width="12.7109375" customWidth="1"/>
    <col min="9" max="11" width="12.7109375" hidden="1" customWidth="1"/>
    <col min="12" max="16" width="12.7109375" customWidth="1"/>
  </cols>
  <sheetData>
    <row r="2" spans="2:14" ht="21">
      <c r="B2" s="3" t="str">
        <f>Model!B2</f>
        <v xml:space="preserve">Telecommunications Services of Trinidad and Tobago Limited </v>
      </c>
      <c r="C2" s="196" t="s">
        <v>0</v>
      </c>
      <c r="D2" s="196" t="s">
        <v>0</v>
      </c>
      <c r="E2" s="196" t="s">
        <v>0</v>
      </c>
      <c r="F2" s="196" t="s">
        <v>48</v>
      </c>
      <c r="G2" s="157"/>
      <c r="H2" s="196" t="s">
        <v>126</v>
      </c>
      <c r="I2" s="174" t="s">
        <v>126</v>
      </c>
      <c r="J2" s="174" t="s">
        <v>126</v>
      </c>
      <c r="K2" s="174" t="s">
        <v>126</v>
      </c>
      <c r="L2" s="196" t="s">
        <v>126</v>
      </c>
    </row>
    <row r="3" spans="2:14">
      <c r="B3" s="4" t="str">
        <f>Model!B3</f>
        <v>(Trinidad and Tobago Dollars millions)</v>
      </c>
      <c r="C3" s="197">
        <v>45352</v>
      </c>
      <c r="D3" s="197">
        <v>45717</v>
      </c>
      <c r="E3" s="197">
        <v>46082</v>
      </c>
      <c r="F3" s="197">
        <f>L3</f>
        <v>46174</v>
      </c>
      <c r="G3" s="157"/>
      <c r="H3" s="197">
        <v>45809</v>
      </c>
      <c r="I3" s="175">
        <v>45901</v>
      </c>
      <c r="J3" s="175">
        <v>45992</v>
      </c>
      <c r="K3" s="175">
        <v>46082</v>
      </c>
      <c r="L3" s="197">
        <v>46174</v>
      </c>
    </row>
    <row r="4" spans="2:14">
      <c r="B4" s="43"/>
      <c r="C4" s="197" t="s">
        <v>8</v>
      </c>
      <c r="D4" s="197" t="s">
        <v>8</v>
      </c>
      <c r="E4" s="197" t="s">
        <v>8</v>
      </c>
      <c r="F4" s="197" t="s">
        <v>8</v>
      </c>
      <c r="G4" s="158"/>
      <c r="H4" s="197" t="s">
        <v>8</v>
      </c>
      <c r="I4" s="175" t="s">
        <v>8</v>
      </c>
      <c r="J4" s="175" t="s">
        <v>8</v>
      </c>
      <c r="K4" s="175" t="s">
        <v>8</v>
      </c>
      <c r="L4" s="197" t="s">
        <v>8</v>
      </c>
    </row>
    <row r="5" spans="2:14">
      <c r="B5" s="12"/>
      <c r="C5" s="159" t="s">
        <v>33</v>
      </c>
      <c r="D5" s="159" t="s">
        <v>33</v>
      </c>
      <c r="E5" s="159" t="s">
        <v>33</v>
      </c>
      <c r="F5" s="161" t="s">
        <v>48</v>
      </c>
      <c r="G5" s="160"/>
      <c r="H5" s="159" t="s">
        <v>127</v>
      </c>
      <c r="I5" s="159" t="s">
        <v>128</v>
      </c>
      <c r="J5" s="159" t="s">
        <v>129</v>
      </c>
      <c r="K5" s="161" t="s">
        <v>130</v>
      </c>
      <c r="L5" s="159" t="s">
        <v>127</v>
      </c>
    </row>
    <row r="6" spans="2:14">
      <c r="B6" s="43"/>
      <c r="C6" s="15"/>
      <c r="D6" s="15"/>
      <c r="E6" s="15"/>
      <c r="F6" s="15"/>
      <c r="G6" s="12"/>
      <c r="H6" s="15"/>
      <c r="I6" s="15"/>
      <c r="J6" s="15"/>
      <c r="K6" s="15"/>
      <c r="L6" s="15"/>
    </row>
    <row r="7" spans="2:14">
      <c r="C7" s="68"/>
      <c r="D7" s="68"/>
    </row>
    <row r="8" spans="2:14">
      <c r="B8" s="137" t="s">
        <v>176</v>
      </c>
      <c r="C8" s="138"/>
      <c r="D8" s="138"/>
      <c r="E8" s="138"/>
      <c r="F8" s="138"/>
      <c r="G8" s="12"/>
      <c r="H8" s="138"/>
      <c r="I8" s="138"/>
      <c r="J8" s="138"/>
      <c r="K8" s="138"/>
      <c r="L8" s="138"/>
    </row>
    <row r="9" spans="2:14">
      <c r="B9" s="135" t="s">
        <v>177</v>
      </c>
      <c r="C9" s="139">
        <v>916.38199999999995</v>
      </c>
      <c r="D9" s="139">
        <v>898.25599999999997</v>
      </c>
      <c r="E9" s="139">
        <v>883.95899999999995</v>
      </c>
      <c r="F9" s="145">
        <f>L9+E9-H9</f>
        <v>879.17399999999986</v>
      </c>
      <c r="G9" s="146"/>
      <c r="H9" s="139">
        <v>223.119</v>
      </c>
      <c r="I9" s="145"/>
      <c r="J9" s="139"/>
      <c r="K9" s="145"/>
      <c r="L9" s="139">
        <v>218.334</v>
      </c>
      <c r="N9" s="200"/>
    </row>
    <row r="10" spans="2:14">
      <c r="B10" s="135" t="s">
        <v>178</v>
      </c>
      <c r="C10" s="139">
        <v>413.01</v>
      </c>
      <c r="D10" s="139">
        <v>450.608</v>
      </c>
      <c r="E10" s="139">
        <v>499.13600000000002</v>
      </c>
      <c r="F10" s="145">
        <f t="shared" ref="F10:F12" si="0">L10+E10-H10</f>
        <v>510.69500000000005</v>
      </c>
      <c r="G10" s="146"/>
      <c r="H10" s="139">
        <v>116.932</v>
      </c>
      <c r="I10" s="145"/>
      <c r="J10" s="139"/>
      <c r="K10" s="145"/>
      <c r="L10" s="139">
        <v>128.49100000000001</v>
      </c>
    </row>
    <row r="11" spans="2:14">
      <c r="B11" s="135" t="s">
        <v>179</v>
      </c>
      <c r="C11" s="139">
        <v>592.92399999999998</v>
      </c>
      <c r="D11" s="139">
        <v>596.79100000000005</v>
      </c>
      <c r="E11" s="139">
        <v>746.17899999999997</v>
      </c>
      <c r="F11" s="145">
        <f t="shared" si="0"/>
        <v>753.73599999999999</v>
      </c>
      <c r="G11" s="146"/>
      <c r="H11" s="139">
        <v>140.76900000000001</v>
      </c>
      <c r="I11" s="145"/>
      <c r="J11" s="139"/>
      <c r="K11" s="145"/>
      <c r="L11" s="139">
        <v>148.32599999999999</v>
      </c>
    </row>
    <row r="12" spans="2:14">
      <c r="B12" s="135" t="s">
        <v>180</v>
      </c>
      <c r="C12" s="139">
        <v>43.023000000000003</v>
      </c>
      <c r="D12" s="139">
        <v>37.220999999999997</v>
      </c>
      <c r="E12" s="139">
        <v>35.859000000000002</v>
      </c>
      <c r="F12" s="145">
        <f t="shared" si="0"/>
        <v>34.768000000000001</v>
      </c>
      <c r="G12" s="146"/>
      <c r="H12" s="139">
        <v>9.77</v>
      </c>
      <c r="I12" s="145"/>
      <c r="J12" s="139"/>
      <c r="K12" s="145"/>
      <c r="L12" s="139">
        <v>8.6790000000000003</v>
      </c>
    </row>
    <row r="13" spans="2:14">
      <c r="B13" s="134" t="s">
        <v>109</v>
      </c>
      <c r="C13" s="140">
        <f>SUM(C9:C12)</f>
        <v>1965.3389999999997</v>
      </c>
      <c r="D13" s="140">
        <f>SUM(D9:D12)</f>
        <v>1982.8760000000002</v>
      </c>
      <c r="E13" s="140">
        <f>SUM(E9:E12)</f>
        <v>2165.1329999999998</v>
      </c>
      <c r="F13" s="140">
        <f>SUM(F9:F12)</f>
        <v>2178.373</v>
      </c>
      <c r="G13" s="140"/>
      <c r="H13" s="140">
        <f>SUM(H9:H12)</f>
        <v>490.59</v>
      </c>
      <c r="I13" s="140"/>
      <c r="J13" s="140"/>
      <c r="K13" s="140"/>
      <c r="L13" s="140">
        <f>SUM(L9:L12)</f>
        <v>503.83000000000004</v>
      </c>
    </row>
    <row r="14" spans="2:14">
      <c r="B14" s="112" t="s">
        <v>47</v>
      </c>
      <c r="C14" s="144">
        <f>C13-Model!C7</f>
        <v>0</v>
      </c>
      <c r="D14" s="144">
        <f>D13-Model!D7</f>
        <v>0</v>
      </c>
      <c r="E14" s="144">
        <f>E13-Model!E7</f>
        <v>0</v>
      </c>
      <c r="F14" s="144">
        <f>F13-Model!F7</f>
        <v>0</v>
      </c>
      <c r="G14" s="144">
        <f>G13-Model!G7</f>
        <v>0</v>
      </c>
      <c r="H14" s="144">
        <f>H13-Model!H7</f>
        <v>0</v>
      </c>
      <c r="I14" s="144"/>
      <c r="J14" s="144"/>
      <c r="K14" s="144"/>
      <c r="L14" s="144">
        <f>L13-Model!L7</f>
        <v>0</v>
      </c>
    </row>
    <row r="15" spans="2:14">
      <c r="B15" s="112"/>
      <c r="F15" s="144"/>
      <c r="G15" s="144"/>
      <c r="H15" s="144"/>
      <c r="I15" s="144"/>
      <c r="J15" s="144"/>
      <c r="K15" s="144"/>
      <c r="L15" s="144"/>
    </row>
    <row r="16" spans="2:14">
      <c r="B16" s="149" t="s">
        <v>181</v>
      </c>
      <c r="C16" s="144"/>
      <c r="D16" s="144"/>
      <c r="E16" s="144"/>
      <c r="F16" s="144"/>
      <c r="G16" s="144"/>
      <c r="H16" s="144"/>
      <c r="I16" s="144"/>
      <c r="J16" s="144"/>
      <c r="K16" s="144"/>
      <c r="L16" s="144"/>
    </row>
    <row r="17" spans="2:12">
      <c r="B17" s="135" t="s">
        <v>118</v>
      </c>
      <c r="C17" s="147">
        <f t="shared" ref="C17:F20" si="1">C9/C$13</f>
        <v>0.4662717220794988</v>
      </c>
      <c r="D17" s="147">
        <f t="shared" si="1"/>
        <v>0.45300664287630688</v>
      </c>
      <c r="E17" s="147">
        <f t="shared" si="1"/>
        <v>0.40827006932137655</v>
      </c>
      <c r="F17" s="147">
        <f t="shared" si="1"/>
        <v>0.40359203864535587</v>
      </c>
      <c r="G17" s="144"/>
      <c r="H17" s="147">
        <f>H9/H$13</f>
        <v>0.45479728490185289</v>
      </c>
      <c r="I17" s="147"/>
      <c r="J17" s="147"/>
      <c r="K17" s="147"/>
      <c r="L17" s="147">
        <f>L9/L$13</f>
        <v>0.43334855010618656</v>
      </c>
    </row>
    <row r="18" spans="2:12">
      <c r="B18" s="135" t="s">
        <v>119</v>
      </c>
      <c r="C18" s="147">
        <f t="shared" si="1"/>
        <v>0.21014695174725584</v>
      </c>
      <c r="D18" s="147">
        <f t="shared" si="1"/>
        <v>0.22724971203443883</v>
      </c>
      <c r="E18" s="147">
        <f t="shared" si="1"/>
        <v>0.2305336438916224</v>
      </c>
      <c r="F18" s="147">
        <f t="shared" si="1"/>
        <v>0.23443873018991698</v>
      </c>
      <c r="G18" s="144"/>
      <c r="H18" s="147">
        <f>H10/H$13</f>
        <v>0.23834974214721052</v>
      </c>
      <c r="I18" s="147"/>
      <c r="J18" s="147"/>
      <c r="K18" s="147"/>
      <c r="L18" s="147">
        <f>L10/L$13</f>
        <v>0.25502848182918841</v>
      </c>
    </row>
    <row r="19" spans="2:12">
      <c r="B19" s="135" t="s">
        <v>120</v>
      </c>
      <c r="C19" s="147">
        <f t="shared" si="1"/>
        <v>0.30169044627924246</v>
      </c>
      <c r="D19" s="147">
        <f t="shared" si="1"/>
        <v>0.30097242591064693</v>
      </c>
      <c r="E19" s="147">
        <f t="shared" si="1"/>
        <v>0.34463425572470607</v>
      </c>
      <c r="F19" s="147">
        <f t="shared" si="1"/>
        <v>0.34600869548052604</v>
      </c>
      <c r="G19" s="144"/>
      <c r="H19" s="147">
        <f>H11/H$13</f>
        <v>0.28693817648137959</v>
      </c>
      <c r="I19" s="147"/>
      <c r="J19" s="147"/>
      <c r="K19" s="147"/>
      <c r="L19" s="147">
        <f>L11/L$13</f>
        <v>0.29439691959589542</v>
      </c>
    </row>
    <row r="20" spans="2:12">
      <c r="B20" s="135" t="s">
        <v>121</v>
      </c>
      <c r="C20" s="147">
        <f t="shared" si="1"/>
        <v>2.1890879894003023E-2</v>
      </c>
      <c r="D20" s="147">
        <f t="shared" si="1"/>
        <v>1.8771219178607232E-2</v>
      </c>
      <c r="E20" s="147">
        <f t="shared" si="1"/>
        <v>1.6562031062295021E-2</v>
      </c>
      <c r="F20" s="147">
        <f t="shared" si="1"/>
        <v>1.5960535684201006E-2</v>
      </c>
      <c r="G20" s="144"/>
      <c r="H20" s="147">
        <f>H12/H$13</f>
        <v>1.9914796469557065E-2</v>
      </c>
      <c r="I20" s="147"/>
      <c r="J20" s="147"/>
      <c r="K20" s="147"/>
      <c r="L20" s="147">
        <f>L12/L$13</f>
        <v>1.7226048468729532E-2</v>
      </c>
    </row>
    <row r="21" spans="2:12">
      <c r="B21" s="134" t="s">
        <v>109</v>
      </c>
      <c r="C21" s="148">
        <f>SUM(C17:C20)</f>
        <v>1</v>
      </c>
      <c r="D21" s="148">
        <f>SUM(D17:D20)</f>
        <v>0.99999999999999989</v>
      </c>
      <c r="E21" s="148">
        <f>SUM(E17:E20)</f>
        <v>1</v>
      </c>
      <c r="F21" s="148">
        <f>SUM(F17:F20)</f>
        <v>0.99999999999999989</v>
      </c>
      <c r="G21" s="144"/>
      <c r="H21" s="148">
        <f>SUM(H17:H20)</f>
        <v>1</v>
      </c>
      <c r="I21" s="148"/>
      <c r="J21" s="148"/>
      <c r="K21" s="148"/>
      <c r="L21" s="148">
        <f>SUM(L17:L20)</f>
        <v>1</v>
      </c>
    </row>
    <row r="22" spans="2:12">
      <c r="B22" s="134"/>
      <c r="C22" s="148"/>
      <c r="D22" s="148"/>
      <c r="E22" s="148"/>
      <c r="F22" s="148"/>
      <c r="G22" s="144"/>
      <c r="H22" s="148"/>
      <c r="I22" s="148"/>
      <c r="J22" s="148"/>
      <c r="K22" s="148"/>
      <c r="L22" s="148"/>
    </row>
    <row r="23" spans="2:12">
      <c r="B23" s="112"/>
      <c r="C23" s="144"/>
      <c r="D23" s="144"/>
      <c r="E23" s="144"/>
      <c r="F23" s="144"/>
      <c r="G23" s="144"/>
      <c r="H23" s="144"/>
      <c r="I23" s="144"/>
      <c r="J23" s="144"/>
      <c r="K23" s="144"/>
      <c r="L23" s="144"/>
    </row>
    <row r="24" spans="2:12">
      <c r="B24" s="149" t="s">
        <v>182</v>
      </c>
      <c r="C24" s="144"/>
      <c r="D24" s="144"/>
      <c r="E24" s="144"/>
      <c r="F24" s="144"/>
      <c r="G24" s="144"/>
      <c r="H24" s="144"/>
      <c r="I24" s="144"/>
      <c r="J24" s="144"/>
      <c r="K24" s="144"/>
      <c r="L24" s="144"/>
    </row>
    <row r="25" spans="2:12">
      <c r="B25" s="135" t="s">
        <v>118</v>
      </c>
      <c r="C25" s="150"/>
      <c r="D25" s="147">
        <f t="shared" ref="D25:E29" si="2">D9/C9-1</f>
        <v>-1.9779960758722903E-2</v>
      </c>
      <c r="E25" s="147">
        <f t="shared" si="2"/>
        <v>-1.5916397997898124E-2</v>
      </c>
      <c r="F25" s="150"/>
      <c r="G25" s="144"/>
      <c r="H25" s="150"/>
      <c r="I25" s="150"/>
      <c r="J25" s="147"/>
      <c r="K25" s="147"/>
      <c r="L25" s="147">
        <f>L9/H9-1</f>
        <v>-2.1445954849205973E-2</v>
      </c>
    </row>
    <row r="26" spans="2:12">
      <c r="B26" s="135" t="s">
        <v>119</v>
      </c>
      <c r="C26" s="150"/>
      <c r="D26" s="147">
        <f t="shared" si="2"/>
        <v>9.1034115396721571E-2</v>
      </c>
      <c r="E26" s="147">
        <f t="shared" si="2"/>
        <v>0.1076944927742074</v>
      </c>
      <c r="F26" s="150"/>
      <c r="G26" s="144"/>
      <c r="H26" s="150"/>
      <c r="I26" s="150"/>
      <c r="J26" s="147"/>
      <c r="K26" s="147"/>
      <c r="L26" s="147">
        <f t="shared" ref="L26:L29" si="3">L10/H10-1</f>
        <v>9.8852324427872729E-2</v>
      </c>
    </row>
    <row r="27" spans="2:12">
      <c r="B27" s="135" t="s">
        <v>120</v>
      </c>
      <c r="C27" s="150"/>
      <c r="D27" s="147">
        <f t="shared" si="2"/>
        <v>6.5219151189699343E-3</v>
      </c>
      <c r="E27" s="147">
        <f t="shared" si="2"/>
        <v>0.25031878831952881</v>
      </c>
      <c r="F27" s="150"/>
      <c r="G27" s="144"/>
      <c r="H27" s="150"/>
      <c r="I27" s="150"/>
      <c r="J27" s="147"/>
      <c r="K27" s="147"/>
      <c r="L27" s="147">
        <f t="shared" si="3"/>
        <v>5.3683694563433582E-2</v>
      </c>
    </row>
    <row r="28" spans="2:12">
      <c r="B28" s="135" t="s">
        <v>121</v>
      </c>
      <c r="C28" s="150"/>
      <c r="D28" s="147">
        <f t="shared" si="2"/>
        <v>-0.13485809915626545</v>
      </c>
      <c r="E28" s="147">
        <f t="shared" si="2"/>
        <v>-3.6592246312565302E-2</v>
      </c>
      <c r="F28" s="150"/>
      <c r="G28" s="144"/>
      <c r="H28" s="150"/>
      <c r="I28" s="150"/>
      <c r="J28" s="147"/>
      <c r="K28" s="147"/>
      <c r="L28" s="147">
        <f t="shared" si="3"/>
        <v>-0.11166837256908901</v>
      </c>
    </row>
    <row r="29" spans="2:12">
      <c r="B29" s="134" t="s">
        <v>109</v>
      </c>
      <c r="C29" s="150"/>
      <c r="D29" s="148">
        <f t="shared" si="2"/>
        <v>8.9231425214686411E-3</v>
      </c>
      <c r="E29" s="148">
        <f t="shared" si="2"/>
        <v>9.1915480342694034E-2</v>
      </c>
      <c r="F29" s="150"/>
      <c r="G29" s="144"/>
      <c r="H29" s="150"/>
      <c r="I29" s="150"/>
      <c r="J29" s="148"/>
      <c r="K29" s="148"/>
      <c r="L29" s="148">
        <f t="shared" si="3"/>
        <v>2.6987912513504186E-2</v>
      </c>
    </row>
    <row r="30" spans="2:12">
      <c r="B30" s="134"/>
      <c r="C30" s="144"/>
      <c r="D30" s="144"/>
      <c r="E30" s="144"/>
      <c r="F30" s="144"/>
      <c r="G30" s="144"/>
      <c r="H30" s="144"/>
      <c r="I30" s="144"/>
      <c r="J30" s="144"/>
      <c r="K30" s="144"/>
      <c r="L30" s="144"/>
    </row>
    <row r="31" spans="2:12">
      <c r="B31" s="134"/>
      <c r="C31" s="144"/>
      <c r="D31" s="144"/>
      <c r="E31" s="144"/>
      <c r="F31" s="144"/>
      <c r="G31" s="144"/>
      <c r="H31" s="144"/>
      <c r="I31" s="144"/>
      <c r="J31" s="144"/>
      <c r="K31" s="144"/>
      <c r="L31" s="144"/>
    </row>
    <row r="32" spans="2:12">
      <c r="B32" s="137" t="s">
        <v>183</v>
      </c>
      <c r="C32" s="138"/>
      <c r="D32" s="138"/>
      <c r="E32" s="138"/>
      <c r="F32" s="138"/>
      <c r="G32" s="12"/>
      <c r="H32" s="138"/>
      <c r="I32" s="138"/>
      <c r="J32" s="138"/>
      <c r="K32" s="138"/>
      <c r="L32" s="138"/>
    </row>
    <row r="33" spans="2:12">
      <c r="B33" s="203" t="s">
        <v>190</v>
      </c>
      <c r="C33" s="135"/>
      <c r="D33" s="135"/>
      <c r="E33" s="135"/>
      <c r="F33" s="135"/>
      <c r="G33" s="12"/>
      <c r="H33" s="135"/>
      <c r="I33" s="135"/>
      <c r="J33" s="135"/>
      <c r="K33" s="135"/>
      <c r="L33" s="135"/>
    </row>
    <row r="34" spans="2:12">
      <c r="B34" s="201" t="s">
        <v>184</v>
      </c>
      <c r="C34" s="139">
        <v>53.485999999999997</v>
      </c>
      <c r="D34" s="139">
        <v>60.793999999999997</v>
      </c>
      <c r="E34" s="139">
        <v>64.129000000000005</v>
      </c>
      <c r="F34" s="145">
        <f t="shared" ref="F34:F39" si="4">L34+E34-H34</f>
        <v>63.876000000000005</v>
      </c>
      <c r="G34" s="146"/>
      <c r="H34" s="139">
        <v>15.634</v>
      </c>
      <c r="I34" s="139"/>
      <c r="J34" s="139"/>
      <c r="K34" s="139"/>
      <c r="L34" s="139">
        <v>15.381</v>
      </c>
    </row>
    <row r="35" spans="2:12">
      <c r="B35" s="201" t="s">
        <v>185</v>
      </c>
      <c r="C35" s="139">
        <v>184.47399999999999</v>
      </c>
      <c r="D35" s="139">
        <v>158.845</v>
      </c>
      <c r="E35" s="139">
        <v>145.381</v>
      </c>
      <c r="F35" s="145">
        <f t="shared" si="4"/>
        <v>139.97500000000002</v>
      </c>
      <c r="G35" s="146"/>
      <c r="H35" s="139">
        <v>37.308</v>
      </c>
      <c r="I35" s="139"/>
      <c r="J35" s="139"/>
      <c r="K35" s="139"/>
      <c r="L35" s="139">
        <v>31.902000000000001</v>
      </c>
    </row>
    <row r="36" spans="2:12">
      <c r="B36" s="201" t="s">
        <v>186</v>
      </c>
      <c r="C36" s="139">
        <v>23.143999999999998</v>
      </c>
      <c r="D36" s="139">
        <v>14.843999999999999</v>
      </c>
      <c r="E36" s="139">
        <v>14.539</v>
      </c>
      <c r="F36" s="145">
        <f t="shared" si="4"/>
        <v>14.406000000000001</v>
      </c>
      <c r="G36" s="146"/>
      <c r="H36" s="139">
        <v>3.8330000000000002</v>
      </c>
      <c r="I36" s="139"/>
      <c r="J36" s="139"/>
      <c r="K36" s="139"/>
      <c r="L36" s="139">
        <v>3.7</v>
      </c>
    </row>
    <row r="37" spans="2:12">
      <c r="B37" s="201" t="s">
        <v>187</v>
      </c>
      <c r="C37" s="139">
        <v>82.307000000000002</v>
      </c>
      <c r="D37" s="139">
        <v>79.433000000000007</v>
      </c>
      <c r="E37" s="139">
        <v>73.040000000000006</v>
      </c>
      <c r="F37" s="145">
        <f t="shared" si="4"/>
        <v>70.760999999999996</v>
      </c>
      <c r="G37" s="146"/>
      <c r="H37" s="139">
        <v>18.983000000000001</v>
      </c>
      <c r="I37" s="139"/>
      <c r="J37" s="139"/>
      <c r="K37" s="139"/>
      <c r="L37" s="139">
        <v>16.704000000000001</v>
      </c>
    </row>
    <row r="38" spans="2:12">
      <c r="B38" s="201" t="s">
        <v>188</v>
      </c>
      <c r="C38" s="139">
        <v>22.431000000000001</v>
      </c>
      <c r="D38" s="139">
        <v>18.602</v>
      </c>
      <c r="E38" s="139">
        <v>19.036000000000001</v>
      </c>
      <c r="F38" s="145">
        <f t="shared" si="4"/>
        <v>20.638000000000005</v>
      </c>
      <c r="G38" s="146"/>
      <c r="H38" s="139">
        <v>4.1989999999999998</v>
      </c>
      <c r="I38" s="139"/>
      <c r="J38" s="139"/>
      <c r="K38" s="139"/>
      <c r="L38" s="139">
        <v>5.8010000000000002</v>
      </c>
    </row>
    <row r="39" spans="2:12">
      <c r="B39" s="135" t="s">
        <v>131</v>
      </c>
      <c r="C39" s="139">
        <v>6.9610000000000003</v>
      </c>
      <c r="D39" s="139">
        <v>6.0810000000000004</v>
      </c>
      <c r="E39" s="139">
        <v>5.5679999999999996</v>
      </c>
      <c r="F39" s="145">
        <f t="shared" si="4"/>
        <v>5.6069999999999993</v>
      </c>
      <c r="G39" s="146"/>
      <c r="H39" s="139">
        <v>1.331</v>
      </c>
      <c r="I39" s="139"/>
      <c r="J39" s="139"/>
      <c r="K39" s="139"/>
      <c r="L39" s="139">
        <v>1.37</v>
      </c>
    </row>
    <row r="40" spans="2:12">
      <c r="B40" s="135"/>
      <c r="C40" s="139"/>
      <c r="D40" s="139"/>
      <c r="E40" s="139"/>
      <c r="F40" s="145"/>
      <c r="G40" s="146"/>
      <c r="H40" s="139"/>
      <c r="I40" s="139"/>
      <c r="J40" s="139"/>
      <c r="K40" s="139"/>
      <c r="L40" s="139"/>
    </row>
    <row r="41" spans="2:12" s="91" customFormat="1">
      <c r="B41" s="134" t="s">
        <v>189</v>
      </c>
      <c r="C41" s="139"/>
      <c r="D41" s="139"/>
      <c r="E41" s="139"/>
      <c r="F41" s="202"/>
      <c r="G41" s="146"/>
      <c r="H41" s="139"/>
      <c r="I41" s="139"/>
      <c r="J41" s="139"/>
      <c r="K41" s="139"/>
      <c r="L41" s="139"/>
    </row>
    <row r="42" spans="2:12">
      <c r="B42" s="203" t="s">
        <v>190</v>
      </c>
      <c r="C42" s="139"/>
      <c r="D42" s="139"/>
      <c r="E42" s="139"/>
      <c r="F42" s="145"/>
      <c r="G42" s="146"/>
      <c r="H42" s="139"/>
      <c r="I42" s="139"/>
      <c r="J42" s="139"/>
      <c r="K42" s="139"/>
      <c r="L42" s="139"/>
    </row>
    <row r="43" spans="2:12">
      <c r="B43" s="201" t="s">
        <v>184</v>
      </c>
      <c r="C43" s="139">
        <v>276.286</v>
      </c>
      <c r="D43" s="139">
        <v>301.91699999999997</v>
      </c>
      <c r="E43" s="139">
        <v>318.51</v>
      </c>
      <c r="F43" s="145">
        <f t="shared" ref="F43:F44" si="5">L43+E43-H43</f>
        <v>317.91899999999998</v>
      </c>
      <c r="G43" s="146"/>
      <c r="H43" s="139">
        <v>80.105000000000004</v>
      </c>
      <c r="I43" s="139"/>
      <c r="J43" s="139"/>
      <c r="K43" s="139"/>
      <c r="L43" s="139">
        <v>79.513999999999996</v>
      </c>
    </row>
    <row r="44" spans="2:12">
      <c r="B44" s="201" t="s">
        <v>185</v>
      </c>
      <c r="C44" s="139">
        <v>267.29300000000001</v>
      </c>
      <c r="D44" s="139">
        <v>257.74</v>
      </c>
      <c r="E44" s="139">
        <v>243.756</v>
      </c>
      <c r="F44" s="145">
        <f t="shared" si="5"/>
        <v>245.99200000000002</v>
      </c>
      <c r="G44" s="146"/>
      <c r="H44" s="139">
        <v>61.725999999999999</v>
      </c>
      <c r="I44" s="139"/>
      <c r="J44" s="139"/>
      <c r="K44" s="139"/>
      <c r="L44" s="139">
        <v>63.962000000000003</v>
      </c>
    </row>
    <row r="45" spans="2:12">
      <c r="B45" s="134" t="s">
        <v>191</v>
      </c>
      <c r="C45" s="140">
        <f>SUM(C34:C44)</f>
        <v>916.38199999999995</v>
      </c>
      <c r="D45" s="140">
        <f>SUM(D34:D44)</f>
        <v>898.25599999999997</v>
      </c>
      <c r="E45" s="140">
        <f>SUM(E34:E44)</f>
        <v>883.95899999999995</v>
      </c>
      <c r="F45" s="140">
        <f>SUM(F34:F44)</f>
        <v>879.17399999999998</v>
      </c>
      <c r="G45" s="140"/>
      <c r="H45" s="140">
        <f>SUM(H34:H44)</f>
        <v>223.119</v>
      </c>
      <c r="I45" s="140"/>
      <c r="J45" s="140"/>
      <c r="K45" s="140"/>
      <c r="L45" s="140">
        <f>SUM(L34:L44)</f>
        <v>218.334</v>
      </c>
    </row>
    <row r="46" spans="2:12">
      <c r="B46" s="112" t="s">
        <v>47</v>
      </c>
      <c r="C46" s="144">
        <f t="shared" ref="C46:F46" si="6">C45-C9</f>
        <v>0</v>
      </c>
      <c r="D46" s="144">
        <f t="shared" si="6"/>
        <v>0</v>
      </c>
      <c r="E46" s="144">
        <f t="shared" si="6"/>
        <v>0</v>
      </c>
      <c r="F46" s="144">
        <f t="shared" si="6"/>
        <v>0</v>
      </c>
      <c r="G46" s="144">
        <f>G45-Model!G31</f>
        <v>0</v>
      </c>
      <c r="H46" s="144">
        <f>H45-H9</f>
        <v>0</v>
      </c>
      <c r="I46" s="144"/>
      <c r="J46" s="144"/>
      <c r="K46" s="144"/>
      <c r="L46" s="144">
        <f>L45-L9</f>
        <v>0</v>
      </c>
    </row>
    <row r="47" spans="2:12">
      <c r="B47" s="112"/>
      <c r="F47" s="144"/>
      <c r="G47" s="144"/>
      <c r="H47" s="144"/>
      <c r="I47" s="144"/>
      <c r="J47" s="144"/>
      <c r="K47" s="144"/>
      <c r="L47" s="144"/>
    </row>
    <row r="48" spans="2:12">
      <c r="B48" s="149" t="s">
        <v>192</v>
      </c>
      <c r="C48" s="144"/>
      <c r="D48" s="144"/>
      <c r="E48" s="144"/>
      <c r="F48" s="144"/>
      <c r="G48" s="144"/>
      <c r="H48" s="144"/>
      <c r="I48" s="144"/>
      <c r="J48" s="144"/>
      <c r="K48" s="144"/>
      <c r="L48" s="144"/>
    </row>
    <row r="49" spans="2:12">
      <c r="B49" s="203" t="s">
        <v>190</v>
      </c>
      <c r="C49" s="147"/>
      <c r="D49" s="147"/>
      <c r="E49" s="147"/>
      <c r="F49" s="147"/>
      <c r="G49" s="144"/>
      <c r="H49" s="147"/>
      <c r="I49" s="147"/>
      <c r="J49" s="147"/>
      <c r="K49" s="147"/>
      <c r="L49" s="147"/>
    </row>
    <row r="50" spans="2:12">
      <c r="B50" s="201" t="s">
        <v>184</v>
      </c>
      <c r="C50" s="147">
        <f>C34/C$45</f>
        <v>5.8366489084246527E-2</v>
      </c>
      <c r="D50" s="147">
        <f t="shared" ref="D50:F50" si="7">D34/D$45</f>
        <v>6.7680037762063369E-2</v>
      </c>
      <c r="E50" s="147">
        <f t="shared" si="7"/>
        <v>7.2547482405858205E-2</v>
      </c>
      <c r="F50" s="147">
        <f t="shared" si="7"/>
        <v>7.2654559848221181E-2</v>
      </c>
      <c r="G50" s="144"/>
      <c r="H50" s="147">
        <f t="shared" ref="H50" si="8">H34/H$45</f>
        <v>7.0070231580457068E-2</v>
      </c>
      <c r="I50" s="147"/>
      <c r="J50" s="147"/>
      <c r="K50" s="147"/>
      <c r="L50" s="147">
        <f t="shared" ref="L50" si="9">L34/L$45</f>
        <v>7.0447113138585843E-2</v>
      </c>
    </row>
    <row r="51" spans="2:12">
      <c r="B51" s="201" t="s">
        <v>185</v>
      </c>
      <c r="C51" s="147">
        <f>C35/C$45</f>
        <v>0.20130687857247306</v>
      </c>
      <c r="D51" s="147">
        <f t="shared" ref="D51:F51" si="10">D35/D$45</f>
        <v>0.17683711547710229</v>
      </c>
      <c r="E51" s="147">
        <f t="shared" si="10"/>
        <v>0.16446577273380328</v>
      </c>
      <c r="F51" s="147">
        <f t="shared" si="10"/>
        <v>0.15921194211839754</v>
      </c>
      <c r="G51" s="144"/>
      <c r="H51" s="147">
        <f t="shared" ref="H51" si="11">H35/H$45</f>
        <v>0.16721121912522016</v>
      </c>
      <c r="I51" s="147"/>
      <c r="J51" s="147"/>
      <c r="K51" s="147"/>
      <c r="L51" s="147">
        <f t="shared" ref="L51" si="12">L35/L$45</f>
        <v>0.14611558437989502</v>
      </c>
    </row>
    <row r="52" spans="2:12">
      <c r="B52" s="201" t="s">
        <v>186</v>
      </c>
      <c r="C52" s="147">
        <f t="shared" ref="C52:F60" si="13">C36/C$45</f>
        <v>2.5255843087271464E-2</v>
      </c>
      <c r="D52" s="147">
        <f t="shared" si="13"/>
        <v>1.6525355800573557E-2</v>
      </c>
      <c r="E52" s="147">
        <f t="shared" si="13"/>
        <v>1.6447595420149577E-2</v>
      </c>
      <c r="F52" s="147">
        <f t="shared" si="13"/>
        <v>1.6385834885927018E-2</v>
      </c>
      <c r="G52" s="144"/>
      <c r="H52" s="147">
        <f t="shared" ref="H52" si="14">H36/H$45</f>
        <v>1.7179173445560442E-2</v>
      </c>
      <c r="I52" s="147"/>
      <c r="J52" s="147"/>
      <c r="K52" s="147"/>
      <c r="L52" s="147">
        <f t="shared" ref="L52" si="15">L36/L$45</f>
        <v>1.6946513140417892E-2</v>
      </c>
    </row>
    <row r="53" spans="2:12">
      <c r="B53" s="201" t="s">
        <v>187</v>
      </c>
      <c r="C53" s="147">
        <f t="shared" si="13"/>
        <v>8.9817346914278118E-2</v>
      </c>
      <c r="D53" s="147">
        <f t="shared" si="13"/>
        <v>8.8430247056518418E-2</v>
      </c>
      <c r="E53" s="147">
        <f t="shared" si="13"/>
        <v>8.2628266695627298E-2</v>
      </c>
      <c r="F53" s="147">
        <f t="shared" si="13"/>
        <v>8.0485774147097164E-2</v>
      </c>
      <c r="G53" s="144"/>
      <c r="H53" s="147">
        <f t="shared" ref="H53" si="16">H37/H$45</f>
        <v>8.5080159018281726E-2</v>
      </c>
      <c r="I53" s="147"/>
      <c r="J53" s="147"/>
      <c r="K53" s="147"/>
      <c r="L53" s="147">
        <f t="shared" ref="L53" si="17">L37/L$45</f>
        <v>7.6506636620956886E-2</v>
      </c>
    </row>
    <row r="54" spans="2:12">
      <c r="B54" s="201" t="s">
        <v>188</v>
      </c>
      <c r="C54" s="147">
        <f t="shared" si="13"/>
        <v>2.4477783282517554E-2</v>
      </c>
      <c r="D54" s="147">
        <f t="shared" si="13"/>
        <v>2.0709018364475161E-2</v>
      </c>
      <c r="E54" s="147">
        <f t="shared" si="13"/>
        <v>2.1534935443838461E-2</v>
      </c>
      <c r="F54" s="147">
        <f t="shared" si="13"/>
        <v>2.3474306565025815E-2</v>
      </c>
      <c r="G54" s="144"/>
      <c r="H54" s="147">
        <f t="shared" ref="H54" si="18">H38/H$45</f>
        <v>1.8819553691079648E-2</v>
      </c>
      <c r="I54" s="147"/>
      <c r="J54" s="147"/>
      <c r="K54" s="147"/>
      <c r="L54" s="147">
        <f t="shared" ref="L54" si="19">L38/L$45</f>
        <v>2.6569384520963295E-2</v>
      </c>
    </row>
    <row r="55" spans="2:12">
      <c r="B55" s="135" t="s">
        <v>131</v>
      </c>
      <c r="C55" s="147">
        <f t="shared" si="13"/>
        <v>7.5961771401009629E-3</v>
      </c>
      <c r="D55" s="147">
        <f t="shared" si="13"/>
        <v>6.7697850056108733E-3</v>
      </c>
      <c r="E55" s="147">
        <f t="shared" si="13"/>
        <v>6.2989346790971075E-3</v>
      </c>
      <c r="F55" s="147">
        <f t="shared" si="13"/>
        <v>6.3775771349016226E-3</v>
      </c>
      <c r="G55" s="144"/>
      <c r="H55" s="147">
        <f t="shared" ref="H55" si="20">H39/H$45</f>
        <v>5.9654265212734014E-3</v>
      </c>
      <c r="I55" s="147"/>
      <c r="J55" s="147"/>
      <c r="K55" s="147"/>
      <c r="L55" s="147">
        <f t="shared" ref="L55" si="21">L39/L$45</f>
        <v>6.2747900006412194E-3</v>
      </c>
    </row>
    <row r="56" spans="2:12">
      <c r="B56" s="135"/>
      <c r="C56" s="147"/>
      <c r="D56" s="147"/>
      <c r="E56" s="147"/>
      <c r="F56" s="147"/>
      <c r="G56" s="144"/>
      <c r="H56" s="147"/>
      <c r="I56" s="147"/>
      <c r="J56" s="147"/>
      <c r="K56" s="147"/>
      <c r="L56" s="147"/>
    </row>
    <row r="57" spans="2:12">
      <c r="B57" s="134" t="s">
        <v>189</v>
      </c>
      <c r="C57" s="147"/>
      <c r="D57" s="147"/>
      <c r="E57" s="147"/>
      <c r="F57" s="147"/>
      <c r="G57" s="144"/>
      <c r="H57" s="147"/>
      <c r="I57" s="147"/>
      <c r="J57" s="147"/>
      <c r="K57" s="147"/>
      <c r="L57" s="147"/>
    </row>
    <row r="58" spans="2:12">
      <c r="B58" s="203" t="s">
        <v>190</v>
      </c>
      <c r="C58" s="147"/>
      <c r="D58" s="147"/>
      <c r="E58" s="147"/>
      <c r="F58" s="147"/>
      <c r="G58" s="144"/>
      <c r="H58" s="147"/>
      <c r="I58" s="147"/>
      <c r="J58" s="147"/>
      <c r="K58" s="147"/>
      <c r="L58" s="147"/>
    </row>
    <row r="59" spans="2:12">
      <c r="B59" s="201" t="s">
        <v>184</v>
      </c>
      <c r="C59" s="147">
        <f t="shared" si="13"/>
        <v>0.30149653747018168</v>
      </c>
      <c r="D59" s="147">
        <f t="shared" si="13"/>
        <v>0.33611464883062286</v>
      </c>
      <c r="E59" s="147">
        <f t="shared" si="13"/>
        <v>0.36032214163779092</v>
      </c>
      <c r="F59" s="147">
        <f t="shared" si="13"/>
        <v>0.36161101215459057</v>
      </c>
      <c r="G59" s="144"/>
      <c r="H59" s="147">
        <f t="shared" ref="H59" si="22">H43/H$45</f>
        <v>0.35902366001998937</v>
      </c>
      <c r="I59" s="147"/>
      <c r="J59" s="147"/>
      <c r="K59" s="147"/>
      <c r="L59" s="147">
        <f t="shared" ref="L59" si="23">L43/L$45</f>
        <v>0.36418514752626707</v>
      </c>
    </row>
    <row r="60" spans="2:12">
      <c r="B60" s="201" t="s">
        <v>185</v>
      </c>
      <c r="C60" s="147">
        <f t="shared" si="13"/>
        <v>0.29168294444893073</v>
      </c>
      <c r="D60" s="147">
        <f t="shared" si="13"/>
        <v>0.28693379170303346</v>
      </c>
      <c r="E60" s="147">
        <f t="shared" si="13"/>
        <v>0.27575487098383522</v>
      </c>
      <c r="F60" s="147">
        <f t="shared" si="13"/>
        <v>0.27979899314583917</v>
      </c>
      <c r="G60" s="144"/>
      <c r="H60" s="147">
        <f t="shared" ref="H60" si="24">H44/H$45</f>
        <v>0.27665057659813819</v>
      </c>
      <c r="I60" s="147"/>
      <c r="J60" s="147"/>
      <c r="K60" s="147"/>
      <c r="L60" s="147">
        <f t="shared" ref="L60" si="25">L44/L$45</f>
        <v>0.29295483067227279</v>
      </c>
    </row>
    <row r="61" spans="2:12">
      <c r="B61" s="134" t="s">
        <v>191</v>
      </c>
      <c r="C61" s="148">
        <f>SUM(C50:C60)</f>
        <v>1</v>
      </c>
      <c r="D61" s="148">
        <f t="shared" ref="D61:H61" si="26">SUM(D50:D60)</f>
        <v>1</v>
      </c>
      <c r="E61" s="148">
        <f t="shared" si="26"/>
        <v>1</v>
      </c>
      <c r="F61" s="148">
        <f t="shared" si="26"/>
        <v>1</v>
      </c>
      <c r="G61" s="144"/>
      <c r="H61" s="148">
        <f t="shared" si="26"/>
        <v>1</v>
      </c>
      <c r="I61" s="148"/>
      <c r="J61" s="148"/>
      <c r="K61" s="148"/>
      <c r="L61" s="148">
        <f t="shared" ref="L61" si="27">SUM(L50:L60)</f>
        <v>1</v>
      </c>
    </row>
    <row r="62" spans="2:12">
      <c r="B62" s="134"/>
      <c r="C62" s="148"/>
      <c r="D62" s="148"/>
      <c r="E62" s="148"/>
      <c r="F62" s="148"/>
      <c r="G62" s="144"/>
      <c r="H62" s="148"/>
      <c r="I62" s="148"/>
      <c r="J62" s="148"/>
      <c r="K62" s="148"/>
      <c r="L62" s="148"/>
    </row>
    <row r="63" spans="2:12">
      <c r="B63" s="112"/>
      <c r="C63" s="144"/>
      <c r="D63" s="144"/>
      <c r="E63" s="144"/>
      <c r="F63" s="144"/>
      <c r="G63" s="144"/>
      <c r="H63" s="144"/>
      <c r="I63" s="144"/>
      <c r="J63" s="144"/>
      <c r="K63" s="144"/>
      <c r="L63" s="144"/>
    </row>
    <row r="64" spans="2:12">
      <c r="B64" s="149" t="s">
        <v>193</v>
      </c>
      <c r="C64" s="144"/>
      <c r="D64" s="144"/>
      <c r="E64" s="144"/>
      <c r="F64" s="144"/>
      <c r="G64" s="144"/>
      <c r="H64" s="144"/>
      <c r="I64" s="144"/>
      <c r="J64" s="144"/>
      <c r="K64" s="144"/>
      <c r="L64" s="144"/>
    </row>
    <row r="65" spans="2:13">
      <c r="B65" s="203" t="s">
        <v>190</v>
      </c>
      <c r="C65" s="148"/>
      <c r="D65" s="147"/>
      <c r="E65" s="147"/>
      <c r="F65" s="147"/>
      <c r="G65" s="144"/>
      <c r="H65" s="144"/>
      <c r="I65" s="150"/>
      <c r="J65" s="147"/>
      <c r="K65" s="147"/>
      <c r="L65" s="147"/>
    </row>
    <row r="66" spans="2:13">
      <c r="B66" s="201" t="s">
        <v>184</v>
      </c>
      <c r="C66" s="150"/>
      <c r="D66" s="147">
        <f>D34/C34-1</f>
        <v>0.13663388550274846</v>
      </c>
      <c r="E66" s="147">
        <f>E34/D34-1</f>
        <v>5.485738724216227E-2</v>
      </c>
      <c r="F66" s="150"/>
      <c r="G66" s="144"/>
      <c r="H66" s="150"/>
      <c r="I66" s="150"/>
      <c r="J66" s="147"/>
      <c r="K66" s="147"/>
      <c r="L66" s="147">
        <f>L34/H34-1</f>
        <v>-1.6182678777024395E-2</v>
      </c>
    </row>
    <row r="67" spans="2:13">
      <c r="B67" s="201" t="s">
        <v>185</v>
      </c>
      <c r="C67" s="150"/>
      <c r="D67" s="147">
        <f t="shared" ref="D67:E77" si="28">D35/C35-1</f>
        <v>-0.13893014733783615</v>
      </c>
      <c r="E67" s="147">
        <f t="shared" si="28"/>
        <v>-8.4761874783594093E-2</v>
      </c>
      <c r="F67" s="150"/>
      <c r="G67" s="144"/>
      <c r="H67" s="150"/>
      <c r="I67" s="150"/>
      <c r="J67" s="147"/>
      <c r="K67" s="147"/>
      <c r="L67" s="147">
        <f t="shared" ref="L67:L77" si="29">L35/H35-1</f>
        <v>-0.14490189771630746</v>
      </c>
    </row>
    <row r="68" spans="2:13">
      <c r="B68" s="201" t="s">
        <v>186</v>
      </c>
      <c r="C68" s="150"/>
      <c r="D68" s="147">
        <f t="shared" si="28"/>
        <v>-0.35862426546837189</v>
      </c>
      <c r="E68" s="147">
        <f t="shared" si="28"/>
        <v>-2.0547022365939083E-2</v>
      </c>
      <c r="F68" s="150"/>
      <c r="G68" s="144"/>
      <c r="H68" s="150"/>
      <c r="I68" s="150"/>
      <c r="J68" s="147"/>
      <c r="K68" s="147"/>
      <c r="L68" s="147">
        <f t="shared" si="29"/>
        <v>-3.4698669449517383E-2</v>
      </c>
    </row>
    <row r="69" spans="2:13">
      <c r="B69" s="201" t="s">
        <v>187</v>
      </c>
      <c r="C69" s="150"/>
      <c r="D69" s="147">
        <f t="shared" si="28"/>
        <v>-3.4918050712576032E-2</v>
      </c>
      <c r="E69" s="147">
        <f t="shared" si="28"/>
        <v>-8.0482922714740779E-2</v>
      </c>
      <c r="F69" s="150"/>
      <c r="G69" s="144"/>
      <c r="H69" s="150"/>
      <c r="I69" s="150"/>
      <c r="J69" s="148"/>
      <c r="K69" s="148"/>
      <c r="L69" s="147">
        <f t="shared" si="29"/>
        <v>-0.12005478586103357</v>
      </c>
    </row>
    <row r="70" spans="2:13">
      <c r="B70" s="201" t="s">
        <v>188</v>
      </c>
      <c r="C70" s="150"/>
      <c r="D70" s="147">
        <f t="shared" si="28"/>
        <v>-0.17070126164682808</v>
      </c>
      <c r="E70" s="147">
        <f t="shared" si="28"/>
        <v>2.3330824642511683E-2</v>
      </c>
      <c r="F70" s="150"/>
      <c r="G70" s="144"/>
      <c r="H70" s="150"/>
      <c r="I70" s="144"/>
      <c r="J70" s="144"/>
      <c r="K70" s="144"/>
      <c r="L70" s="147">
        <f t="shared" si="29"/>
        <v>0.38151940938318663</v>
      </c>
    </row>
    <row r="71" spans="2:13">
      <c r="B71" s="135" t="s">
        <v>131</v>
      </c>
      <c r="C71" s="150"/>
      <c r="D71" s="147">
        <f t="shared" si="28"/>
        <v>-0.12641861801465304</v>
      </c>
      <c r="E71" s="147">
        <f t="shared" si="28"/>
        <v>-8.436112481499769E-2</v>
      </c>
      <c r="F71" s="150"/>
      <c r="G71" s="144"/>
      <c r="H71" s="150"/>
      <c r="I71" s="144"/>
      <c r="J71" s="144"/>
      <c r="K71" s="144"/>
      <c r="L71" s="147">
        <f t="shared" si="29"/>
        <v>2.9301277235161738E-2</v>
      </c>
    </row>
    <row r="72" spans="2:13">
      <c r="B72" s="135"/>
      <c r="C72" s="147"/>
      <c r="D72" s="147"/>
      <c r="E72" s="147"/>
      <c r="F72" s="147"/>
      <c r="G72" s="144"/>
      <c r="H72" s="147"/>
      <c r="I72" s="147"/>
      <c r="J72" s="147"/>
      <c r="K72" s="147"/>
      <c r="L72" s="147"/>
      <c r="M72" s="147"/>
    </row>
    <row r="73" spans="2:13">
      <c r="B73" s="134" t="s">
        <v>189</v>
      </c>
      <c r="C73" s="147"/>
      <c r="D73" s="147"/>
      <c r="E73" s="147"/>
      <c r="F73" s="147"/>
      <c r="G73" s="144"/>
      <c r="H73" s="147"/>
      <c r="I73" s="147"/>
      <c r="J73" s="147"/>
      <c r="K73" s="147"/>
      <c r="L73" s="147"/>
      <c r="M73" s="147"/>
    </row>
    <row r="74" spans="2:13">
      <c r="B74" s="203" t="s">
        <v>190</v>
      </c>
      <c r="C74" s="147"/>
      <c r="D74" s="147"/>
      <c r="E74" s="147"/>
      <c r="F74" s="147"/>
      <c r="G74" s="144"/>
      <c r="H74" s="147"/>
      <c r="I74" s="147"/>
      <c r="J74" s="147"/>
      <c r="K74" s="147"/>
      <c r="L74" s="147"/>
      <c r="M74" s="147"/>
    </row>
    <row r="75" spans="2:13">
      <c r="B75" s="201" t="s">
        <v>184</v>
      </c>
      <c r="C75" s="150"/>
      <c r="D75" s="147">
        <f t="shared" si="28"/>
        <v>9.2769810992956447E-2</v>
      </c>
      <c r="E75" s="147">
        <f t="shared" si="28"/>
        <v>5.495881318375595E-2</v>
      </c>
      <c r="F75" s="150"/>
      <c r="G75" s="144"/>
      <c r="H75" s="150"/>
      <c r="I75" s="144"/>
      <c r="J75" s="144"/>
      <c r="K75" s="144"/>
      <c r="L75" s="147">
        <f t="shared" si="29"/>
        <v>-7.3778166156920344E-3</v>
      </c>
    </row>
    <row r="76" spans="2:13">
      <c r="B76" s="201" t="s">
        <v>185</v>
      </c>
      <c r="C76" s="150"/>
      <c r="D76" s="147">
        <f t="shared" si="28"/>
        <v>-3.5739806130351326E-2</v>
      </c>
      <c r="E76" s="147">
        <f t="shared" si="28"/>
        <v>-5.4256227205711216E-2</v>
      </c>
      <c r="F76" s="150"/>
      <c r="G76" s="144"/>
      <c r="H76" s="150"/>
      <c r="I76" s="144"/>
      <c r="J76" s="144"/>
      <c r="K76" s="144"/>
      <c r="L76" s="147">
        <f t="shared" si="29"/>
        <v>3.6224605514693975E-2</v>
      </c>
    </row>
    <row r="77" spans="2:13">
      <c r="B77" s="134" t="s">
        <v>191</v>
      </c>
      <c r="C77" s="150"/>
      <c r="D77" s="148">
        <f t="shared" si="28"/>
        <v>-1.9779960758722903E-2</v>
      </c>
      <c r="E77" s="148">
        <f t="shared" si="28"/>
        <v>-1.5916397997898124E-2</v>
      </c>
      <c r="F77" s="150"/>
      <c r="G77" s="144"/>
      <c r="H77" s="150"/>
      <c r="I77" s="144"/>
      <c r="J77" s="144"/>
      <c r="K77" s="144"/>
      <c r="L77" s="148">
        <f t="shared" si="29"/>
        <v>-2.1445954849205973E-2</v>
      </c>
    </row>
    <row r="78" spans="2:13">
      <c r="B78" s="134"/>
      <c r="C78" s="144"/>
      <c r="D78" s="147"/>
      <c r="E78" s="144"/>
      <c r="F78" s="144"/>
      <c r="G78" s="144"/>
      <c r="H78" s="144"/>
      <c r="I78" s="144"/>
      <c r="J78" s="144"/>
      <c r="K78" s="144"/>
      <c r="L78" s="144"/>
    </row>
    <row r="79" spans="2:13">
      <c r="B79" s="134"/>
      <c r="C79" s="144"/>
      <c r="D79" s="147"/>
      <c r="E79" s="144"/>
      <c r="F79" s="144"/>
      <c r="G79" s="144"/>
      <c r="H79" s="144"/>
      <c r="I79" s="144"/>
      <c r="J79" s="144"/>
      <c r="K79" s="144"/>
      <c r="L79" s="144"/>
    </row>
    <row r="80" spans="2:13">
      <c r="B80" s="137" t="s">
        <v>194</v>
      </c>
      <c r="C80" s="138"/>
      <c r="D80" s="138"/>
      <c r="E80" s="138"/>
      <c r="F80" s="138"/>
      <c r="G80" s="12"/>
      <c r="H80" s="138"/>
      <c r="I80" s="138"/>
      <c r="J80" s="138"/>
      <c r="K80" s="138"/>
      <c r="L80" s="138"/>
    </row>
    <row r="81" spans="2:12">
      <c r="B81" s="201" t="s">
        <v>195</v>
      </c>
      <c r="C81" s="139">
        <v>17.986999999999998</v>
      </c>
      <c r="D81" s="139">
        <v>16.739999999999998</v>
      </c>
      <c r="E81" s="139">
        <v>22.887</v>
      </c>
      <c r="F81" s="145">
        <f t="shared" ref="F81:F83" si="30">L81+E81-H81</f>
        <v>23.54</v>
      </c>
      <c r="G81" s="146"/>
      <c r="H81" s="139">
        <v>4.548</v>
      </c>
      <c r="I81" s="139"/>
      <c r="J81" s="139"/>
      <c r="K81" s="139"/>
      <c r="L81" s="139">
        <v>5.2009999999999996</v>
      </c>
    </row>
    <row r="82" spans="2:12">
      <c r="B82" s="201" t="s">
        <v>196</v>
      </c>
      <c r="C82" s="139">
        <v>205.36500000000001</v>
      </c>
      <c r="D82" s="139">
        <v>185.95599999999999</v>
      </c>
      <c r="E82" s="139">
        <v>202.178</v>
      </c>
      <c r="F82" s="145">
        <f t="shared" si="30"/>
        <v>203.87199999999999</v>
      </c>
      <c r="G82" s="146"/>
      <c r="H82" s="139">
        <v>46.359000000000002</v>
      </c>
      <c r="I82" s="139"/>
      <c r="J82" s="139"/>
      <c r="K82" s="139"/>
      <c r="L82" s="139">
        <v>48.052999999999997</v>
      </c>
    </row>
    <row r="83" spans="2:12">
      <c r="B83" s="201" t="s">
        <v>197</v>
      </c>
      <c r="C83" s="139">
        <v>189.65799999999999</v>
      </c>
      <c r="D83" s="139">
        <v>247.91200000000001</v>
      </c>
      <c r="E83" s="139">
        <v>274.07100000000003</v>
      </c>
      <c r="F83" s="145">
        <f t="shared" si="30"/>
        <v>283.28300000000002</v>
      </c>
      <c r="G83" s="146"/>
      <c r="H83" s="139">
        <v>66.025000000000006</v>
      </c>
      <c r="I83" s="139"/>
      <c r="J83" s="139"/>
      <c r="K83" s="139"/>
      <c r="L83" s="139">
        <v>75.236999999999995</v>
      </c>
    </row>
    <row r="84" spans="2:12">
      <c r="B84" s="134" t="s">
        <v>198</v>
      </c>
      <c r="C84" s="140">
        <f>SUM(C81:C83)</f>
        <v>413.01</v>
      </c>
      <c r="D84" s="140">
        <f>SUM(D81:D83)</f>
        <v>450.608</v>
      </c>
      <c r="E84" s="140">
        <f>SUM(E81:E83)</f>
        <v>499.13600000000002</v>
      </c>
      <c r="F84" s="140">
        <f>SUM(F81:F83)</f>
        <v>510.69499999999999</v>
      </c>
      <c r="G84" s="140"/>
      <c r="H84" s="140">
        <f>SUM(H81:H83)</f>
        <v>116.93200000000002</v>
      </c>
      <c r="I84" s="140"/>
      <c r="J84" s="140"/>
      <c r="K84" s="140"/>
      <c r="L84" s="140">
        <f>SUM(L81:L83)</f>
        <v>128.49099999999999</v>
      </c>
    </row>
    <row r="85" spans="2:12">
      <c r="B85" s="112" t="s">
        <v>47</v>
      </c>
      <c r="C85" s="144">
        <f>C84-C10</f>
        <v>0</v>
      </c>
      <c r="D85" s="144">
        <f t="shared" ref="D85:H85" si="31">D84-D10</f>
        <v>0</v>
      </c>
      <c r="E85" s="144">
        <f t="shared" si="31"/>
        <v>0</v>
      </c>
      <c r="F85" s="144">
        <f t="shared" si="31"/>
        <v>0</v>
      </c>
      <c r="G85" s="144"/>
      <c r="H85" s="144">
        <f t="shared" si="31"/>
        <v>0</v>
      </c>
      <c r="I85" s="144"/>
      <c r="J85" s="144"/>
      <c r="K85" s="144"/>
      <c r="L85" s="144">
        <f t="shared" ref="L85" si="32">L84-L10</f>
        <v>0</v>
      </c>
    </row>
    <row r="86" spans="2:12">
      <c r="B86" s="112"/>
      <c r="F86" s="144"/>
      <c r="G86" s="144"/>
      <c r="H86" s="144"/>
      <c r="I86" s="144"/>
      <c r="J86" s="144"/>
      <c r="K86" s="144"/>
      <c r="L86" s="144"/>
    </row>
    <row r="87" spans="2:12">
      <c r="B87" s="149" t="s">
        <v>199</v>
      </c>
      <c r="C87" s="144"/>
      <c r="D87" s="144"/>
      <c r="E87" s="144"/>
      <c r="F87" s="144"/>
      <c r="G87" s="144"/>
      <c r="H87" s="144"/>
      <c r="I87" s="144"/>
      <c r="J87" s="144"/>
      <c r="K87" s="144"/>
      <c r="L87" s="144"/>
    </row>
    <row r="88" spans="2:12">
      <c r="B88" s="201" t="s">
        <v>195</v>
      </c>
      <c r="C88" s="147">
        <f>C81/C$84</f>
        <v>4.3551003607660829E-2</v>
      </c>
      <c r="D88" s="147">
        <f t="shared" ref="D88:F88" si="33">D81/D$84</f>
        <v>3.714980648368426E-2</v>
      </c>
      <c r="E88" s="147">
        <f t="shared" si="33"/>
        <v>4.5853234389024229E-2</v>
      </c>
      <c r="F88" s="147">
        <f t="shared" si="33"/>
        <v>4.6094048306719274E-2</v>
      </c>
      <c r="G88" s="144"/>
      <c r="H88" s="147">
        <f>H81/H$84</f>
        <v>3.8894400164197991E-2</v>
      </c>
      <c r="I88" s="147"/>
      <c r="J88" s="147"/>
      <c r="K88" s="147"/>
      <c r="L88" s="147">
        <f>L81/L$84</f>
        <v>4.04775431742301E-2</v>
      </c>
    </row>
    <row r="89" spans="2:12">
      <c r="B89" s="201" t="s">
        <v>196</v>
      </c>
      <c r="C89" s="147">
        <f>C82/C$84</f>
        <v>0.49723977627660348</v>
      </c>
      <c r="D89" s="147">
        <f t="shared" ref="D89:F90" si="34">D82/D$84</f>
        <v>0.41267798174910342</v>
      </c>
      <c r="E89" s="147">
        <f t="shared" si="34"/>
        <v>0.40505593665854595</v>
      </c>
      <c r="F89" s="147">
        <f t="shared" si="34"/>
        <v>0.3992050049442426</v>
      </c>
      <c r="G89" s="144"/>
      <c r="H89" s="147">
        <f t="shared" ref="H89" si="35">H82/H$84</f>
        <v>0.39646119111962502</v>
      </c>
      <c r="I89" s="147"/>
      <c r="J89" s="147"/>
      <c r="K89" s="147"/>
      <c r="L89" s="147">
        <f t="shared" ref="L89" si="36">L82/L$84</f>
        <v>0.37397950050976336</v>
      </c>
    </row>
    <row r="90" spans="2:12">
      <c r="B90" s="201" t="s">
        <v>197</v>
      </c>
      <c r="C90" s="147">
        <f>C83/C$84</f>
        <v>0.45920922011573567</v>
      </c>
      <c r="D90" s="147">
        <f t="shared" si="34"/>
        <v>0.55017221176721232</v>
      </c>
      <c r="E90" s="147">
        <f t="shared" si="34"/>
        <v>0.54909082895242978</v>
      </c>
      <c r="F90" s="147">
        <f t="shared" si="34"/>
        <v>0.55470094674903814</v>
      </c>
      <c r="G90" s="144"/>
      <c r="H90" s="147">
        <f t="shared" ref="H90" si="37">H83/H$84</f>
        <v>0.56464440871617694</v>
      </c>
      <c r="I90" s="147"/>
      <c r="J90" s="147"/>
      <c r="K90" s="147"/>
      <c r="L90" s="147">
        <f t="shared" ref="L90" si="38">L83/L$84</f>
        <v>0.58554295631600661</v>
      </c>
    </row>
    <row r="91" spans="2:12">
      <c r="B91" s="134" t="s">
        <v>198</v>
      </c>
      <c r="C91" s="148">
        <f>SUM(C88:C90)</f>
        <v>1</v>
      </c>
      <c r="D91" s="148">
        <f t="shared" ref="D91:F91" si="39">SUM(D88:D90)</f>
        <v>1</v>
      </c>
      <c r="E91" s="148">
        <f t="shared" si="39"/>
        <v>1</v>
      </c>
      <c r="F91" s="148">
        <f t="shared" si="39"/>
        <v>1</v>
      </c>
      <c r="G91" s="144"/>
      <c r="H91" s="148">
        <f>SUM(H88:H90)</f>
        <v>1</v>
      </c>
      <c r="I91" s="147"/>
      <c r="J91" s="147"/>
      <c r="K91" s="147"/>
      <c r="L91" s="148">
        <f>SUM(L88:L90)</f>
        <v>1</v>
      </c>
    </row>
    <row r="92" spans="2:12">
      <c r="B92" s="134"/>
      <c r="C92" s="148"/>
      <c r="D92" s="148"/>
      <c r="E92" s="148"/>
      <c r="F92" s="148"/>
      <c r="G92" s="144"/>
      <c r="H92" s="148"/>
      <c r="I92" s="148"/>
      <c r="J92" s="148"/>
      <c r="K92" s="148"/>
      <c r="L92" s="148"/>
    </row>
    <row r="93" spans="2:12">
      <c r="B93" s="112"/>
      <c r="C93" s="144"/>
      <c r="D93" s="144"/>
      <c r="E93" s="144"/>
      <c r="F93" s="144"/>
      <c r="G93" s="144"/>
      <c r="H93" s="144"/>
      <c r="I93" s="144"/>
      <c r="J93" s="144"/>
      <c r="K93" s="144"/>
      <c r="L93" s="144"/>
    </row>
    <row r="94" spans="2:12">
      <c r="B94" s="149" t="s">
        <v>200</v>
      </c>
      <c r="C94" s="144"/>
      <c r="D94" s="144"/>
      <c r="E94" s="144"/>
      <c r="F94" s="144"/>
      <c r="G94" s="144"/>
      <c r="H94" s="144"/>
      <c r="I94" s="144"/>
      <c r="J94" s="144"/>
      <c r="K94" s="144"/>
      <c r="L94" s="144"/>
    </row>
    <row r="95" spans="2:12">
      <c r="B95" s="201" t="s">
        <v>195</v>
      </c>
      <c r="C95" s="150"/>
      <c r="D95" s="147">
        <f>D81/C81-1</f>
        <v>-6.9327847890142902E-2</v>
      </c>
      <c r="E95" s="147">
        <f>E81/D81-1</f>
        <v>0.36720430107526902</v>
      </c>
      <c r="F95" s="150"/>
      <c r="G95" s="144"/>
      <c r="H95" s="150"/>
      <c r="I95" s="150"/>
      <c r="J95" s="147"/>
      <c r="K95" s="147"/>
      <c r="L95" s="147">
        <f>L81/H81-1</f>
        <v>0.14357959542656107</v>
      </c>
    </row>
    <row r="96" spans="2:12">
      <c r="B96" s="201" t="s">
        <v>196</v>
      </c>
      <c r="C96" s="150"/>
      <c r="D96" s="147">
        <f t="shared" ref="D96:D98" si="40">D82/C82-1</f>
        <v>-9.4509775278163399E-2</v>
      </c>
      <c r="E96" s="147">
        <f t="shared" ref="E96" si="41">E82/D82-1</f>
        <v>8.723569016326449E-2</v>
      </c>
      <c r="F96" s="150"/>
      <c r="G96" s="144"/>
      <c r="H96" s="150"/>
      <c r="I96" s="150"/>
      <c r="J96" s="147"/>
      <c r="K96" s="147"/>
      <c r="L96" s="147">
        <f t="shared" ref="L96:L98" si="42">L82/H82-1</f>
        <v>3.6540908992859888E-2</v>
      </c>
    </row>
    <row r="97" spans="2:12">
      <c r="B97" s="201" t="s">
        <v>197</v>
      </c>
      <c r="C97" s="150"/>
      <c r="D97" s="147">
        <f t="shared" si="40"/>
        <v>0.30715287517531564</v>
      </c>
      <c r="E97" s="147">
        <f t="shared" ref="E97" si="43">E83/D83-1</f>
        <v>0.10551728032527685</v>
      </c>
      <c r="F97" s="150"/>
      <c r="G97" s="144"/>
      <c r="H97" s="150"/>
      <c r="I97" s="150"/>
      <c r="J97" s="147"/>
      <c r="K97" s="147"/>
      <c r="L97" s="147">
        <f t="shared" si="42"/>
        <v>0.13952290798939782</v>
      </c>
    </row>
    <row r="98" spans="2:12" s="91" customFormat="1">
      <c r="B98" s="134" t="s">
        <v>198</v>
      </c>
      <c r="C98" s="204"/>
      <c r="D98" s="148">
        <f t="shared" si="40"/>
        <v>9.1034115396721571E-2</v>
      </c>
      <c r="E98" s="148">
        <f t="shared" ref="E98" si="44">E84/D84-1</f>
        <v>0.1076944927742074</v>
      </c>
      <c r="F98" s="204"/>
      <c r="G98" s="205"/>
      <c r="H98" s="204"/>
      <c r="I98" s="204"/>
      <c r="J98" s="148"/>
      <c r="K98" s="148"/>
      <c r="L98" s="148">
        <f t="shared" si="42"/>
        <v>9.8852324427872285E-2</v>
      </c>
    </row>
    <row r="99" spans="2:12">
      <c r="B99" s="134"/>
      <c r="C99" s="144"/>
      <c r="D99" s="144"/>
      <c r="E99" s="144"/>
      <c r="F99" s="144"/>
      <c r="G99" s="144"/>
      <c r="H99" s="144"/>
      <c r="I99" s="144"/>
      <c r="J99" s="144"/>
      <c r="K99" s="144"/>
      <c r="L99" s="144"/>
    </row>
    <row r="100" spans="2:12">
      <c r="B100" s="134"/>
      <c r="C100" s="144"/>
      <c r="D100" s="144"/>
      <c r="E100" s="144"/>
      <c r="F100" s="144"/>
      <c r="G100" s="144"/>
      <c r="H100" s="144"/>
      <c r="I100" s="144"/>
      <c r="J100" s="144"/>
      <c r="K100" s="144"/>
      <c r="L100" s="144"/>
    </row>
    <row r="101" spans="2:12">
      <c r="B101" s="137" t="s">
        <v>201</v>
      </c>
      <c r="C101" s="138"/>
      <c r="D101" s="138"/>
      <c r="E101" s="138"/>
      <c r="F101" s="138"/>
      <c r="G101" s="12"/>
      <c r="H101" s="138"/>
      <c r="I101" s="138"/>
      <c r="J101" s="138"/>
      <c r="K101" s="138"/>
      <c r="L101" s="138"/>
    </row>
    <row r="102" spans="2:12">
      <c r="B102" s="201" t="s">
        <v>202</v>
      </c>
      <c r="C102" s="139">
        <v>37.162999999999997</v>
      </c>
      <c r="D102" s="139">
        <v>35.576000000000001</v>
      </c>
      <c r="E102" s="139">
        <v>31.882000000000001</v>
      </c>
      <c r="F102" s="145">
        <f t="shared" ref="F102:F106" si="45">L102+E102-H102</f>
        <v>33.076000000000001</v>
      </c>
      <c r="G102" s="146"/>
      <c r="H102" s="139">
        <v>7.7320000000000002</v>
      </c>
      <c r="I102" s="139"/>
      <c r="J102" s="139"/>
      <c r="K102" s="139"/>
      <c r="L102" s="139">
        <v>8.9260000000000002</v>
      </c>
    </row>
    <row r="103" spans="2:12">
      <c r="B103" s="201" t="s">
        <v>203</v>
      </c>
      <c r="C103" s="139">
        <v>0</v>
      </c>
      <c r="D103" s="139">
        <v>4.8520000000000003</v>
      </c>
      <c r="E103" s="139">
        <v>5.2510000000000003</v>
      </c>
      <c r="F103" s="145">
        <f t="shared" si="45"/>
        <v>3.6060000000000003</v>
      </c>
      <c r="G103" s="146"/>
      <c r="H103" s="139">
        <v>2.9940000000000002</v>
      </c>
      <c r="I103" s="139"/>
      <c r="J103" s="139"/>
      <c r="K103" s="139"/>
      <c r="L103" s="139">
        <v>1.349</v>
      </c>
    </row>
    <row r="104" spans="2:12">
      <c r="B104" s="201" t="s">
        <v>204</v>
      </c>
      <c r="C104" s="139">
        <v>405.11799999999999</v>
      </c>
      <c r="D104" s="139">
        <v>418.58199999999999</v>
      </c>
      <c r="E104" s="139">
        <v>572.96600000000001</v>
      </c>
      <c r="F104" s="145">
        <f t="shared" si="45"/>
        <v>581.73800000000006</v>
      </c>
      <c r="G104" s="146"/>
      <c r="H104" s="139">
        <v>95.956999999999994</v>
      </c>
      <c r="I104" s="139"/>
      <c r="J104" s="139"/>
      <c r="K104" s="139"/>
      <c r="L104" s="139">
        <v>104.729</v>
      </c>
    </row>
    <row r="105" spans="2:12">
      <c r="B105" s="201" t="s">
        <v>205</v>
      </c>
      <c r="C105" s="139">
        <v>63.482999999999997</v>
      </c>
      <c r="D105" s="139">
        <v>49.219000000000001</v>
      </c>
      <c r="E105" s="139">
        <v>44.938000000000002</v>
      </c>
      <c r="F105" s="145">
        <f t="shared" si="45"/>
        <v>44.545000000000002</v>
      </c>
      <c r="G105" s="146"/>
      <c r="H105" s="139">
        <v>11.323</v>
      </c>
      <c r="I105" s="139"/>
      <c r="J105" s="139"/>
      <c r="K105" s="139"/>
      <c r="L105" s="139">
        <v>10.93</v>
      </c>
    </row>
    <row r="106" spans="2:12">
      <c r="B106" s="201" t="s">
        <v>206</v>
      </c>
      <c r="C106" s="139">
        <v>87.16</v>
      </c>
      <c r="D106" s="139">
        <v>88.561999999999998</v>
      </c>
      <c r="E106" s="139">
        <v>91.141999999999996</v>
      </c>
      <c r="F106" s="145">
        <f t="shared" si="45"/>
        <v>90.770999999999987</v>
      </c>
      <c r="G106" s="146"/>
      <c r="H106" s="139">
        <v>22.763000000000002</v>
      </c>
      <c r="I106" s="139"/>
      <c r="J106" s="139"/>
      <c r="K106" s="139"/>
      <c r="L106" s="139">
        <v>22.391999999999999</v>
      </c>
    </row>
    <row r="107" spans="2:12">
      <c r="B107" s="134" t="s">
        <v>207</v>
      </c>
      <c r="C107" s="140">
        <f>SUM(C102:C106)</f>
        <v>592.92399999999998</v>
      </c>
      <c r="D107" s="140">
        <f>SUM(D102:D106)</f>
        <v>596.79099999999994</v>
      </c>
      <c r="E107" s="140">
        <f>SUM(E102:E106)</f>
        <v>746.17900000000009</v>
      </c>
      <c r="F107" s="140">
        <f>SUM(F102:F106)</f>
        <v>753.73599999999999</v>
      </c>
      <c r="G107" s="140"/>
      <c r="H107" s="140">
        <f>SUM(H102:H106)</f>
        <v>140.76900000000001</v>
      </c>
      <c r="I107" s="140"/>
      <c r="J107" s="140"/>
      <c r="K107" s="140"/>
      <c r="L107" s="140">
        <f>SUM(L102:L106)</f>
        <v>148.32599999999999</v>
      </c>
    </row>
    <row r="108" spans="2:12">
      <c r="B108" s="112" t="s">
        <v>47</v>
      </c>
      <c r="C108" s="144">
        <f>C107-C11</f>
        <v>0</v>
      </c>
      <c r="D108" s="144">
        <f t="shared" ref="D108:H108" si="46">D107-D11</f>
        <v>0</v>
      </c>
      <c r="E108" s="144">
        <f t="shared" si="46"/>
        <v>0</v>
      </c>
      <c r="F108" s="144">
        <f t="shared" si="46"/>
        <v>0</v>
      </c>
      <c r="G108" s="144"/>
      <c r="H108" s="144">
        <f t="shared" si="46"/>
        <v>0</v>
      </c>
      <c r="I108" s="144"/>
      <c r="J108" s="144"/>
      <c r="K108" s="144"/>
      <c r="L108" s="144">
        <f t="shared" ref="L108" si="47">L107-L11</f>
        <v>0</v>
      </c>
    </row>
    <row r="109" spans="2:12">
      <c r="B109" s="112"/>
      <c r="F109" s="144"/>
      <c r="G109" s="144"/>
      <c r="H109" s="144"/>
      <c r="I109" s="144"/>
      <c r="J109" s="144"/>
      <c r="K109" s="144"/>
      <c r="L109" s="144"/>
    </row>
    <row r="110" spans="2:12">
      <c r="B110" s="149" t="s">
        <v>208</v>
      </c>
      <c r="C110" s="144"/>
      <c r="D110" s="144"/>
      <c r="E110" s="144"/>
      <c r="F110" s="144"/>
      <c r="G110" s="144"/>
      <c r="H110" s="144"/>
      <c r="I110" s="144"/>
      <c r="J110" s="144"/>
      <c r="K110" s="144"/>
      <c r="L110" s="144"/>
    </row>
    <row r="111" spans="2:12">
      <c r="B111" s="201" t="s">
        <v>202</v>
      </c>
      <c r="C111" s="147">
        <f>C102/C$107</f>
        <v>6.2677510102475187E-2</v>
      </c>
      <c r="D111" s="147">
        <f t="shared" ref="D111:F111" si="48">D102/D$107</f>
        <v>5.9612159030548388E-2</v>
      </c>
      <c r="E111" s="147">
        <f t="shared" si="48"/>
        <v>4.2727013223368651E-2</v>
      </c>
      <c r="F111" s="147">
        <f t="shared" si="48"/>
        <v>4.3882738783871278E-2</v>
      </c>
      <c r="G111" s="144"/>
      <c r="H111" s="147">
        <f>H102/H$107</f>
        <v>5.4926866000326778E-2</v>
      </c>
      <c r="I111" s="147"/>
      <c r="J111" s="147"/>
      <c r="K111" s="147"/>
      <c r="L111" s="147">
        <f>L102/L$107</f>
        <v>6.01782560036676E-2</v>
      </c>
    </row>
    <row r="112" spans="2:12">
      <c r="B112" s="201" t="s">
        <v>203</v>
      </c>
      <c r="C112" s="147">
        <f t="shared" ref="C112:F115" si="49">C103/C$107</f>
        <v>0</v>
      </c>
      <c r="D112" s="147">
        <f t="shared" si="49"/>
        <v>8.1301494157921296E-3</v>
      </c>
      <c r="E112" s="147">
        <f t="shared" si="49"/>
        <v>7.0371854474596575E-3</v>
      </c>
      <c r="F112" s="147">
        <f t="shared" si="49"/>
        <v>4.784168462167125E-3</v>
      </c>
      <c r="G112" s="144"/>
      <c r="H112" s="147">
        <f t="shared" ref="H112" si="50">H103/H$107</f>
        <v>2.1268887326044799E-2</v>
      </c>
      <c r="I112" s="147"/>
      <c r="J112" s="147"/>
      <c r="K112" s="147"/>
      <c r="L112" s="147">
        <f t="shared" ref="L112" si="51">L103/L$107</f>
        <v>9.0948316545986542E-3</v>
      </c>
    </row>
    <row r="113" spans="2:12">
      <c r="B113" s="201" t="s">
        <v>204</v>
      </c>
      <c r="C113" s="147">
        <f t="shared" si="49"/>
        <v>0.68325451491253519</v>
      </c>
      <c r="D113" s="147">
        <f t="shared" si="49"/>
        <v>0.70138792307524755</v>
      </c>
      <c r="E113" s="147">
        <f t="shared" si="49"/>
        <v>0.7678666915043173</v>
      </c>
      <c r="F113" s="147">
        <f t="shared" si="49"/>
        <v>0.77180604349533533</v>
      </c>
      <c r="G113" s="144"/>
      <c r="H113" s="147">
        <f t="shared" ref="H113" si="52">H104/H$107</f>
        <v>0.68166286611398808</v>
      </c>
      <c r="I113" s="147"/>
      <c r="J113" s="147"/>
      <c r="K113" s="147"/>
      <c r="L113" s="147">
        <f t="shared" ref="L113" si="53">L104/L$107</f>
        <v>0.70607310923236655</v>
      </c>
    </row>
    <row r="114" spans="2:12">
      <c r="B114" s="201" t="s">
        <v>205</v>
      </c>
      <c r="C114" s="147">
        <f t="shared" si="49"/>
        <v>0.10706768489722122</v>
      </c>
      <c r="D114" s="147">
        <f t="shared" si="49"/>
        <v>8.2472758469883098E-2</v>
      </c>
      <c r="E114" s="147">
        <f t="shared" si="49"/>
        <v>6.0224155330021345E-2</v>
      </c>
      <c r="F114" s="147">
        <f t="shared" si="49"/>
        <v>5.9098941804557568E-2</v>
      </c>
      <c r="G114" s="144"/>
      <c r="H114" s="147">
        <f t="shared" ref="H114" si="54">H105/H$107</f>
        <v>8.0436743885372489E-2</v>
      </c>
      <c r="I114" s="147"/>
      <c r="J114" s="147"/>
      <c r="K114" s="147"/>
      <c r="L114" s="147">
        <f t="shared" ref="L114" si="55">L105/L$107</f>
        <v>7.3689036311907555E-2</v>
      </c>
    </row>
    <row r="115" spans="2:12">
      <c r="B115" s="201" t="s">
        <v>206</v>
      </c>
      <c r="C115" s="147">
        <f t="shared" si="49"/>
        <v>0.14700029008776841</v>
      </c>
      <c r="D115" s="147">
        <f t="shared" si="49"/>
        <v>0.14839701000852895</v>
      </c>
      <c r="E115" s="147">
        <f t="shared" si="49"/>
        <v>0.12214495449483299</v>
      </c>
      <c r="F115" s="147">
        <f t="shared" si="49"/>
        <v>0.12042810745406879</v>
      </c>
      <c r="G115" s="144"/>
      <c r="H115" s="147">
        <f t="shared" ref="H115" si="56">H106/H$107</f>
        <v>0.16170463667426777</v>
      </c>
      <c r="I115" s="147"/>
      <c r="J115" s="147"/>
      <c r="K115" s="147"/>
      <c r="L115" s="147">
        <f t="shared" ref="L115" si="57">L106/L$107</f>
        <v>0.15096476679745965</v>
      </c>
    </row>
    <row r="116" spans="2:12">
      <c r="B116" s="134" t="s">
        <v>207</v>
      </c>
      <c r="C116" s="148">
        <f>SUM(C111:C115)</f>
        <v>0.99999999999999989</v>
      </c>
      <c r="D116" s="148">
        <f t="shared" ref="D116:F116" si="58">SUM(D111:D115)</f>
        <v>1.0000000000000002</v>
      </c>
      <c r="E116" s="148">
        <f t="shared" si="58"/>
        <v>0.99999999999999989</v>
      </c>
      <c r="F116" s="148">
        <f t="shared" si="58"/>
        <v>1</v>
      </c>
      <c r="G116" s="144"/>
      <c r="H116" s="148">
        <f>SUM(H111:H115)</f>
        <v>0.99999999999999978</v>
      </c>
      <c r="I116" s="147"/>
      <c r="J116" s="147"/>
      <c r="K116" s="147"/>
      <c r="L116" s="148">
        <f>SUM(L111:L115)</f>
        <v>1</v>
      </c>
    </row>
    <row r="117" spans="2:12">
      <c r="B117" s="134"/>
      <c r="C117" s="148"/>
      <c r="D117" s="148"/>
      <c r="E117" s="148"/>
      <c r="F117" s="148"/>
      <c r="G117" s="144"/>
      <c r="H117" s="148"/>
      <c r="I117" s="148"/>
      <c r="J117" s="148"/>
      <c r="K117" s="148"/>
      <c r="L117" s="148"/>
    </row>
    <row r="118" spans="2:12">
      <c r="B118" s="112"/>
      <c r="C118" s="144"/>
      <c r="D118" s="144"/>
      <c r="E118" s="144"/>
      <c r="F118" s="144"/>
      <c r="G118" s="144"/>
      <c r="H118" s="144"/>
      <c r="I118" s="144"/>
      <c r="J118" s="144"/>
      <c r="K118" s="144"/>
      <c r="L118" s="144"/>
    </row>
    <row r="119" spans="2:12">
      <c r="B119" s="149" t="s">
        <v>209</v>
      </c>
      <c r="C119" s="144"/>
      <c r="D119" s="144"/>
      <c r="E119" s="144"/>
      <c r="F119" s="144"/>
      <c r="G119" s="144"/>
      <c r="H119" s="144"/>
      <c r="I119" s="144"/>
      <c r="J119" s="144"/>
      <c r="K119" s="144"/>
      <c r="L119" s="144"/>
    </row>
    <row r="120" spans="2:12">
      <c r="B120" s="201" t="s">
        <v>202</v>
      </c>
      <c r="C120" s="150"/>
      <c r="D120" s="147">
        <f>D102/C102-1</f>
        <v>-4.2703764496945795E-2</v>
      </c>
      <c r="E120" s="147">
        <f>E102/D102-1</f>
        <v>-0.10383404542388119</v>
      </c>
      <c r="F120" s="150"/>
      <c r="G120" s="144"/>
      <c r="H120" s="150"/>
      <c r="I120" s="150"/>
      <c r="J120" s="147"/>
      <c r="K120" s="147"/>
      <c r="L120" s="147">
        <f>L102/H102-1</f>
        <v>0.15442317640972592</v>
      </c>
    </row>
    <row r="121" spans="2:12">
      <c r="B121" s="201" t="s">
        <v>203</v>
      </c>
      <c r="C121" s="150"/>
      <c r="D121" s="147" t="e">
        <f t="shared" ref="D121:E125" si="59">D103/C103-1</f>
        <v>#DIV/0!</v>
      </c>
      <c r="E121" s="147">
        <f t="shared" si="59"/>
        <v>8.2234130255564697E-2</v>
      </c>
      <c r="F121" s="150"/>
      <c r="G121" s="144"/>
      <c r="H121" s="150"/>
      <c r="I121" s="150"/>
      <c r="J121" s="147"/>
      <c r="K121" s="147"/>
      <c r="L121" s="147">
        <f t="shared" ref="L121:L125" si="60">L103/H103-1</f>
        <v>-0.54943219772879104</v>
      </c>
    </row>
    <row r="122" spans="2:12">
      <c r="B122" s="201" t="s">
        <v>204</v>
      </c>
      <c r="C122" s="150"/>
      <c r="D122" s="147">
        <f t="shared" si="59"/>
        <v>3.3234761230061416E-2</v>
      </c>
      <c r="E122" s="147">
        <f t="shared" si="59"/>
        <v>0.36882617981661903</v>
      </c>
      <c r="F122" s="150"/>
      <c r="G122" s="144"/>
      <c r="H122" s="150"/>
      <c r="I122" s="150"/>
      <c r="J122" s="147"/>
      <c r="K122" s="147"/>
      <c r="L122" s="147">
        <f t="shared" si="60"/>
        <v>9.1415946726137731E-2</v>
      </c>
    </row>
    <row r="123" spans="2:12">
      <c r="B123" s="201" t="s">
        <v>205</v>
      </c>
      <c r="C123" s="204"/>
      <c r="D123" s="147">
        <f t="shared" si="59"/>
        <v>-0.22469007450813594</v>
      </c>
      <c r="E123" s="147">
        <f t="shared" si="59"/>
        <v>-8.6978605822954469E-2</v>
      </c>
      <c r="F123" s="204"/>
      <c r="G123" s="205"/>
      <c r="H123" s="204"/>
      <c r="I123" s="204"/>
      <c r="J123" s="148"/>
      <c r="K123" s="148"/>
      <c r="L123" s="147">
        <f t="shared" si="60"/>
        <v>-3.4708116223615693E-2</v>
      </c>
    </row>
    <row r="124" spans="2:12">
      <c r="B124" s="201" t="s">
        <v>206</v>
      </c>
      <c r="C124" s="204"/>
      <c r="D124" s="147">
        <f t="shared" si="59"/>
        <v>1.6085360256998582E-2</v>
      </c>
      <c r="E124" s="147">
        <f t="shared" si="59"/>
        <v>2.913213342065446E-2</v>
      </c>
      <c r="F124" s="204"/>
      <c r="G124" s="144"/>
      <c r="H124" s="204"/>
      <c r="I124" s="144"/>
      <c r="J124" s="144"/>
      <c r="K124" s="144"/>
      <c r="L124" s="147">
        <f t="shared" si="60"/>
        <v>-1.6298378948293335E-2</v>
      </c>
    </row>
    <row r="125" spans="2:12">
      <c r="B125" s="134" t="s">
        <v>207</v>
      </c>
      <c r="C125" s="204"/>
      <c r="D125" s="148">
        <f t="shared" si="59"/>
        <v>6.5219151189697122E-3</v>
      </c>
      <c r="E125" s="148">
        <f t="shared" si="59"/>
        <v>0.25031878831952925</v>
      </c>
      <c r="F125" s="204"/>
      <c r="G125" s="144"/>
      <c r="H125" s="204"/>
      <c r="I125" s="144"/>
      <c r="J125" s="144"/>
      <c r="K125" s="144"/>
      <c r="L125" s="148">
        <f t="shared" si="60"/>
        <v>5.3683694563433582E-2</v>
      </c>
    </row>
    <row r="126" spans="2:12">
      <c r="B126" s="134"/>
      <c r="C126" s="144"/>
      <c r="D126" s="144"/>
      <c r="E126" s="144"/>
      <c r="F126" s="144"/>
      <c r="G126" s="144"/>
      <c r="H126" s="144"/>
      <c r="I126" s="144"/>
      <c r="J126" s="144"/>
      <c r="K126" s="144"/>
      <c r="L126" s="144"/>
    </row>
    <row r="127" spans="2:12">
      <c r="B127" s="134"/>
      <c r="C127" s="144"/>
      <c r="D127" s="144"/>
      <c r="E127" s="144"/>
      <c r="F127" s="144"/>
      <c r="G127" s="144"/>
      <c r="H127" s="144"/>
      <c r="I127" s="144"/>
      <c r="J127" s="144"/>
      <c r="K127" s="144"/>
      <c r="L127" s="144"/>
    </row>
    <row r="128" spans="2:12">
      <c r="B128" s="134"/>
      <c r="C128" s="144"/>
      <c r="D128" s="144"/>
      <c r="E128" s="144"/>
      <c r="F128" s="144"/>
      <c r="G128" s="144"/>
      <c r="H128" s="144"/>
      <c r="I128" s="144"/>
      <c r="J128" s="144"/>
      <c r="K128" s="144"/>
      <c r="L128" s="144"/>
    </row>
    <row r="129" spans="2:12">
      <c r="B129" s="134"/>
      <c r="C129" s="144"/>
      <c r="D129" s="144"/>
      <c r="E129" s="144"/>
      <c r="F129" s="144"/>
      <c r="G129" s="144"/>
      <c r="H129" s="144"/>
      <c r="I129" s="144"/>
      <c r="J129" s="144"/>
      <c r="K129" s="144"/>
      <c r="L129" s="144"/>
    </row>
    <row r="130" spans="2:12">
      <c r="B130" s="134"/>
      <c r="C130" s="144"/>
      <c r="D130" s="144"/>
      <c r="E130" s="144"/>
      <c r="F130" s="144"/>
      <c r="G130" s="144"/>
      <c r="H130" s="144"/>
      <c r="I130" s="144"/>
      <c r="J130" s="144"/>
      <c r="K130" s="144"/>
      <c r="L130" s="144"/>
    </row>
    <row r="131" spans="2:12">
      <c r="B131" s="134"/>
      <c r="C131" s="144"/>
      <c r="D131" s="144"/>
      <c r="E131" s="144"/>
      <c r="F131" s="144"/>
      <c r="G131" s="144"/>
      <c r="H131" s="144"/>
      <c r="I131" s="144"/>
      <c r="J131" s="144"/>
      <c r="K131" s="144"/>
      <c r="L131" s="144"/>
    </row>
    <row r="132" spans="2:12">
      <c r="B132" s="134"/>
      <c r="C132" s="144"/>
      <c r="D132" s="144"/>
      <c r="E132" s="144"/>
      <c r="F132" s="144"/>
      <c r="G132" s="144"/>
      <c r="H132" s="144"/>
      <c r="I132" s="144"/>
      <c r="J132" s="144"/>
      <c r="K132" s="144"/>
      <c r="L132" s="144"/>
    </row>
    <row r="133" spans="2:12">
      <c r="B133" s="134"/>
      <c r="C133" s="144"/>
      <c r="D133" s="144"/>
      <c r="E133" s="144"/>
      <c r="F133" s="144"/>
      <c r="G133" s="144"/>
      <c r="H133" s="144"/>
      <c r="I133" s="144"/>
      <c r="J133" s="144"/>
      <c r="K133" s="144"/>
      <c r="L133" s="144"/>
    </row>
    <row r="134" spans="2:12">
      <c r="B134" s="134"/>
      <c r="C134" s="144"/>
      <c r="D134" s="144"/>
      <c r="E134" s="144"/>
      <c r="F134" s="144"/>
      <c r="G134" s="144"/>
      <c r="H134" s="144"/>
      <c r="I134" s="144"/>
      <c r="J134" s="144"/>
      <c r="K134" s="144"/>
      <c r="L134" s="144"/>
    </row>
    <row r="135" spans="2:12">
      <c r="B135" s="134"/>
      <c r="C135" s="144"/>
      <c r="D135" s="144"/>
      <c r="E135" s="144"/>
      <c r="F135" s="144"/>
      <c r="G135" s="144"/>
      <c r="H135" s="144"/>
      <c r="I135" s="144"/>
      <c r="J135" s="144"/>
      <c r="K135" s="144"/>
      <c r="L135" s="144"/>
    </row>
    <row r="136" spans="2:12">
      <c r="B136" s="134"/>
      <c r="C136" s="144"/>
      <c r="D136" s="144"/>
      <c r="E136" s="144"/>
      <c r="F136" s="144"/>
      <c r="G136" s="144"/>
      <c r="H136" s="144"/>
      <c r="I136" s="144"/>
      <c r="J136" s="144"/>
      <c r="K136" s="144"/>
      <c r="L136" s="144"/>
    </row>
    <row r="137" spans="2:12">
      <c r="B137" s="134"/>
      <c r="C137" s="144"/>
      <c r="D137" s="144"/>
      <c r="E137" s="144"/>
      <c r="F137" s="144"/>
      <c r="G137" s="144"/>
      <c r="H137" s="144"/>
      <c r="I137" s="144"/>
      <c r="J137" s="144"/>
      <c r="K137" s="144"/>
      <c r="L137" s="144"/>
    </row>
    <row r="138" spans="2:12">
      <c r="B138" s="134"/>
      <c r="C138" s="144"/>
      <c r="D138" s="144"/>
      <c r="E138" s="144"/>
      <c r="F138" s="144"/>
      <c r="G138" s="144"/>
      <c r="H138" s="144"/>
      <c r="I138" s="144"/>
      <c r="J138" s="144"/>
      <c r="K138" s="144"/>
      <c r="L138" s="144"/>
    </row>
    <row r="139" spans="2:12">
      <c r="B139" s="134"/>
      <c r="C139" s="144"/>
      <c r="D139" s="144"/>
      <c r="E139" s="144"/>
      <c r="F139" s="144"/>
      <c r="G139" s="144"/>
      <c r="H139" s="144"/>
      <c r="I139" s="144"/>
      <c r="J139" s="144"/>
      <c r="K139" s="144"/>
      <c r="L139" s="144"/>
    </row>
    <row r="140" spans="2:12">
      <c r="B140" s="134"/>
      <c r="C140" s="144"/>
      <c r="D140" s="144"/>
      <c r="E140" s="144"/>
      <c r="F140" s="144"/>
      <c r="G140" s="144"/>
      <c r="H140" s="144"/>
      <c r="I140" s="144"/>
      <c r="J140" s="144"/>
      <c r="K140" s="144"/>
      <c r="L140" s="144"/>
    </row>
    <row r="141" spans="2:12">
      <c r="B141" s="134"/>
      <c r="C141" s="144"/>
      <c r="D141" s="144"/>
      <c r="E141" s="144"/>
      <c r="F141" s="144"/>
      <c r="G141" s="144"/>
      <c r="H141" s="144"/>
      <c r="I141" s="144"/>
      <c r="J141" s="144"/>
      <c r="K141" s="144"/>
      <c r="L141" s="144"/>
    </row>
    <row r="142" spans="2:12">
      <c r="B142" s="134"/>
      <c r="C142" s="144"/>
      <c r="D142" s="144"/>
      <c r="E142" s="144"/>
      <c r="F142" s="144"/>
      <c r="G142" s="144"/>
      <c r="H142" s="144"/>
      <c r="I142" s="144"/>
      <c r="J142" s="144"/>
      <c r="K142" s="144"/>
      <c r="L142" s="144"/>
    </row>
    <row r="143" spans="2:12">
      <c r="B143" s="134"/>
      <c r="C143" s="144"/>
      <c r="D143" s="144"/>
      <c r="E143" s="144"/>
      <c r="F143" s="144"/>
      <c r="G143" s="144"/>
      <c r="H143" s="144"/>
      <c r="I143" s="144"/>
      <c r="J143" s="144"/>
      <c r="K143" s="144"/>
      <c r="L143" s="144"/>
    </row>
    <row r="144" spans="2:12">
      <c r="B144" s="134"/>
      <c r="C144" s="134"/>
      <c r="D144" s="134"/>
      <c r="E144" s="134"/>
      <c r="F144" s="134"/>
      <c r="G144" s="144"/>
      <c r="H144" s="134"/>
      <c r="I144" s="134"/>
      <c r="J144" s="134"/>
      <c r="K144" s="134"/>
      <c r="L144" s="13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0E44D-157B-493D-84A7-67B39C0ED396}">
  <dimension ref="B2:L7"/>
  <sheetViews>
    <sheetView showGridLines="0" zoomScale="115" zoomScaleNormal="115" workbookViewId="0">
      <selection activeCell="P1" sqref="P1"/>
    </sheetView>
  </sheetViews>
  <sheetFormatPr defaultRowHeight="12.75"/>
  <cols>
    <col min="1" max="1" width="2.7109375" customWidth="1"/>
    <col min="2" max="2" width="50.7109375" customWidth="1"/>
    <col min="3" max="8" width="12.7109375" customWidth="1"/>
    <col min="9" max="11" width="12.7109375" hidden="1" customWidth="1"/>
    <col min="12" max="16" width="12.7109375" customWidth="1"/>
  </cols>
  <sheetData>
    <row r="2" spans="2:12" ht="21">
      <c r="B2" s="3" t="str">
        <f>Model!B2</f>
        <v xml:space="preserve">Telecommunications Services of Trinidad and Tobago Limited </v>
      </c>
      <c r="C2" s="174"/>
      <c r="D2" s="174"/>
      <c r="E2" s="174"/>
      <c r="F2" s="198"/>
      <c r="G2" s="157"/>
      <c r="H2" s="198"/>
      <c r="I2" s="198"/>
      <c r="J2" s="198"/>
      <c r="K2" s="198"/>
      <c r="L2" s="198"/>
    </row>
    <row r="3" spans="2:12">
      <c r="B3" s="4" t="str">
        <f>Model!B3</f>
        <v>(Trinidad and Tobago Dollars millions)</v>
      </c>
      <c r="C3" s="175"/>
      <c r="D3" s="175"/>
      <c r="E3" s="175"/>
      <c r="F3" s="199"/>
      <c r="G3" s="157"/>
      <c r="H3" s="199"/>
      <c r="I3" s="199"/>
      <c r="J3" s="199"/>
      <c r="K3" s="199"/>
      <c r="L3" s="199"/>
    </row>
    <row r="4" spans="2:12">
      <c r="B4" s="43"/>
      <c r="C4" s="175"/>
      <c r="D4" s="175"/>
      <c r="E4" s="175"/>
      <c r="F4" s="199"/>
      <c r="G4" s="158"/>
      <c r="H4" s="199"/>
      <c r="I4" s="199"/>
      <c r="J4" s="199"/>
      <c r="K4" s="199"/>
      <c r="L4" s="199"/>
    </row>
    <row r="5" spans="2:12">
      <c r="B5" s="12"/>
      <c r="C5" s="159"/>
      <c r="D5" s="159"/>
      <c r="E5" s="159"/>
      <c r="F5" s="161"/>
      <c r="G5" s="160"/>
      <c r="H5" s="159"/>
      <c r="I5" s="159"/>
      <c r="J5" s="159"/>
      <c r="K5" s="161"/>
      <c r="L5" s="159"/>
    </row>
    <row r="6" spans="2:12">
      <c r="B6" s="43"/>
      <c r="C6" s="15"/>
      <c r="D6" s="15"/>
      <c r="E6" s="15"/>
      <c r="F6" s="16"/>
      <c r="G6" s="12"/>
      <c r="H6" s="16"/>
      <c r="I6" s="16"/>
      <c r="J6" s="16"/>
      <c r="K6" s="16"/>
      <c r="L6" s="16"/>
    </row>
    <row r="7" spans="2:12">
      <c r="C7" s="68"/>
      <c r="D7" s="6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Capitalisation</vt:lpstr>
      <vt:lpstr>Model</vt:lpstr>
      <vt:lpstr>KPI</vt:lpstr>
      <vt:lpstr>Others</vt:lpstr>
    </vt:vector>
  </TitlesOfParts>
  <Company>MassMutual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</dc:creator>
  <cp:lastModifiedBy>CRISIL</cp:lastModifiedBy>
  <cp:lastPrinted>2020-03-26T08:08:14Z</cp:lastPrinted>
  <dcterms:created xsi:type="dcterms:W3CDTF">2008-03-12T15:44:19Z</dcterms:created>
  <dcterms:modified xsi:type="dcterms:W3CDTF">2026-10-22T04:37:30Z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{8D3C93BF-E6B8-4ECB-AC25-765FF70B1B67}</vt:lpwstr>
  </property>
  <property fmtid="{D5CDD505-2E9C-101B-9397-08002B2CF9AE}" pid="3" name="MSIP_Label_8c63c790-1b4f-473b-b88f-a693ca173b52_Enabled">
    <vt:lpwstr>true</vt:lpwstr>
  </property>
  <property fmtid="{D5CDD505-2E9C-101B-9397-08002B2CF9AE}" pid="4" name="MSIP_Label_8c63c790-1b4f-473b-b88f-a693ca173b52_SetDate">
    <vt:lpwstr>2022-08-08T14:48:21Z</vt:lpwstr>
  </property>
  <property fmtid="{D5CDD505-2E9C-101B-9397-08002B2CF9AE}" pid="5" name="MSIP_Label_8c63c790-1b4f-473b-b88f-a693ca173b52_Method">
    <vt:lpwstr>Privileged</vt:lpwstr>
  </property>
  <property fmtid="{D5CDD505-2E9C-101B-9397-08002B2CF9AE}" pid="6" name="MSIP_Label_8c63c790-1b4f-473b-b88f-a693ca173b52_Name">
    <vt:lpwstr>Internal</vt:lpwstr>
  </property>
  <property fmtid="{D5CDD505-2E9C-101B-9397-08002B2CF9AE}" pid="7" name="MSIP_Label_8c63c790-1b4f-473b-b88f-a693ca173b52_SiteId">
    <vt:lpwstr>4d8b04bf-7a7c-48a0-b6e3-38da5008297e</vt:lpwstr>
  </property>
  <property fmtid="{D5CDD505-2E9C-101B-9397-08002B2CF9AE}" pid="8" name="MSIP_Label_8c63c790-1b4f-473b-b88f-a693ca173b52_ActionId">
    <vt:lpwstr>47ec64f0-9803-4e34-a9ec-6bb627ade86c</vt:lpwstr>
  </property>
  <property fmtid="{D5CDD505-2E9C-101B-9397-08002B2CF9AE}" pid="9" name="MSIP_Label_8c63c790-1b4f-473b-b88f-a693ca173b52_ContentBits">
    <vt:lpwstr>0</vt:lpwstr>
  </property>
</Properties>
</file>