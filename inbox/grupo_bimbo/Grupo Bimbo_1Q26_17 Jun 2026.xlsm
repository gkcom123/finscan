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risil-my.sharepoint.com/personal/lokeshk_ad_crisil_com/Documents/1_Team_Fixed Income (Credit)/Bara Model Work/Bara - Model Update/WIP/Jun 2026 - Grupo Bimbo/1Q26/"/>
    </mc:Choice>
  </mc:AlternateContent>
  <xr:revisionPtr revIDLastSave="0" documentId="8_{ADA418F5-A849-402E-B0C6-6C746E4D206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pitalisation" sheetId="17" r:id="rId1"/>
    <sheet name="Model" sheetId="15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\A">#REF!</definedName>
    <definedName name="\B">#REF!</definedName>
    <definedName name="\C">#REF!</definedName>
    <definedName name="\L">#REF!</definedName>
    <definedName name="\M">#REF!</definedName>
    <definedName name="\P">#REF!</definedName>
    <definedName name="\Y">#REF!</definedName>
    <definedName name="__FDS_HYPERLINK_TOGGLE_STATE__" hidden="1">"ON"</definedName>
    <definedName name="_01_30_04" localSheetId="0">MonthlyOpStats</definedName>
    <definedName name="_01_30_04" localSheetId="1">MonthlyOpStats</definedName>
    <definedName name="_01_30_04">MonthlyOpStats</definedName>
    <definedName name="_1_30_01" localSheetId="0">MonthlyOpStats</definedName>
    <definedName name="_1_30_01" localSheetId="1">MonthlyOpStats</definedName>
    <definedName name="_1_30_01">MonthlyOpStats</definedName>
    <definedName name="_1_30_02" localSheetId="0">MonthlyOpStats</definedName>
    <definedName name="_1_30_02" localSheetId="1">MonthlyOpStats</definedName>
    <definedName name="_1_30_02">MonthlyOpStats</definedName>
    <definedName name="_1_31_01" localSheetId="0">MonthlyOpStats</definedName>
    <definedName name="_1_31_01" localSheetId="1">MonthlyOpStats</definedName>
    <definedName name="_1_31_01">MonthlyOpStats</definedName>
    <definedName name="_1_31_02" localSheetId="0">MonthlyOpStats</definedName>
    <definedName name="_1_31_02" localSheetId="1">MonthlyOpStats</definedName>
    <definedName name="_1_31_02">MonthlyOpStats</definedName>
    <definedName name="_12_31_05" localSheetId="0">MonthlyOpStats</definedName>
    <definedName name="_12_31_05" localSheetId="1">MonthlyOpStats</definedName>
    <definedName name="_12_31_05">MonthlyOpStats</definedName>
    <definedName name="_A">#REF!</definedName>
    <definedName name="_A___0">#REF!</definedName>
    <definedName name="_B">#REF!</definedName>
    <definedName name="_B___0">#REF!</definedName>
    <definedName name="_C">#REF!</definedName>
    <definedName name="_C___0">#REF!</definedName>
    <definedName name="_Common_Size_Income_Statement" localSheetId="1" function="1" xlm="1">[1]Model!#REF!</definedName>
    <definedName name="_Common_Size_Income_Statement" function="1" xlm="1">[1]Model!#REF!</definedName>
    <definedName name="_ent1">[2]Inputs!$J$17</definedName>
    <definedName name="_ent10">[2]Inputs!$J$476</definedName>
    <definedName name="_ent11">[2]Inputs!$J$527</definedName>
    <definedName name="_ent12">[2]Inputs!$J$578</definedName>
    <definedName name="_ent13">[2]Inputs!$J$629</definedName>
    <definedName name="_ent14">[2]Inputs!$J$680</definedName>
    <definedName name="_ent15">[2]Inputs!$J$731</definedName>
    <definedName name="_ent2">[2]Inputs!$J$68</definedName>
    <definedName name="_ent3">[2]Inputs!$J$119</definedName>
    <definedName name="_ent4">[2]Inputs!$J$170</definedName>
    <definedName name="_ent5">[2]Inputs!$J$221</definedName>
    <definedName name="_ent6">[2]Inputs!$J$272</definedName>
    <definedName name="_ent7">[2]Inputs!$J$323</definedName>
    <definedName name="_ent8">[2]Inputs!$J$374</definedName>
    <definedName name="_ent9">[2]Inputs!$J$425</definedName>
    <definedName name="_eps1">[2]Inputs!$P$42</definedName>
    <definedName name="_eps10">[2]Inputs!$P$501</definedName>
    <definedName name="_eps11">[2]Inputs!$P$552</definedName>
    <definedName name="_eps12">[2]Inputs!$P$603</definedName>
    <definedName name="_eps13">[2]Inputs!$P$654</definedName>
    <definedName name="_eps14">[2]Inputs!$P$705</definedName>
    <definedName name="_eps15">[2]Inputs!$P$756</definedName>
    <definedName name="_eps2">[2]Inputs!$P$93</definedName>
    <definedName name="_eps3">[2]Inputs!$P$144</definedName>
    <definedName name="_eps4">[2]Inputs!$P$195</definedName>
    <definedName name="_eps5">[2]Inputs!$P$246</definedName>
    <definedName name="_eps6">[2]Inputs!$P$297</definedName>
    <definedName name="_eps7">[2]Inputs!$P$348</definedName>
    <definedName name="_eps8">[2]Inputs!$P$399</definedName>
    <definedName name="_eps9">[2]Inputs!$P$450</definedName>
    <definedName name="_Fill" localSheetId="1" hidden="1">[3]FxdChg!#REF!</definedName>
    <definedName name="_Fill" hidden="1">[3]FxdChg!#REF!</definedName>
    <definedName name="_xlnm._FilterDatabase" localSheetId="1" hidden="1">Model!#REF!</definedName>
    <definedName name="_fye1">[2]Inputs!$E$12</definedName>
    <definedName name="_fye10">[2]Inputs!$E$471</definedName>
    <definedName name="_fye11">[2]Inputs!$E$522</definedName>
    <definedName name="_fye12">[2]Inputs!$E$573</definedName>
    <definedName name="_fye13">[2]Inputs!$E$624</definedName>
    <definedName name="_fye14">[2]Inputs!$E$675</definedName>
    <definedName name="_fye15">[2]Inputs!$E$726</definedName>
    <definedName name="_fye2">[2]Inputs!$E$63</definedName>
    <definedName name="_fye3">[2]Inputs!$E$114</definedName>
    <definedName name="_fye4">[2]Inputs!$E$165</definedName>
    <definedName name="_fye5">[2]Inputs!$E$216</definedName>
    <definedName name="_fye6">[2]Inputs!$E$267</definedName>
    <definedName name="_fye7">[2]Inputs!$E$318</definedName>
    <definedName name="_fye8">[2]Inputs!$E$369</definedName>
    <definedName name="_fye9">[2]Inputs!$E$420</definedName>
    <definedName name="_GEI_Returns" localSheetId="1">[1]Model!#REF!</definedName>
    <definedName name="_GEI_Returns">[1]Model!#REF!</definedName>
    <definedName name="_L">#REF!</definedName>
    <definedName name="_L___0">#REF!</definedName>
    <definedName name="_mv1">[2]Inputs!$J$16</definedName>
    <definedName name="_mv10">[2]Inputs!$J$475</definedName>
    <definedName name="_mv11">[2]Inputs!$J$526</definedName>
    <definedName name="_mv12">[2]Inputs!$J$577</definedName>
    <definedName name="_mv13">[2]Inputs!$J$628</definedName>
    <definedName name="_mv14">[2]Inputs!$J$679</definedName>
    <definedName name="_mv15">[2]Inputs!$J$730</definedName>
    <definedName name="_mv2">[2]Inputs!$J$67</definedName>
    <definedName name="_mv3">[2]Inputs!$J$118</definedName>
    <definedName name="_mv4">[2]Inputs!$J$169</definedName>
    <definedName name="_mv5">[2]Inputs!$J$220</definedName>
    <definedName name="_mv6">[2]Inputs!$J$271</definedName>
    <definedName name="_mv7">[2]Inputs!$J$322</definedName>
    <definedName name="_mv8">[2]Inputs!$J$373</definedName>
    <definedName name="_mv9">[2]Inputs!$J$424</definedName>
    <definedName name="_Order1" hidden="1">0</definedName>
    <definedName name="_Order2" hidden="1">0</definedName>
    <definedName name="_P">#REF!</definedName>
    <definedName name="_P___0">#REF!</definedName>
    <definedName name="_Returns" localSheetId="1" function="1" xlm="1">[1]Model!#REF!</definedName>
    <definedName name="_Returns" function="1" xlm="1">[1]Model!#REF!</definedName>
    <definedName name="_Table2_Out" hidden="1">#REF!</definedName>
    <definedName name="_xleta.SUM" hidden="1" xlm="1">#NAME?</definedName>
    <definedName name="_xleta.T" hidden="1" xlm="1">#NAME?</definedName>
    <definedName name="_Y">#REF!</definedName>
    <definedName name="_Y___0">#REF!</definedName>
    <definedName name="Aa_Recovery">#REF!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ccrued_Comp_Sales" localSheetId="1">'[4]Tanning Assumptions'!#REF!</definedName>
    <definedName name="Accrued_Comp_Sales">'[4]Tanning Assumptions'!#REF!</definedName>
    <definedName name="acq">#REF!</definedName>
    <definedName name="acquiror">#REF!</definedName>
    <definedName name="AdSalesCash">#REF!</definedName>
    <definedName name="AdSalesTrade">#REF!</definedName>
    <definedName name="AdSalesWebsite">#REF!</definedName>
    <definedName name="AICORR" localSheetId="1">#REF!</definedName>
    <definedName name="AICORR">#REF!</definedName>
    <definedName name="AllBH">#REF!</definedName>
    <definedName name="allProjects">#REF!</definedName>
    <definedName name="amort" localSheetId="1">[5]Inputs!#REF!</definedName>
    <definedName name="amort">[5]Inputs!#REF!</definedName>
    <definedName name="AP_Sales" localSheetId="1">'[4]Tanning Assumptions'!#REF!</definedName>
    <definedName name="AP_Sales">'[4]Tanning Assumptions'!#REF!</definedName>
    <definedName name="AR_Other_Sales" localSheetId="1">'[4]Tanning Assumptions'!#REF!</definedName>
    <definedName name="AR_Other_Sales">'[4]Tanning Assumptions'!#REF!</definedName>
    <definedName name="AR_Trade_Sales" localSheetId="1">'[4]Tanning Assumptions'!#REF!</definedName>
    <definedName name="AR_Trade_Sales">'[4]Tanning Assumptions'!#REF!</definedName>
    <definedName name="As_Of_Date">[6]Selections!$C$2</definedName>
    <definedName name="asdfa">#REF!</definedName>
    <definedName name="AsOfDate">'[7]AUM YTD 2000'!$W$1</definedName>
    <definedName name="AssetPur" localSheetId="1" function="1" xlm="1">[1]Model!#REF!</definedName>
    <definedName name="AssetPur" function="1" xlm="1">[1]Model!#REF!</definedName>
    <definedName name="ASSUMPTIONS">#REF!</definedName>
    <definedName name="B_S" localSheetId="1">#REF!</definedName>
    <definedName name="B_S">#REF!</definedName>
    <definedName name="Baa_Recovery">#REF!</definedName>
    <definedName name="bal">#REF!</definedName>
    <definedName name="banner2">[8]CONTROL!$D$10</definedName>
    <definedName name="banner2___0">[8]CONTROL!$D$10</definedName>
    <definedName name="Base_Case">#REF!</definedName>
    <definedName name="Billable">#REF!</definedName>
    <definedName name="BillableHeadcount">#REF!</definedName>
    <definedName name="body">#REF!</definedName>
    <definedName name="BREAK_EVEN">#REF!</definedName>
    <definedName name="BREAK_EVEN___0">#REF!</definedName>
    <definedName name="Broadwing__Inc__Cincinnati_Bell">#REF!</definedName>
    <definedName name="brob">#REF!</definedName>
    <definedName name="bs" localSheetId="1">[5]Inputs!#REF!</definedName>
    <definedName name="bs">[5]Inputs!#REF!</definedName>
    <definedName name="case">#REF!</definedName>
    <definedName name="case1">[9]CONTROL!$A$12</definedName>
    <definedName name="case2">[9]CONTROL!$A$13</definedName>
    <definedName name="case3">[9]CONTROL!$A$14</definedName>
    <definedName name="CASH_FLOW" localSheetId="1">#REF!</definedName>
    <definedName name="CASH_FLOW">#REF!</definedName>
    <definedName name="Cash_Sales" localSheetId="1">'[4]Tanning Assumptions'!#REF!</definedName>
    <definedName name="Cash_Sales">'[4]Tanning Assumptions'!#REF!</definedName>
    <definedName name="CASHBUDGET" localSheetId="1">#REF!</definedName>
    <definedName name="CASHBUDGET">#REF!</definedName>
    <definedName name="CASHBUDGET___0" localSheetId="1">#REF!</definedName>
    <definedName name="CASHBUDGET___0">#REF!</definedName>
    <definedName name="CASHFLOWS_MONTH">#REF!</definedName>
    <definedName name="CASHFLOWS_MONTH___0">#REF!</definedName>
    <definedName name="CASHFLOWS_YEARS">#REF!</definedName>
    <definedName name="CASHFLOWS_YEARS___0">#REF!</definedName>
    <definedName name="cashint" localSheetId="1">#REF!</definedName>
    <definedName name="cashint">#REF!</definedName>
    <definedName name="cashint___0" localSheetId="1">#REF!</definedName>
    <definedName name="cashint___0">#REF!</definedName>
    <definedName name="CBHC">#REF!</definedName>
    <definedName name="cfl">#REF!</definedName>
    <definedName name="ChartDataRange">#REF!</definedName>
    <definedName name="CINC" localSheetId="1">#REF!</definedName>
    <definedName name="CINC">#REF!</definedName>
    <definedName name="CIQWBGuid" hidden="1">"fe11afdc-3680-4d2f-9ee3-302108305d98"</definedName>
    <definedName name="circ" localSheetId="1">[5]Inputs!#REF!</definedName>
    <definedName name="circ">[5]Inputs!#REF!</definedName>
    <definedName name="CircRev">#REF!</definedName>
    <definedName name="Class_3_Agg_Cash" localSheetId="1">[10]Revolver!#REF!</definedName>
    <definedName name="Class_3_Agg_Cash">[10]Revolver!#REF!</definedName>
    <definedName name="Class_3_Amt_BET" localSheetId="1">[10]Revolver!#REF!</definedName>
    <definedName name="Class_3_Amt_BET">[10]Revolver!#REF!</definedName>
    <definedName name="Class_A_Interest">#REF!</definedName>
    <definedName name="Class_A_Principal">#REF!</definedName>
    <definedName name="Class_B_Interest">#REF!</definedName>
    <definedName name="Class_B_Principal">#REF!</definedName>
    <definedName name="Class_C_Payment">#REF!</definedName>
    <definedName name="ClassABC">'[6]Debt Structure'!$AN$7</definedName>
    <definedName name="ClassABCD">'[6]Debt Structure'!$AN$8</definedName>
    <definedName name="ClassABCDE">'[6]Debt Structure'!$AN$9</definedName>
    <definedName name="Clients" localSheetId="1">#REF!</definedName>
    <definedName name="Clients">#REF!</definedName>
    <definedName name="closing_date">#REF!</definedName>
    <definedName name="closingttmrevenue">#REF!</definedName>
    <definedName name="CMBSIG" localSheetId="1">#REF!</definedName>
    <definedName name="CMBSIG">#REF!</definedName>
    <definedName name="Column_Lookup">'[11]MASTER DRIVER'!$C$5:$D$29</definedName>
    <definedName name="COMBINED_J_W__3_111403_JUP_IND_PROFORMA_List">#REF!</definedName>
    <definedName name="company">[12]CONTROL!$D$7</definedName>
    <definedName name="company___0">[8]CONTROL!$D$7</definedName>
    <definedName name="cons">#REF!</definedName>
    <definedName name="consultants">#REF!</definedName>
    <definedName name="contrib2" localSheetId="0" hidden="1">{"page1",#N/A,FALSE,"Temp";"page2",#N/A,FALSE,"Temp";"page3",#N/A,FALSE,"Temp";"page4",#N/A,FALSE,"Temp";"page5",#N/A,FALSE,"Temp";"page6",#N/A,FALSE,"Temp"}</definedName>
    <definedName name="contrib2" hidden="1">{"page1",#N/A,FALSE,"Temp";"page2",#N/A,FALSE,"Temp";"page3",#N/A,FALSE,"Temp";"page4",#N/A,FALSE,"Temp";"page5",#N/A,FALSE,"Temp";"page6",#N/A,FALSE,"Temp"}</definedName>
    <definedName name="contrib3" localSheetId="0" hidden="1">{"page1",#N/A,FALSE,"Temp";"page2",#N/A,FALSE,"Temp";"page3",#N/A,FALSE,"Temp";"page4",#N/A,FALSE,"Temp";"page5",#N/A,FALSE,"Temp";"page6",#N/A,FALSE,"Temp"}</definedName>
    <definedName name="contrib3" hidden="1">{"page1",#N/A,FALSE,"Temp";"page2",#N/A,FALSE,"Temp";"page3",#N/A,FALSE,"Temp";"page4",#N/A,FALSE,"Temp";"page5",#N/A,FALSE,"Temp";"page6",#N/A,FALSE,"Temp"}</definedName>
    <definedName name="convertamt">#REF!</definedName>
    <definedName name="convertamt___0">#REF!</definedName>
    <definedName name="convertper">#REF!</definedName>
    <definedName name="convertper___0">#REF!</definedName>
    <definedName name="CorpName">'[13]MASTER DRIVERS'!$A$1</definedName>
    <definedName name="COSTREPORT">#REF!</definedName>
    <definedName name="COSTREPORT___0">#REF!</definedName>
    <definedName name="counter" localSheetId="1">'[14]Portfolio Input'!#REF!</definedName>
    <definedName name="counter">'[14]Portfolio Input'!#REF!</definedName>
    <definedName name="counter2" localSheetId="1">'[14]Portfolio Input'!#REF!</definedName>
    <definedName name="counter2">'[14]Portfolio Input'!#REF!</definedName>
    <definedName name="Coupon">[15]Inputs!$J$30</definedName>
    <definedName name="CSEnd">#REF!</definedName>
    <definedName name="CSHO" localSheetId="1">#REF!</definedName>
    <definedName name="CSHO">#REF!</definedName>
    <definedName name="CSHPRI" localSheetId="1">#REF!</definedName>
    <definedName name="CSHPRI">#REF!</definedName>
    <definedName name="current1">[2]Inputs!$E$21</definedName>
    <definedName name="current10">[2]Inputs!$E$480</definedName>
    <definedName name="current11">[2]Inputs!$E$531</definedName>
    <definedName name="current12">[2]Inputs!$E$582</definedName>
    <definedName name="current13">[2]Inputs!$E$633</definedName>
    <definedName name="current14">[2]Inputs!$E$684</definedName>
    <definedName name="current15">[2]Inputs!$E$735</definedName>
    <definedName name="current2">[2]Inputs!$E$72</definedName>
    <definedName name="current3">[2]Inputs!$E$123</definedName>
    <definedName name="current4">[2]Inputs!$E$174</definedName>
    <definedName name="current5">[2]Inputs!$E$225</definedName>
    <definedName name="current6">[2]Inputs!$E$276</definedName>
    <definedName name="current7">[2]Inputs!$E$327</definedName>
    <definedName name="current8">[2]Inputs!$E$378</definedName>
    <definedName name="current9">[2]Inputs!$E$429</definedName>
    <definedName name="CustomPubSales">#REF!</definedName>
    <definedName name="Date" localSheetId="1">[16]Comps!#REF!</definedName>
    <definedName name="Date">[16]Comps!#REF!</definedName>
    <definedName name="Date_OC1">OFFSET([6]OCTrends!$B$2,0,0,COUNTA([6]OCTrends!$B$1:$B$65536)-1)</definedName>
    <definedName name="Date_OC2">OFFSET([6]OCTrends!$G$2,0,0,COUNTA([6]OCTrends!$G$1:$G$65536)-1)</definedName>
    <definedName name="Date_OC3">OFFSET([6]OCTrends!$L$2,0,0,COUNTA([6]OCTrends!$L$1:$L$65536)-1)</definedName>
    <definedName name="debtsched" localSheetId="1">[5]Inputs!#REF!</definedName>
    <definedName name="debtsched">[5]Inputs!#REF!</definedName>
    <definedName name="decconsultants">#REF!</definedName>
    <definedName name="decemberemployees">#REF!</definedName>
    <definedName name="decemployees">#REF!</definedName>
    <definedName name="default">#REF!</definedName>
    <definedName name="Default_Scenario">#REF!</definedName>
    <definedName name="Default_Table" localSheetId="1">#REF!</definedName>
    <definedName name="Default_Table">#REF!</definedName>
    <definedName name="Default_Timing">#REF!</definedName>
    <definedName name="depsched" localSheetId="1">[5]Inputs!#REF!</definedName>
    <definedName name="depsched">[5]Inputs!#REF!</definedName>
    <definedName name="DivActual">OFFSET([6]DivTrends!$C$2,0,0,COUNTA([6]DivTrends!$C$1:$C$65536)-1)</definedName>
    <definedName name="DivCovenant">OFFSET([6]DivTrends!$D$2,0,0,COUNTA([6]DivTrends!$D$1:$D$65536)-1)</definedName>
    <definedName name="DivDate">OFFSET([6]DivTrends!$B$2,0,0,COUNTA([6]DivTrends!$B$1:$B$65536)-1)</definedName>
    <definedName name="Diversity">'[7]Actual vs Covenant'!$P$41:$Q$48</definedName>
    <definedName name="DiversityScore">#REF!</definedName>
    <definedName name="earnout">#REF!</definedName>
    <definedName name="earnout___0">#REF!</definedName>
    <definedName name="EBIT">Model!#REF!</definedName>
    <definedName name="EBITDA">#REF!</definedName>
    <definedName name="ebitda1">[2]Inputs!$P$46</definedName>
    <definedName name="ebitda10">[2]Inputs!$P$505</definedName>
    <definedName name="ebitda11">[2]Inputs!$P$556</definedName>
    <definedName name="ebitda12">[2]Inputs!$P$607</definedName>
    <definedName name="ebitda13">[2]Inputs!$P$658</definedName>
    <definedName name="ebitda14">[2]Inputs!$P$709</definedName>
    <definedName name="ebitda15">[2]Inputs!$P$760</definedName>
    <definedName name="ebitda2">[2]Inputs!$P$97</definedName>
    <definedName name="ebitda3">[2]Inputs!$P$148</definedName>
    <definedName name="ebitda4">[2]Inputs!$P$199</definedName>
    <definedName name="ebitda5">[2]Inputs!$P$250</definedName>
    <definedName name="ebitda6">[2]Inputs!$P$301</definedName>
    <definedName name="ebitda7">[2]Inputs!$P$352</definedName>
    <definedName name="ebitda8">[2]Inputs!$P$403</definedName>
    <definedName name="ebitda9">[2]Inputs!$P$454</definedName>
    <definedName name="effective_date">#REF!</definedName>
    <definedName name="ELC1_Top3">[7]TOP10!$D$3</definedName>
    <definedName name="ELC1_Top4">[7]TOP10!$D$8</definedName>
    <definedName name="ELC1FitchRatingChartData">[7]ELC1!$G$2:$H$11</definedName>
    <definedName name="ELC1FitchRatingChartSerial1">[7]ELC1!$H$2:$H$11</definedName>
    <definedName name="ELC1FitchRatingChartXScale">[7]ELC1!$G$2:$G$11</definedName>
    <definedName name="ELC1MoodyRatingChartData">[7]ELC1!$A$2:$B$14</definedName>
    <definedName name="ELC1MoodyRatingChartSerial1">[7]ELC1!$B$2:$B$14</definedName>
    <definedName name="ELC1MoodyRatingChartXScale">[7]ELC1!$A$2:$A$14</definedName>
    <definedName name="ELC1SPRatingChartData">[7]ELC1!$D$2:$E$14</definedName>
    <definedName name="ELC1SPRatingChartSerial1">[7]ELC1!$E$2:$E$14</definedName>
    <definedName name="ELC1SPRatingChartXScale">[7]ELC1!$D$2:$D$14</definedName>
    <definedName name="ELC2_Top3">[7]TOP10!$G$3</definedName>
    <definedName name="ELC2_Top4">[7]TOP10!$G$8</definedName>
    <definedName name="ELC2FitchRatingChartData">[7]ELC2!$G$2:$H$12</definedName>
    <definedName name="ELC2FitchRatingChartSerial1">[7]ELC2!$H$2:$H$12</definedName>
    <definedName name="ELC2FitchRatingChartXScale">[7]ELC2!$G$2:$G$12</definedName>
    <definedName name="ELC2MoodyRatingChartData">[7]ELC2!$A$2:$B$15</definedName>
    <definedName name="ELC2MoodyRatingChartSerial1">[7]ELC2!$B$2:$B$15</definedName>
    <definedName name="ELC2MoodyRatingChartXScale">[7]ELC2!$A$2:$A$15</definedName>
    <definedName name="ELC2SPRatingChartData">[7]ELC2!$D$2:$E$15</definedName>
    <definedName name="ELC2SPRatingChartSerial1">[7]ELC2!$E$2:$E$15</definedName>
    <definedName name="ELC2SPRatingChartXScale">[7]ELC2!$D$2:$D$15</definedName>
    <definedName name="ELC3_Top3">[7]TOP10!$J$3</definedName>
    <definedName name="ELC3_Top4">[7]TOP10!$J$8</definedName>
    <definedName name="ELC3FitchRatingChartData">[7]ELC3!$G$2:$H$14</definedName>
    <definedName name="ELC3FitchRatingChartSerial1">[7]ELC3!$H$2:$H$14</definedName>
    <definedName name="ELC3FitchRatingChartXScale">[7]ELC3!$G$2:$G$14</definedName>
    <definedName name="ELC3MoodyRatingChartData">[7]ELC3!$A$2:$B$15</definedName>
    <definedName name="ELC3MoodyRatingChartSerial1">[7]ELC3!$B$2:$B$15</definedName>
    <definedName name="ELC3MoodyRatingChartXScale">[7]ELC3!$A$2:$A$15</definedName>
    <definedName name="ELC3SPRatingChartData">[7]ELC3!$D$2:$E$16</definedName>
    <definedName name="ELC3SPRatingChartSerial1">[7]ELC3!$E$2:$E$16</definedName>
    <definedName name="ELC3SPRatingChartXScale">[7]ELC3!$D$2:$D$16</definedName>
    <definedName name="ELC4_Top3">[7]TOP10!$M$3</definedName>
    <definedName name="ELC4_Top4">[7]TOP10!$M$8</definedName>
    <definedName name="ELC4FitchRatingChartData">[7]ELC4!$G$2:$H$8</definedName>
    <definedName name="ELC4FitchRatingChartSerial1">[7]ELC4!$H$2:$H$8</definedName>
    <definedName name="ELC4FitchRatingChartXScale">[7]ELC4!$G$2:$G$8</definedName>
    <definedName name="ELC4MoodyRatingChartData">[7]ELC4!$A$2:$B$13</definedName>
    <definedName name="ELC4MoodyRatingChartSerial1">[7]ELC4!$B$2:$B$13</definedName>
    <definedName name="ELC4MoodyRatingChartXScale">[7]ELC4!$A$2:$A$13</definedName>
    <definedName name="ELC4SPRatingChartData">[7]ELC4!$D$2:$E$14</definedName>
    <definedName name="ELC4SPRatingChartSerial1">[7]ELC4!$E$2:$E$14</definedName>
    <definedName name="ELC4SPRatingChartXScale">[7]ELC4!$D$2:$D$14</definedName>
    <definedName name="ELC5_Top3">[7]TOP10!$P$3</definedName>
    <definedName name="ELC5_Top4">[7]TOP10!$P$8</definedName>
    <definedName name="ELC5FitchRatingChartData">[7]ELC5!$G$2:$H$9</definedName>
    <definedName name="ELC5FitchRatingChartSerial1">[7]ELC5!$H$2:$H$9</definedName>
    <definedName name="ELC5FitchRatingChartXScale">[7]ELC5!$G$2:$G$9</definedName>
    <definedName name="ELC5MoodyRatingChartData">[7]ELC5!$A$2:$B$14</definedName>
    <definedName name="ELC5MoodyRatingChartSerial1">[7]ELC5!$B$2:$B$14</definedName>
    <definedName name="ELC5MoodyRatingChartXScale">[7]ELC5!$A$2:$A$14</definedName>
    <definedName name="ELC5SPRatingChartData">[7]ELC5!$D$2:$E$14</definedName>
    <definedName name="ELC5SPRatingChartSerial1">[7]ELC5!$E$2:$E$14</definedName>
    <definedName name="ELC5SPRatingChartXScale">[7]ELC5!$D$2:$D$14</definedName>
    <definedName name="employees">#REF!</definedName>
    <definedName name="EndDay">[6]Selections!$R$3</definedName>
    <definedName name="EndMonth">[6]Selections!$R$2</definedName>
    <definedName name="EndYear">[6]Selections!$R$1</definedName>
    <definedName name="ePrint" localSheetId="1">[17]Consolidated!#REF!</definedName>
    <definedName name="ePrint">[17]Consolidated!#REF!</definedName>
    <definedName name="EQUITY">'[9]S&amp;U'!$E$12</definedName>
    <definedName name="equityamt">#REF!</definedName>
    <definedName name="equityamt___0">#REF!</definedName>
    <definedName name="equityper">#REF!</definedName>
    <definedName name="equityper___0">#REF!</definedName>
    <definedName name="ev.Calculation" hidden="1">-4105</definedName>
    <definedName name="ev.Initialized" hidden="1">FALSE</definedName>
    <definedName name="exe">#REF!</definedName>
    <definedName name="fianal">[18]Preliminary!$A$1:$D$65</definedName>
    <definedName name="filename">[6]Selections!$U$2</definedName>
    <definedName name="Final_Number">#REF!</definedName>
    <definedName name="FinanceRev">#REF!</definedName>
    <definedName name="FinanceRev2">#REF!</definedName>
    <definedName name="firstHourDate">#REF!</definedName>
    <definedName name="firstProject">#REF!</definedName>
    <definedName name="Flat_Swap">#REF!</definedName>
    <definedName name="FSoPacific" localSheetId="0" hidden="1">{"BS",#N/A,FALSE,"USA"}</definedName>
    <definedName name="FSoPacific" hidden="1">{"BS",#N/A,FALSE,"USA"}</definedName>
    <definedName name="Fund">[6]Selections!$A$1</definedName>
    <definedName name="Fwd_Curve">#REF!</definedName>
    <definedName name="FYEMarker">#REF!</definedName>
    <definedName name="FYEMonth">#REF!</definedName>
    <definedName name="G_A_SUMMARY">#REF!</definedName>
    <definedName name="group_quarterly">#REF!</definedName>
    <definedName name="Header1">[19]_01_05_v_Wicks_xls__01_05_v_Wic!$N$1</definedName>
    <definedName name="high1">[2]Inputs!$E$23</definedName>
    <definedName name="high10">[2]Inputs!$E$482</definedName>
    <definedName name="high11">[2]Inputs!$E$533</definedName>
    <definedName name="high12">[2]Inputs!$E$584</definedName>
    <definedName name="high13">[2]Inputs!$E$635</definedName>
    <definedName name="high14">[2]Inputs!$E$686</definedName>
    <definedName name="high15">[2]Inputs!$E$737</definedName>
    <definedName name="high2">[2]Inputs!$E$74</definedName>
    <definedName name="high3">[2]Inputs!$E$125</definedName>
    <definedName name="high4">[2]Inputs!$E$176</definedName>
    <definedName name="high5">[2]Inputs!$E$227</definedName>
    <definedName name="high6">[2]Inputs!$E$278</definedName>
    <definedName name="high7">[2]Inputs!$E$329</definedName>
    <definedName name="high8">[2]Inputs!$E$380</definedName>
    <definedName name="high9">[2]Inputs!$E$431</definedName>
    <definedName name="hl" localSheetId="1">'[20]LBO Summary'!#REF!</definedName>
    <definedName name="hl">'[20]LBO Summary'!#REF!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IC1Actual">OFFSET([6]ICTrends!$C$2,0,0,COUNTA([6]ICTrends!$C$1:$C$65536)-1)</definedName>
    <definedName name="IC1ChartTitle">[6]ICTrends!$W$1</definedName>
    <definedName name="IC1Covenant">OFFSET([6]ICTrends!$D$2,0,0,COUNTA([6]ICTrends!$D$1:$D$65536)-1)</definedName>
    <definedName name="IC1Date">OFFSET([6]ICTrends!$B$2,0,0,COUNTA([6]ICTrends!$B$1:$B$65536)-1)</definedName>
    <definedName name="IC2Actual">OFFSET([6]ICTrends!$H$2,0,0,COUNTA([6]ICTrends!$H$1:$H$65536)-1)</definedName>
    <definedName name="IC2Covenant">OFFSET([6]ICTrends!$I$2,0,0,COUNTA([6]ICTrends!$I$1:$I$65536)-1)</definedName>
    <definedName name="IC2Date">OFFSET([6]ICTrends!$G$2,0,0,COUNTA([6]ICTrends!$G$1:$G$65536)-1)</definedName>
    <definedName name="IC3Actual">OFFSET([6]ICTrends!$M$2,0,0,COUNTA([6]ICTrends!$M$1:$M$65536)-1)</definedName>
    <definedName name="IC3Covenant">OFFSET([6]ICTrends!$N$2,0,0,COUNTA([6]ICTrends!$N$1:$N$65536)-1)</definedName>
    <definedName name="IC3Date">OFFSET([6]ICTrends!$L$2,0,0,COUNTA([6]ICTrends!$L$1:$L$65536)-1)</definedName>
    <definedName name="IC4Actual">OFFSET([6]ICTrends!$R$2,0,0,COUNTA([6]ICTrends!$R$1:$R$65536)-1)</definedName>
    <definedName name="IC4Covenant">OFFSET([6]ICTrends!$S$2,0,0,COUNTA([6]ICTrends!$S$1:$S$65536)-1)</definedName>
    <definedName name="IC4Date">OFFSET([6]ICTrends!$Q$2,0,0,COUNTA([6]ICTrends!$Q$1:$Q$65536)-1)</definedName>
    <definedName name="inc">#REF!</definedName>
    <definedName name="incsyntog">#REF!</definedName>
    <definedName name="incsyntog___0">#REF!</definedName>
    <definedName name="inputs">#REF!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APEX_BR" hidden="1">"c111"</definedName>
    <definedName name="IQ_CH">110000</definedName>
    <definedName name="IQ_CHANGE_AP_BR" hidden="1">"c135"</definedName>
    <definedName name="IQ_CHANGE_AR_BR" hidden="1">"c142"</definedName>
    <definedName name="IQ_CHANGE_OTHER_NET_OPER_ASSETS_BR" hidden="1">"c3595"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ONV_RATE" hidden="1">"c2192"</definedName>
    <definedName name="IQ_CQ">5000</definedName>
    <definedName name="IQ_CURRENCY_GAIN_BR" hidden="1">"c236"</definedName>
    <definedName name="IQ_CURRENT_PORT_DEBT_BR" hidden="1">"c1567"</definedName>
    <definedName name="IQ_CY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BT_BR" hidden="1">"c378"</definedName>
    <definedName name="IQ_EBT_EXCL_BR" hidden="1">"c381"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EPS_SURPRISE" hidden="1">"c1635"</definedName>
    <definedName name="IQ_EV_OVER_REVENUE_EST" hidden="1">"IQ_EV_OVER_REVENUE_EST"</definedName>
    <definedName name="IQ_EV_OVER_REVENUE_EST_1" hidden="1">"IQ_EV_OVER_REVENUE_EST_1"</definedName>
    <definedName name="IQ_EXTRA_ACC_ITEMS_BR" hidden="1">"c412"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1" hidden="1">"LTM"</definedName>
    <definedName name="IQ_FY">1000</definedName>
    <definedName name="IQ_FY_DATE" hidden="1">"IQ_FY_DATE"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VEST_LOANS_CF_BR" hidden="1">"c630"</definedName>
    <definedName name="IQ_INVEST_SECURITY_CF_BR" hidden="1">"c639"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>2000</definedName>
    <definedName name="IQ_LTM_DATE" hidden="1">"IQ_LTM_DATE"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>15000</definedName>
    <definedName name="IQ_MTD" hidden="1">800000</definedName>
    <definedName name="IQ_NAMES_REVISION_DATE_" hidden="1">44229.1709606481</definedName>
    <definedName name="IQ_NET_DEBT_ISSUED_BR" hidden="1">"c753"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ET_INT_INC_BR" hidden="1">"c765"</definedName>
    <definedName name="IQ_NTM">6000</definedName>
    <definedName name="IQ_OG_TOTAL_OIL_PRODUCTON" hidden="1">"c2059"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REF_ISSUED_BR" hidden="1">"c1047"</definedName>
    <definedName name="IQ_PREF_OTHER_BR" hidden="1">"c1055"</definedName>
    <definedName name="IQ_PREF_REP_BR" hidden="1">"c1062"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PENSION_OBLIGATION" hidden="1">"c1292"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>50000</definedName>
    <definedName name="IQ_YTD">3000</definedName>
    <definedName name="IQ_YTDMONTH" hidden="1">130000</definedName>
    <definedName name="IsColHidden" hidden="1">FALSE</definedName>
    <definedName name="IsLTMColHidden" hidden="1">FALSE</definedName>
    <definedName name="Item">#REF!</definedName>
    <definedName name="K2_WBEVMODE" hidden="1">-1</definedName>
    <definedName name="lastCol">#REF!</definedName>
    <definedName name="latest1">[2]Inputs!$E$13</definedName>
    <definedName name="latest10">[2]Inputs!$E$472</definedName>
    <definedName name="latest11">[2]Inputs!$E$523</definedName>
    <definedName name="latest12">[2]Inputs!$E$574</definedName>
    <definedName name="latest13">[2]Inputs!$E$625</definedName>
    <definedName name="latest14">[2]Inputs!$E$676</definedName>
    <definedName name="latest15">[2]Inputs!$E$727</definedName>
    <definedName name="latest2">[2]Inputs!$E$64</definedName>
    <definedName name="latest3">[2]Inputs!$E$115</definedName>
    <definedName name="latest4">[2]Inputs!$E$166</definedName>
    <definedName name="latest5">[2]Inputs!$E$217</definedName>
    <definedName name="latest6">[2]Inputs!$E$268</definedName>
    <definedName name="latest7">[2]Inputs!$E$319</definedName>
    <definedName name="latest8">[2]Inputs!$E$370</definedName>
    <definedName name="latest9">[2]Inputs!$E$421</definedName>
    <definedName name="LBO" localSheetId="1">'[9]S&amp;U'!#REF!</definedName>
    <definedName name="LBO">'[9]S&amp;U'!#REF!</definedName>
    <definedName name="left">#REF!</definedName>
    <definedName name="lett" localSheetId="1">#REF!</definedName>
    <definedName name="lett">#REF!</definedName>
    <definedName name="LIBOR">[21]Portfolio!$E$2</definedName>
    <definedName name="Libor_Assumptions">#REF!</definedName>
    <definedName name="Libor_Curve">#REF!</definedName>
    <definedName name="Libor_Down">#REF!</definedName>
    <definedName name="Libor_Down_Up">#REF!</definedName>
    <definedName name="LIBOR_Minus_1SD" localSheetId="1">[10]Revolver!#REF!</definedName>
    <definedName name="LIBOR_Minus_1SD">[10]Revolver!#REF!</definedName>
    <definedName name="Libor_Minus_2SD" localSheetId="1">[10]Revolver!#REF!</definedName>
    <definedName name="Libor_Minus_2SD">[10]Revolver!#REF!</definedName>
    <definedName name="Libor_Plus_0SD" localSheetId="1">[10]Revolver!#REF!</definedName>
    <definedName name="Libor_Plus_0SD">[10]Revolver!#REF!</definedName>
    <definedName name="Libor_Plus_1SD" localSheetId="1">[10]Revolver!#REF!</definedName>
    <definedName name="Libor_Plus_1SD">[10]Revolver!#REF!</definedName>
    <definedName name="Libor_Plus_2SD" localSheetId="1">[10]Revolver!#REF!</definedName>
    <definedName name="Libor_Plus_2SD">[10]Revolver!#REF!</definedName>
    <definedName name="Libor_Scenario">#REF!</definedName>
    <definedName name="Libor_Up">#REF!</definedName>
    <definedName name="longterm" localSheetId="1">[5]Inputs!#REF!</definedName>
    <definedName name="longterm">[5]Inputs!#REF!</definedName>
    <definedName name="LTM_DATE">#REF!</definedName>
    <definedName name="Marketable_securities" localSheetId="1">'[22]Fly-by-night - problem 5'!#REF!</definedName>
    <definedName name="Marketable_securities">'[22]Fly-by-night - problem 5'!#REF!</definedName>
    <definedName name="MaxMarkDate">[7]SaleData!$M$3</definedName>
    <definedName name="mcs03g.ReqArray" localSheetId="0">{"Price","ICTG","TS131","D","0","0","H"}</definedName>
    <definedName name="mcs03g.ReqArray">{"Price","ICTG","TS131","D","0","0","H"}</definedName>
    <definedName name="mcs03g.ReqArray___0">#N/A</definedName>
    <definedName name="mcs03g.ReqArray___12">#N/A</definedName>
    <definedName name="mcs03g.ReqArray___2">#N/A</definedName>
    <definedName name="MKVALM" localSheetId="1">#REF!</definedName>
    <definedName name="MKVALM">#REF!</definedName>
    <definedName name="MONTHLYSALES" localSheetId="1">#REF!</definedName>
    <definedName name="MONTHLYSALES">#REF!</definedName>
    <definedName name="MONTHLYSALES___0" localSheetId="1">#REF!</definedName>
    <definedName name="MONTHLYSALES___0">#REF!</definedName>
    <definedName name="moodys">#REF!</definedName>
    <definedName name="mu">'[23]LBO Summary'!$G$130</definedName>
    <definedName name="Name">[5]Info!$C$8</definedName>
    <definedName name="name1">[2]Inputs!$E$10</definedName>
    <definedName name="name10">[2]Inputs!$E$469</definedName>
    <definedName name="name11">[2]Inputs!$E$520</definedName>
    <definedName name="name12">[2]Inputs!$E$571</definedName>
    <definedName name="name13">[2]Inputs!$E$622</definedName>
    <definedName name="name14">[2]Inputs!$E$673</definedName>
    <definedName name="name15">[2]Inputs!$E$724</definedName>
    <definedName name="name2">[2]Inputs!$E$61</definedName>
    <definedName name="name3">[2]Inputs!$E$112</definedName>
    <definedName name="name4">[2]Inputs!$E$163</definedName>
    <definedName name="name5">[2]Inputs!$E$214</definedName>
    <definedName name="name6">[2]Inputs!$E$265</definedName>
    <definedName name="name7">[2]Inputs!$E$316</definedName>
    <definedName name="name8">[2]Inputs!$E$367</definedName>
    <definedName name="name9">[2]Inputs!$E$418</definedName>
    <definedName name="NDY" localSheetId="1">#REF!</definedName>
    <definedName name="NDY">#REF!</definedName>
    <definedName name="NDYWGT" localSheetId="1">#REF!</definedName>
    <definedName name="NDYWGT">#REF!</definedName>
    <definedName name="OC1Actual">OFFSET([6]OCTrends!$C$2,0,0,COUNTA([6]OCTrends!$C$1:$C$65536)-1)</definedName>
    <definedName name="OC1ChartTitle">[6]OCTrends!$W$1</definedName>
    <definedName name="OC1Covenant">OFFSET([6]OCTrends!$D$2,0,0,COUNTA([6]OCTrends!$D$1:$D$65536)-1)</definedName>
    <definedName name="OC1Date">OFFSET([6]OCTrends!$B$2,0,0,COUNTA([6]OCTrends!$B$1:$B$65536)-1)</definedName>
    <definedName name="OC2Actual">OFFSET([6]OCTrends!$H$2,0,0,COUNTA([6]OCTrends!$H$1:$H$65536)-1)</definedName>
    <definedName name="OC2Covenant">OFFSET([6]OCTrends!$I$2,0,0,COUNTA([6]OCTrends!$I$1:$I$65536)-1)</definedName>
    <definedName name="OC2Date">OFFSET([6]OCTrends!$G$2,0,0,COUNTA([6]OCTrends!$G$1:$G$65536)-1)</definedName>
    <definedName name="OC3Actual">OFFSET([6]OCTrends!$M$2,0,0,COUNTA([6]OCTrends!$M$1:$M$65536)-1)</definedName>
    <definedName name="OC3Covenant">OFFSET([6]OCTrends!$N$2,0,0,COUNTA([6]OCTrends!$N$1:$N$65536)-1)</definedName>
    <definedName name="OC3Date">OFFSET([6]OCTrends!$L$2,0,0,COUNTA([6]OCTrends!$L$1:$L$65536)-1)</definedName>
    <definedName name="OC4Actual">OFFSET([6]OCTrends!$R$2,0,0,COUNTA([6]OCTrends!$R$1:$R$65536)-1)</definedName>
    <definedName name="OC4Covenant">OFFSET([6]OCTrends!$S$2,0,0,COUNTA([6]OCTrends!$S$1:$S$65536)-1)</definedName>
    <definedName name="OC4Date">OFFSET([6]OCTrends!$Q$2,0,0,COUNTA([6]OCTrends!$Q$1:$Q$65536)-1)</definedName>
    <definedName name="Order">#REF!</definedName>
    <definedName name="Other_assets" localSheetId="1">'[22]Fly-by-night - problem 5'!#REF!</definedName>
    <definedName name="Other_assets">'[22]Fly-by-night - problem 5'!#REF!</definedName>
    <definedName name="Other_current_liabilities_Sales" localSheetId="1">'[4]Tanning Assumptions'!#REF!</definedName>
    <definedName name="Other_current_liabilities_Sales">'[4]Tanning Assumptions'!#REF!</definedName>
    <definedName name="Other_long_term_liabilities" localSheetId="1">'[4]Tanning Assumptions'!#REF!</definedName>
    <definedName name="Other_long_term_liabilities">'[4]Tanning Assumptions'!#REF!</definedName>
    <definedName name="OtherRev">#REF!</definedName>
    <definedName name="P_L" localSheetId="1">#REF!</definedName>
    <definedName name="P_L">#REF!</definedName>
    <definedName name="PCV">[6]Calcs!$B$1</definedName>
    <definedName name="Percentage">#REF!</definedName>
    <definedName name="Period">#REF!</definedName>
    <definedName name="Period1">#REF!</definedName>
    <definedName name="Period2">#REF!</definedName>
    <definedName name="Period3">#REF!</definedName>
    <definedName name="Period4">#REF!</definedName>
    <definedName name="Period5">#REF!</definedName>
    <definedName name="Period6">#REF!</definedName>
    <definedName name="Period7">#REF!</definedName>
    <definedName name="Period8">#REF!</definedName>
    <definedName name="PERSONAL_FINANCIAL" localSheetId="1">#REF!</definedName>
    <definedName name="PERSONAL_FINANCIAL">#REF!</definedName>
    <definedName name="PERSONAL_FINANCIAL___0" localSheetId="1">#REF!</definedName>
    <definedName name="PERSONAL_FINANCIAL___0">#REF!</definedName>
    <definedName name="PFLTM" localSheetId="1">'[24]VeCTOR Import'!#REF!</definedName>
    <definedName name="PFLTM">'[24]VeCTOR Import'!#REF!</definedName>
    <definedName name="pik" localSheetId="1">'[9]S&amp;U'!#REF!</definedName>
    <definedName name="pik">'[9]S&amp;U'!#REF!</definedName>
    <definedName name="portion1">[2]Inputs!$E$14</definedName>
    <definedName name="portion10">[2]Inputs!$E$473</definedName>
    <definedName name="portion11">[2]Inputs!$E$524</definedName>
    <definedName name="portion12">[2]Inputs!$E$575</definedName>
    <definedName name="portion13">[2]Inputs!$E$626</definedName>
    <definedName name="portion14">[2]Inputs!$E$677</definedName>
    <definedName name="portion15">[2]Inputs!$E$728</definedName>
    <definedName name="portion2">[2]Inputs!$E$65</definedName>
    <definedName name="portion3">[2]Inputs!$E$116</definedName>
    <definedName name="portion4">[2]Inputs!$E$167</definedName>
    <definedName name="portion5">[2]Inputs!$E$218</definedName>
    <definedName name="portion6">[2]Inputs!$E$269</definedName>
    <definedName name="portion7">[2]Inputs!$E$320</definedName>
    <definedName name="portion8">[2]Inputs!$E$371</definedName>
    <definedName name="portion9">[2]Inputs!$E$422</definedName>
    <definedName name="PP_E_Sales" localSheetId="1">'[4]Tanning Assumptions'!#REF!</definedName>
    <definedName name="PP_E_Sales">'[4]Tanning Assumptions'!#REF!</definedName>
    <definedName name="prefbamt">#REF!</definedName>
    <definedName name="prefbamt___0">#REF!</definedName>
    <definedName name="prefbper">#REF!</definedName>
    <definedName name="prefbper___0">#REF!</definedName>
    <definedName name="Preliminary">#REF!</definedName>
    <definedName name="Prepaids_Sales" localSheetId="1">'[4]Tanning Assumptions'!#REF!</definedName>
    <definedName name="Prepaids_Sales">'[4]Tanning Assumptions'!#REF!</definedName>
    <definedName name="PRICES">#REF!</definedName>
    <definedName name="PRICES___0">#REF!</definedName>
    <definedName name="_xlnm.Print_Area" localSheetId="1">Model!$B$275:$D$331</definedName>
    <definedName name="_xlnm.Print_Area">#REF!</definedName>
    <definedName name="_xlnm.Print_Titles" localSheetId="1">Model!$2:$5</definedName>
    <definedName name="_xlnm.Print_Titles">#REF!</definedName>
    <definedName name="project">[12]CONTROL!$D$8</definedName>
    <definedName name="project___0">[8]CONTROL!$D$8</definedName>
    <definedName name="ProjList">#REF!</definedName>
    <definedName name="PublicCompany" localSheetId="1">#REF!</definedName>
    <definedName name="PublicCompany">#REF!</definedName>
    <definedName name="purchase">[25]TRANSACTION!$Q$2</definedName>
    <definedName name="PURCHASE_PRICE">[26]Sheet5:D!$A$1:$H$23</definedName>
    <definedName name="qryWSO_Positions_ByFunds_CrossTab">#REF!</definedName>
    <definedName name="quarterly">#REF!</definedName>
    <definedName name="rate">#REF!</definedName>
    <definedName name="RateTable" localSheetId="1">[27]MASTER!#REF!</definedName>
    <definedName name="RateTable">[27]MASTER!#REF!</definedName>
    <definedName name="Rating">'[7]Actual vs Covenant'!$P$11:$Q$18</definedName>
    <definedName name="RatingFactors">#REF!</definedName>
    <definedName name="RATIOS">#REF!</definedName>
    <definedName name="RATIOS___0">#REF!</definedName>
    <definedName name="recovery">#REF!</definedName>
    <definedName name="refi">'[28]OBS - REFI'!$AP$5</definedName>
    <definedName name="REPORT">#REF!</definedName>
    <definedName name="REPORT___0">#REF!</definedName>
    <definedName name="ReprintRev">#REF!</definedName>
    <definedName name="ret">#REF!</definedName>
    <definedName name="rhl" localSheetId="1">'[20]LBO Summary'!#REF!</definedName>
    <definedName name="rhl">'[20]LBO Summary'!#REF!</definedName>
    <definedName name="RoyaltyRev">#REF!</definedName>
    <definedName name="rptData">#REF!</definedName>
    <definedName name="rr" localSheetId="1">'[20]LBO Summary'!#REF!</definedName>
    <definedName name="rr">'[20]LBO Summary'!#REF!</definedName>
    <definedName name="s" localSheetId="1">#REF!</definedName>
    <definedName name="s">#REF!</definedName>
    <definedName name="s.outstand" localSheetId="1">[5]Inputs!#REF!</definedName>
    <definedName name="s.outstand">[5]Inputs!#REF!</definedName>
    <definedName name="SALES" localSheetId="1">#REF!</definedName>
    <definedName name="SALES">#REF!</definedName>
    <definedName name="SALES___0" localSheetId="1">#REF!</definedName>
    <definedName name="SALES___0">#REF!</definedName>
    <definedName name="sales1">[2]Inputs!$P$29</definedName>
    <definedName name="sales10">[2]Inputs!$P$488</definedName>
    <definedName name="sales11">[2]Inputs!$P$539</definedName>
    <definedName name="sales12">[2]Inputs!$P$590</definedName>
    <definedName name="sales13">[2]Inputs!$P$641</definedName>
    <definedName name="sales14">[2]Inputs!$P$692</definedName>
    <definedName name="sales15">[2]Inputs!$P$743</definedName>
    <definedName name="sales2">[2]Inputs!$P$80</definedName>
    <definedName name="sales3">[2]Inputs!$P$131</definedName>
    <definedName name="sales4">[2]Inputs!$P$182</definedName>
    <definedName name="sales5">[2]Inputs!$P$233</definedName>
    <definedName name="sales6">[2]Inputs!$P$284</definedName>
    <definedName name="sales7">[2]Inputs!$P$335</definedName>
    <definedName name="sales8">[2]Inputs!$P$386</definedName>
    <definedName name="sales9">[2]Inputs!$P$437</definedName>
    <definedName name="scen">#REF!</definedName>
    <definedName name="Scenario_11">#REF!</definedName>
    <definedName name="Scenario_12">#REF!</definedName>
    <definedName name="Scenario_13">#REF!</definedName>
    <definedName name="Scenario_14">#REF!</definedName>
    <definedName name="Scenario_15">#REF!</definedName>
    <definedName name="Scenario_16">#REF!</definedName>
    <definedName name="Scenario_17">#REF!</definedName>
    <definedName name="Scenario_18">#REF!</definedName>
    <definedName name="Scenario_19">#REF!</definedName>
    <definedName name="Scenario_20">#REF!</definedName>
    <definedName name="Scenario_21">#REF!</definedName>
    <definedName name="Scenario_22">#REF!</definedName>
    <definedName name="Scenario_23">#REF!</definedName>
    <definedName name="Scenario_24">#REF!</definedName>
    <definedName name="Scenario_25">#REF!</definedName>
    <definedName name="Scenario_26">#REF!</definedName>
    <definedName name="Scenario_27">#REF!</definedName>
    <definedName name="Scenario_28">#REF!</definedName>
    <definedName name="Scenario_31">#REF!</definedName>
    <definedName name="Scenario_32">#REF!</definedName>
    <definedName name="Scenario_33">#REF!</definedName>
    <definedName name="Scenario_34">#REF!</definedName>
    <definedName name="Scenario_35">#REF!</definedName>
    <definedName name="Scenario_36">#REF!</definedName>
    <definedName name="Scenario_37">#REF!</definedName>
    <definedName name="Scenario_38">#REF!</definedName>
    <definedName name="Scenario_39" localSheetId="1">#REF!</definedName>
    <definedName name="Scenario_39">#REF!</definedName>
    <definedName name="Scenario_41" localSheetId="1">#REF!</definedName>
    <definedName name="Scenario_41">#REF!</definedName>
    <definedName name="Scenario_42" localSheetId="1">#REF!</definedName>
    <definedName name="Scenario_42">#REF!</definedName>
    <definedName name="Scenario_43" localSheetId="1">#REF!</definedName>
    <definedName name="Scenario_43">#REF!</definedName>
    <definedName name="Scenario_44" localSheetId="1">#REF!</definedName>
    <definedName name="Scenario_44">#REF!</definedName>
    <definedName name="Scenario_51">#REF!</definedName>
    <definedName name="Scenario_52">#REF!</definedName>
    <definedName name="Scenario_53">#REF!</definedName>
    <definedName name="Section">#REF!</definedName>
    <definedName name="SENSITIVITY">#REF!</definedName>
    <definedName name="SENSITIVITY___0">#REF!</definedName>
    <definedName name="sh.equity" localSheetId="1">[5]Inputs!#REF!</definedName>
    <definedName name="sh.equity">[5]Inputs!#REF!</definedName>
    <definedName name="sl" localSheetId="1">'[20]LBO Summary'!#REF!</definedName>
    <definedName name="sl">'[20]LBO Summary'!#REF!</definedName>
    <definedName name="snapshotdate">#REF!</definedName>
    <definedName name="sort_range">#REF!</definedName>
    <definedName name="sponsor">'[9]S&amp;U'!$J$21</definedName>
    <definedName name="Start">#REF!</definedName>
    <definedName name="Start_Date">[6]Selections!$C$1</definedName>
    <definedName name="StartDay">[6]Selections!$P$3</definedName>
    <definedName name="StartMonth">[6]Selections!$P$2</definedName>
    <definedName name="StartRefresh" localSheetId="1">'[14]Portfolio Input'!#REF!</definedName>
    <definedName name="StartRefresh">'[14]Portfolio Input'!#REF!</definedName>
    <definedName name="StartYear">[6]Selections!$P$1</definedName>
    <definedName name="Strip_Amount">#REF!</definedName>
    <definedName name="Strip_PV" localSheetId="1">#REF!</definedName>
    <definedName name="Strip_PV">#REF!</definedName>
    <definedName name="stub">#REF!</definedName>
    <definedName name="stubmonths">'[29]D&amp;A'!$C$5</definedName>
    <definedName name="sub" localSheetId="1">'[20]LBO Summary'!#REF!</definedName>
    <definedName name="sub">'[20]LBO Summary'!#REF!</definedName>
    <definedName name="subdebtamount">[15]Inputs!$J$26</definedName>
    <definedName name="subdebtdate">[15]Inputs!$J$28</definedName>
    <definedName name="Subhead1">[19]_01_05_v_Wicks_xls__01_05_v_Wic!$N$2</definedName>
    <definedName name="subHeading" localSheetId="1">#REF!</definedName>
    <definedName name="subHeading">#REF!</definedName>
    <definedName name="summary">#REF!</definedName>
    <definedName name="support">#REF!</definedName>
    <definedName name="sweep___9" localSheetId="1">[30]COVS_ACTUAL!#REF!</definedName>
    <definedName name="sweep___9">[30]COVS_ACTUAL!#REF!</definedName>
    <definedName name="target">#REF!</definedName>
    <definedName name="tax" localSheetId="1">[31]ISCF!#REF!</definedName>
    <definedName name="tax">[31]ISCF!#REF!</definedName>
    <definedName name="Taxes_Receivable_Sales" localSheetId="1">'[4]Tanning Assumptions'!#REF!</definedName>
    <definedName name="Taxes_Receivable_Sales">'[4]Tanning Assumptions'!#REF!</definedName>
    <definedName name="Test">#REF!</definedName>
    <definedName name="tgt">#REF!</definedName>
    <definedName name="ticker1">[2]Inputs!$E$11</definedName>
    <definedName name="ticker10">[2]Inputs!$E$470</definedName>
    <definedName name="ticker11">[2]Inputs!$E$521</definedName>
    <definedName name="ticker12">[2]Inputs!$E$572</definedName>
    <definedName name="ticker13">[2]Inputs!$E$623</definedName>
    <definedName name="ticker14">[2]Inputs!$E$674</definedName>
    <definedName name="ticker15">[2]Inputs!$E$725</definedName>
    <definedName name="ticker2">[2]Inputs!$E$62</definedName>
    <definedName name="ticker3">[2]Inputs!$E$113</definedName>
    <definedName name="ticker4">[2]Inputs!$E$164</definedName>
    <definedName name="ticker5">[2]Inputs!$E$215</definedName>
    <definedName name="ticker6">[2]Inputs!$E$266</definedName>
    <definedName name="ticker7">[2]Inputs!$E$317</definedName>
    <definedName name="ticker8">[2]Inputs!$E$368</definedName>
    <definedName name="ticker9">[2]Inputs!$E$419</definedName>
    <definedName name="TimeEnd">[6]Selections!$L$3</definedName>
    <definedName name="TimeStart">[6]Selections!$L$2</definedName>
    <definedName name="title">[28]SUM!$A$2</definedName>
    <definedName name="today">#REF!</definedName>
    <definedName name="top">#REF!</definedName>
    <definedName name="TopIC">'[7]Actual vs Covenant'!$P$31:$Q$38</definedName>
    <definedName name="TopOC">'[7]Actual vs Covenant'!$P$21:$Q$28</definedName>
    <definedName name="TOTAL">#REF!</definedName>
    <definedName name="TOTAL___0">#REF!</definedName>
    <definedName name="Total_Europe" localSheetId="1">#REF!</definedName>
    <definedName name="Total_Europe">#REF!</definedName>
    <definedName name="TotalRev">#REF!</definedName>
    <definedName name="TradedCash">[6]Principal!$G$5</definedName>
    <definedName name="trigger">[8]OBS!$U$5</definedName>
    <definedName name="TRYN_Top3">[7]TOP10!$S$3</definedName>
    <definedName name="TRYN_Top4">[7]TOP10!$S$8</definedName>
    <definedName name="TryonFitchRatingChartData">[7]TRYN!$G$2:$H$9</definedName>
    <definedName name="TryonFitchRatingChartSerial1">[7]TRYN!$H$2:$H$9</definedName>
    <definedName name="TryonFitchRatingChartXScale">[7]TRYN!$G$2:$G$9</definedName>
    <definedName name="TryonMoodyRatingChartData">[7]TRYN!$A$2:$B$15</definedName>
    <definedName name="TryonMoodyRatingChartSerial1">[7]TRYN!$B$2:$B$15</definedName>
    <definedName name="TryonMoodyRatingChartXScale">[7]TRYN!$A$2:$A$15</definedName>
    <definedName name="TryonSPRatingChartData">[7]TRYN!$D$2:$E$15</definedName>
    <definedName name="TryonSPRatingChartSerial1">[7]TRYN!$E$2:$E$15</definedName>
    <definedName name="TryonSPRatingChartXScale">[7]TRYN!$D$2:$D$15</definedName>
    <definedName name="units">'[9]S&amp;U'!$K$2</definedName>
    <definedName name="version">[28]SUM!$AE$2</definedName>
    <definedName name="version___0">[8]CONTROL!$D$9</definedName>
    <definedName name="WACActual">OFFSET([6]WACTrends!$C$2,0,0,COUNTA([6]WACTrends!$C$1:$C$65536)-1)</definedName>
    <definedName name="WACCovenant">OFFSET([6]WACTrends!$D$2,0,0,COUNTA([6]WACTrends!$D$1:$D$65536)-1)</definedName>
    <definedName name="WACDate">OFFSET([6]WACTrends!$B$2,0,0,COUNTA([6]WACTrends!$B$1:$B$65536)-1)</definedName>
    <definedName name="WALActual">OFFSET([6]WALTrends!$C$2,0,0,COUNTA([6]WALTrends!$C$1:$C$65536)-1)</definedName>
    <definedName name="WALCovenant">OFFSET([6]WALTrends!$D$2,0,0,COUNTA([6]WALTrends!$D$1:$D$65536)-1)</definedName>
    <definedName name="WALDate">OFFSET([6]WALTrends!$B$2,0,0,COUNTA([6]WALTrends!$B$1:$B$65536)-1)</definedName>
    <definedName name="WARFActual">OFFSET([6]WARFTrends!$C$2,0,0,COUNTA([6]WARFTrends!$C$1:$C$65536)-1)</definedName>
    <definedName name="WARFCovenant">OFFSET([6]WARFTrends!$D$2,0,0,COUNTA([6]WARFTrends!$D$1:$D$65536)-1)</definedName>
    <definedName name="WARFDate">OFFSET([6]WARFTrends!$B$2,0,0,COUNTA([6]WARFTrends!$B$1:$B$65536)-1)</definedName>
    <definedName name="WARFFitchActual">OFFSET([6]WARFFitchTrends!$C$2,0,0,COUNTA([6]WARFFitchTrends!$C$1:$C$65536)-1)</definedName>
    <definedName name="WARFFitchCovenant">OFFSET([6]WARFFitchTrends!$D$2,0,0,COUNTA([6]WARFFitchTrends!$D$1:$D$65536)-1)</definedName>
    <definedName name="WARFFitchDate">OFFSET([6]WARFFitchTrends!$B$2,0,0,COUNTA([6]WARFFitchTrends!$B$1:$B$65536)-1)</definedName>
    <definedName name="warrants">[15]Inputs!$O$13</definedName>
    <definedName name="WASActual">OFFSET([6]WASTrends!$C$2,0,0,COUNTA([6]WASTrends!$C$1:$C$65536)-1)</definedName>
    <definedName name="WASCovenant">OFFSET([6]WASTrends!$D$2,0,0,COUNTA([6]WASTrends!$D$1:$D$65536)-1)</definedName>
    <definedName name="WASDate">OFFSET([6]WASTrends!$B$2,0,0,COUNTA([6]WASTrends!$B$1:$B$65536)-1)</definedName>
    <definedName name="WBMIN" localSheetId="1">'[14]Portfolio Input'!#REF!</definedName>
    <definedName name="WBMIN">'[14]Portfolio Input'!#REF!</definedName>
    <definedName name="WHAT_IF">#REF!</definedName>
    <definedName name="WHAT_IF___0">#REF!</definedName>
    <definedName name="whec">[28]WHEC!$AX$2</definedName>
    <definedName name="wicksequity">[15]Inputs!$E$35</definedName>
    <definedName name="WORKING_CAPITAL" localSheetId="1">#REF!</definedName>
    <definedName name="WORKING_CAPITAL">#REF!</definedName>
    <definedName name="WORKING_CAPITAL___0" localSheetId="1">#REF!</definedName>
    <definedName name="WORKING_CAPITAL___0">#REF!</definedName>
    <definedName name="wrn.Alloutput." localSheetId="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CGIC._.PLICO._.Statutory._.Results." localSheetId="0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IS." localSheetId="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rossroads." localSheetId="0" hidden="1">{#N/A,#N/A,FALSE,"RENT ROLL";#N/A,#N/A,FALSE,"CAM";#N/A,#N/A,FALSE,"TAXES";#N/A,#N/A,FALSE,"INSURANCE";#N/A,#N/A,FALSE,"HVAC";#N/A,#N/A,FALSE,"MARKETING"}</definedName>
    <definedName name="wrn.crossroads." hidden="1">{#N/A,#N/A,FALSE,"RENT ROLL";#N/A,#N/A,FALSE,"CAM";#N/A,#N/A,FALSE,"TAXES";#N/A,#N/A,FALSE,"INSURANCE";#N/A,#N/A,FALSE,"HVAC";#N/A,#N/A,FALSE,"MARKETING"}</definedName>
    <definedName name="wrn.crossroads2" localSheetId="0" hidden="1">{#N/A,#N/A,FALSE,"RENT ROLL";#N/A,#N/A,FALSE,"CAM";#N/A,#N/A,FALSE,"TAXES";#N/A,#N/A,FALSE,"INSURANCE";#N/A,#N/A,FALSE,"HVAC";#N/A,#N/A,FALSE,"MARKETING"}</definedName>
    <definedName name="wrn.crossroads2" hidden="1">{#N/A,#N/A,FALSE,"RENT ROLL";#N/A,#N/A,FALSE,"CAM";#N/A,#N/A,FALSE,"TAXES";#N/A,#N/A,FALSE,"INSURANCE";#N/A,#N/A,FALSE,"HVAC";#N/A,#N/A,FALSE,"MARKETING"}</definedName>
    <definedName name="wrn.dcf." localSheetId="0" hidden="1">{"mgmt forecast",#N/A,FALSE,"Mgmt Forecast";"dcf table",#N/A,FALSE,"Mgmt Forecast";"sensitivity",#N/A,FALSE,"Mgmt Forecast";"table inputs",#N/A,FALSE,"Mgmt Forecast";"calculations",#N/A,FALSE,"Mgmt Forecast"}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print._.graphs." localSheetId="0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localSheetId="0" hidden="1">{"inputs raw data",#N/A,TRUE,"INPUT"}</definedName>
    <definedName name="wrn.print._.raw._.data._.entry." hidden="1">{"inputs raw data",#N/A,TRUE,"INPUT"}</definedName>
    <definedName name="wrn.print._.summary._.sheets." localSheetId="0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quick." localSheetId="0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Sales._.Activity." localSheetId="0" hidden="1">{#N/A,#N/A,FALSE,"Integration Systems"}</definedName>
    <definedName name="wrn.Sales._.Activity." hidden="1">{#N/A,#N/A,FALSE,"Integration Systems"}</definedName>
    <definedName name="wrn.Summary." localSheetId="0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Summary.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UHCO._.Statutory._.Results." localSheetId="0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hidden="1">{#N/A,#N/A,FALSE,"UHCO Statutory Info ----&gt;";#N/A,#N/A,FALSE,"UHCO Source_Use";#N/A,#N/A,FALSE,"UHCO_Debt Paydown";#N/A,#N/A,FALSE,"Union Bankers";#N/A,#N/A,FALSE,"Penn Life";#N/A,#N/A,FALSE,"Constitution"}</definedName>
    <definedName name="wrn.Weekly._.Inventory._.Report." localSheetId="0" hidden="1">{#N/A,#N/A,FALSE,"Combo"}</definedName>
    <definedName name="wrn.Weekly._.Inventory._.Report." hidden="1">{#N/A,#N/A,FALSE,"Combo"}</definedName>
    <definedName name="wvu.inputs._.raw._.data." localSheetId="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localSheetId="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zip" localSheetId="1">#REF!</definedName>
    <definedName name="zip">#REF!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6" i="17" l="1"/>
  <c r="D11" i="17"/>
  <c r="I4" i="17"/>
  <c r="C7" i="17"/>
  <c r="BI266" i="15"/>
  <c r="BI267" i="15"/>
  <c r="C75" i="17" l="1"/>
  <c r="C54" i="17"/>
  <c r="I11" i="17" s="1"/>
  <c r="C52" i="17"/>
  <c r="C65" i="17" s="1"/>
  <c r="I3" i="17"/>
  <c r="D74" i="17" s="1"/>
  <c r="C87" i="17"/>
  <c r="S267" i="15"/>
  <c r="S186" i="15"/>
  <c r="S185" i="15"/>
  <c r="S170" i="15"/>
  <c r="S165" i="15"/>
  <c r="S156" i="15"/>
  <c r="S155" i="15"/>
  <c r="S154" i="15"/>
  <c r="S153" i="15"/>
  <c r="S152" i="15"/>
  <c r="S151" i="15"/>
  <c r="S150" i="15"/>
  <c r="S149" i="15"/>
  <c r="S148" i="15"/>
  <c r="S147" i="15"/>
  <c r="S146" i="15"/>
  <c r="S145" i="15"/>
  <c r="S144" i="15"/>
  <c r="S143" i="15"/>
  <c r="S142" i="15"/>
  <c r="S141" i="15"/>
  <c r="S140" i="15"/>
  <c r="S139" i="15"/>
  <c r="S138" i="15"/>
  <c r="S137" i="15"/>
  <c r="S136" i="15"/>
  <c r="S135" i="15"/>
  <c r="S134" i="15"/>
  <c r="S133" i="15"/>
  <c r="S132" i="15"/>
  <c r="S131" i="15"/>
  <c r="S130" i="15"/>
  <c r="S129" i="15"/>
  <c r="S128" i="15"/>
  <c r="S127" i="15"/>
  <c r="S126" i="15"/>
  <c r="S125" i="15"/>
  <c r="S124" i="15"/>
  <c r="S123" i="15"/>
  <c r="S122" i="15"/>
  <c r="S121" i="15"/>
  <c r="S120" i="15"/>
  <c r="S119" i="15"/>
  <c r="S105" i="15"/>
  <c r="S104" i="15"/>
  <c r="S103" i="15"/>
  <c r="S102" i="15"/>
  <c r="S3" i="15"/>
  <c r="BI440" i="15"/>
  <c r="BI441" i="15" s="1"/>
  <c r="BI397" i="15"/>
  <c r="BI387" i="15"/>
  <c r="BI388" i="15" s="1"/>
  <c r="BI390" i="15" s="1"/>
  <c r="BI299" i="15"/>
  <c r="BI182" i="15"/>
  <c r="S182" i="15" s="1"/>
  <c r="BI181" i="15"/>
  <c r="S181" i="15" s="1"/>
  <c r="BI176" i="15"/>
  <c r="C51" i="17" s="1"/>
  <c r="BH135" i="15"/>
  <c r="BH134" i="15"/>
  <c r="BD135" i="15"/>
  <c r="BD134" i="15"/>
  <c r="BI157" i="15"/>
  <c r="S157" i="15" s="1"/>
  <c r="BI115" i="15"/>
  <c r="I8" i="17" s="1"/>
  <c r="BI114" i="15"/>
  <c r="S114" i="15" s="1"/>
  <c r="BI101" i="15"/>
  <c r="S101" i="15" s="1"/>
  <c r="BI158" i="15"/>
  <c r="BI106" i="15"/>
  <c r="BI76" i="15"/>
  <c r="BI233" i="15" s="1"/>
  <c r="BI71" i="15"/>
  <c r="BI65" i="15"/>
  <c r="BI39" i="15" s="1"/>
  <c r="BI61" i="15"/>
  <c r="BI219" i="15" s="1"/>
  <c r="BI449" i="15"/>
  <c r="BI448" i="15"/>
  <c r="BI447" i="15"/>
  <c r="BI446" i="15"/>
  <c r="BI445" i="15"/>
  <c r="BI439" i="15"/>
  <c r="BI437" i="15"/>
  <c r="BI435" i="15"/>
  <c r="BI433" i="15"/>
  <c r="BI431" i="15"/>
  <c r="BI427" i="15"/>
  <c r="BI426" i="15"/>
  <c r="BI425" i="15"/>
  <c r="BI424" i="15"/>
  <c r="BI423" i="15"/>
  <c r="BI420" i="15"/>
  <c r="BI418" i="15"/>
  <c r="BI416" i="15"/>
  <c r="BI414" i="15"/>
  <c r="BI412" i="15"/>
  <c r="BI406" i="15"/>
  <c r="BI405" i="15"/>
  <c r="BI404" i="15"/>
  <c r="BI403" i="15"/>
  <c r="BI402" i="15"/>
  <c r="BI398" i="15"/>
  <c r="BI392" i="15"/>
  <c r="BI386" i="15"/>
  <c r="BI384" i="15"/>
  <c r="BI382" i="15"/>
  <c r="BI380" i="15"/>
  <c r="BI378" i="15"/>
  <c r="BI355" i="15"/>
  <c r="BI345" i="15"/>
  <c r="BI336" i="15"/>
  <c r="BI281" i="15"/>
  <c r="BI273" i="15"/>
  <c r="BI272" i="15"/>
  <c r="BI271" i="15"/>
  <c r="BI268" i="15"/>
  <c r="BI239" i="15"/>
  <c r="BI306" i="15" s="1"/>
  <c r="BI236" i="15"/>
  <c r="BI234" i="15"/>
  <c r="BI232" i="15"/>
  <c r="BI231" i="15"/>
  <c r="BI229" i="15"/>
  <c r="BI227" i="15"/>
  <c r="BI226" i="15"/>
  <c r="BI225" i="15"/>
  <c r="BI224" i="15"/>
  <c r="BI221" i="15"/>
  <c r="BI220" i="15"/>
  <c r="BI214" i="15"/>
  <c r="BI211" i="15"/>
  <c r="BI209" i="15"/>
  <c r="BI208" i="15"/>
  <c r="BI190" i="15"/>
  <c r="BI111" i="15"/>
  <c r="BI110" i="15"/>
  <c r="BI109" i="15"/>
  <c r="BI99" i="15"/>
  <c r="BI87" i="15"/>
  <c r="BI60" i="15"/>
  <c r="BI218" i="15" s="1"/>
  <c r="BI59" i="15"/>
  <c r="BI52" i="15"/>
  <c r="BI451" i="15" s="1"/>
  <c r="BI50" i="15"/>
  <c r="BI44" i="15"/>
  <c r="BI40" i="15" s="1"/>
  <c r="BI42" i="15"/>
  <c r="BI35" i="15"/>
  <c r="BI31" i="15"/>
  <c r="BI30" i="15"/>
  <c r="BI29" i="15"/>
  <c r="BI28" i="15"/>
  <c r="BI10" i="15"/>
  <c r="BI16" i="15" s="1"/>
  <c r="BI8" i="15"/>
  <c r="C174" i="17"/>
  <c r="D268" i="15"/>
  <c r="E268" i="15"/>
  <c r="F268" i="15"/>
  <c r="G268" i="15"/>
  <c r="H268" i="15"/>
  <c r="U268" i="15"/>
  <c r="V268" i="15"/>
  <c r="W268" i="15"/>
  <c r="X268" i="15"/>
  <c r="Y268" i="15"/>
  <c r="Z268" i="15"/>
  <c r="AA268" i="15"/>
  <c r="AB268" i="15"/>
  <c r="AC268" i="15"/>
  <c r="AD268" i="15"/>
  <c r="AE268" i="15"/>
  <c r="AF268" i="15"/>
  <c r="AG268" i="15"/>
  <c r="AH268" i="15"/>
  <c r="AI268" i="15"/>
  <c r="AO268" i="15"/>
  <c r="AS268" i="15"/>
  <c r="AU268" i="15"/>
  <c r="AW268" i="15"/>
  <c r="AY268" i="15"/>
  <c r="AZ268" i="15"/>
  <c r="BA268" i="15"/>
  <c r="BC268" i="15"/>
  <c r="BK268" i="15"/>
  <c r="BL268" i="15"/>
  <c r="BM268" i="15"/>
  <c r="BN268" i="15"/>
  <c r="BO268" i="15"/>
  <c r="BP268" i="15"/>
  <c r="BQ268" i="15"/>
  <c r="BR268" i="15"/>
  <c r="BS268" i="15"/>
  <c r="BT268" i="15"/>
  <c r="BU268" i="15"/>
  <c r="BV268" i="15"/>
  <c r="BW268" i="15"/>
  <c r="BX268" i="15"/>
  <c r="BY268" i="15"/>
  <c r="BZ268" i="15"/>
  <c r="CA268" i="15"/>
  <c r="CB268" i="15"/>
  <c r="CC268" i="15"/>
  <c r="CD268" i="15"/>
  <c r="CE268" i="15"/>
  <c r="CF268" i="15"/>
  <c r="CG268" i="15"/>
  <c r="CH268" i="15"/>
  <c r="CI268" i="15"/>
  <c r="C268" i="15"/>
  <c r="BF266" i="15"/>
  <c r="BF267" i="15"/>
  <c r="BF268" i="15" s="1"/>
  <c r="BH267" i="15"/>
  <c r="BH268" i="15" s="1"/>
  <c r="R267" i="15"/>
  <c r="R268" i="15" s="1"/>
  <c r="P74" i="15"/>
  <c r="Q74" i="15"/>
  <c r="R74" i="15"/>
  <c r="O61" i="15"/>
  <c r="P61" i="15"/>
  <c r="Q61" i="15"/>
  <c r="R61" i="15"/>
  <c r="R219" i="15" s="1"/>
  <c r="C162" i="17"/>
  <c r="BH445" i="15"/>
  <c r="BH438" i="15"/>
  <c r="S438" i="15" s="1"/>
  <c r="BH436" i="15"/>
  <c r="S436" i="15" s="1"/>
  <c r="BH434" i="15"/>
  <c r="S434" i="15" s="1"/>
  <c r="BH432" i="15"/>
  <c r="S432" i="15" s="1"/>
  <c r="BH431" i="15"/>
  <c r="BH423" i="15"/>
  <c r="BH419" i="15"/>
  <c r="S419" i="15" s="1"/>
  <c r="BH417" i="15"/>
  <c r="S417" i="15" s="1"/>
  <c r="BH415" i="15"/>
  <c r="S415" i="15" s="1"/>
  <c r="BH413" i="15"/>
  <c r="S413" i="15" s="1"/>
  <c r="BH412" i="15"/>
  <c r="BH402" i="15"/>
  <c r="BH396" i="15"/>
  <c r="S396" i="15" s="1"/>
  <c r="BH395" i="15"/>
  <c r="S395" i="15" s="1"/>
  <c r="BH394" i="15"/>
  <c r="S394" i="15" s="1"/>
  <c r="BH393" i="15"/>
  <c r="S393" i="15" s="1"/>
  <c r="BH392" i="15"/>
  <c r="BH385" i="15"/>
  <c r="S385" i="15" s="1"/>
  <c r="BH383" i="15"/>
  <c r="S383" i="15" s="1"/>
  <c r="BH381" i="15"/>
  <c r="S381" i="15" s="1"/>
  <c r="BH379" i="15"/>
  <c r="S379" i="15" s="1"/>
  <c r="BH378" i="15"/>
  <c r="BH355" i="15"/>
  <c r="BH336" i="15"/>
  <c r="BH273" i="15"/>
  <c r="BH272" i="15"/>
  <c r="BH271" i="15"/>
  <c r="BH209" i="15"/>
  <c r="BH208" i="15"/>
  <c r="BH190" i="15"/>
  <c r="BH186" i="15"/>
  <c r="C142" i="17" s="1"/>
  <c r="BH185" i="15"/>
  <c r="BH170" i="15"/>
  <c r="BH165" i="15"/>
  <c r="C140" i="17" s="1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BH139" i="15"/>
  <c r="BH138" i="15"/>
  <c r="BH137" i="15"/>
  <c r="BH136" i="15"/>
  <c r="BH133" i="15"/>
  <c r="BH132" i="15"/>
  <c r="BH131" i="15"/>
  <c r="BH130" i="15"/>
  <c r="BH129" i="15"/>
  <c r="BH128" i="15"/>
  <c r="BH127" i="15"/>
  <c r="BH126" i="15"/>
  <c r="BH125" i="15"/>
  <c r="BH124" i="15"/>
  <c r="BH123" i="15"/>
  <c r="BH122" i="15"/>
  <c r="BH121" i="15"/>
  <c r="BH120" i="15"/>
  <c r="BH119" i="15"/>
  <c r="BH105" i="15"/>
  <c r="BH104" i="15"/>
  <c r="BH103" i="15"/>
  <c r="BH102" i="15"/>
  <c r="BH99" i="15"/>
  <c r="BH87" i="15"/>
  <c r="BH59" i="15"/>
  <c r="BH57" i="15"/>
  <c r="S57" i="15" s="1"/>
  <c r="BH42" i="15"/>
  <c r="BH23" i="15"/>
  <c r="S23" i="15" s="1"/>
  <c r="BH21" i="15"/>
  <c r="S21" i="15" s="1"/>
  <c r="BH19" i="15"/>
  <c r="S19" i="15" s="1"/>
  <c r="BH18" i="15"/>
  <c r="S18" i="15" s="1"/>
  <c r="BH17" i="15"/>
  <c r="S17" i="15" s="1"/>
  <c r="BH14" i="15"/>
  <c r="S14" i="15" s="1"/>
  <c r="BH13" i="15"/>
  <c r="S13" i="15" s="1"/>
  <c r="BH12" i="15"/>
  <c r="S12" i="15" s="1"/>
  <c r="BH9" i="15"/>
  <c r="S9" i="15" s="1"/>
  <c r="BH7" i="15"/>
  <c r="BI88" i="15" s="1"/>
  <c r="BI337" i="15" s="1"/>
  <c r="R449" i="15"/>
  <c r="R448" i="15"/>
  <c r="R447" i="15"/>
  <c r="R446" i="15"/>
  <c r="R445" i="15"/>
  <c r="R440" i="15"/>
  <c r="R441" i="15" s="1"/>
  <c r="R439" i="15"/>
  <c r="R437" i="15"/>
  <c r="R435" i="15"/>
  <c r="R433" i="15"/>
  <c r="R431" i="15"/>
  <c r="R427" i="15"/>
  <c r="R426" i="15"/>
  <c r="R425" i="15"/>
  <c r="R424" i="15"/>
  <c r="R423" i="15"/>
  <c r="R420" i="15"/>
  <c r="R418" i="15"/>
  <c r="R416" i="15"/>
  <c r="R414" i="15"/>
  <c r="R412" i="15"/>
  <c r="R406" i="15"/>
  <c r="R405" i="15"/>
  <c r="R404" i="15"/>
  <c r="R403" i="15"/>
  <c r="R402" i="15"/>
  <c r="R397" i="15"/>
  <c r="R392" i="15"/>
  <c r="R387" i="15"/>
  <c r="R388" i="15" s="1"/>
  <c r="R386" i="15"/>
  <c r="R384" i="15"/>
  <c r="R382" i="15"/>
  <c r="R380" i="15"/>
  <c r="R378" i="15"/>
  <c r="R355" i="15"/>
  <c r="R345" i="15"/>
  <c r="R336" i="15"/>
  <c r="R273" i="15"/>
  <c r="R272" i="15"/>
  <c r="R271" i="15"/>
  <c r="BH266" i="15"/>
  <c r="R239" i="15"/>
  <c r="R236" i="15"/>
  <c r="R234" i="15"/>
  <c r="R232" i="15"/>
  <c r="R229" i="15"/>
  <c r="R227" i="15"/>
  <c r="R226" i="15"/>
  <c r="R224" i="15"/>
  <c r="R221" i="15"/>
  <c r="R220" i="15"/>
  <c r="R218" i="15"/>
  <c r="R214" i="15"/>
  <c r="R211" i="15"/>
  <c r="R208" i="15"/>
  <c r="R190" i="15"/>
  <c r="R181" i="15"/>
  <c r="R182" i="15"/>
  <c r="BH182" i="15" s="1"/>
  <c r="R176" i="15"/>
  <c r="R157" i="15"/>
  <c r="BH157" i="15" s="1"/>
  <c r="BD149" i="15"/>
  <c r="AZ149" i="15"/>
  <c r="BD148" i="15"/>
  <c r="AZ148" i="15"/>
  <c r="BD154" i="15"/>
  <c r="AZ154" i="15"/>
  <c r="R115" i="15"/>
  <c r="BH115" i="15" s="1"/>
  <c r="R114" i="15"/>
  <c r="BH114" i="15" s="1"/>
  <c r="R111" i="15"/>
  <c r="R110" i="15"/>
  <c r="R109" i="15"/>
  <c r="R106" i="15"/>
  <c r="R101" i="15"/>
  <c r="BH101" i="15" s="1"/>
  <c r="R99" i="15"/>
  <c r="R94" i="15"/>
  <c r="R342" i="15" s="1"/>
  <c r="R91" i="15"/>
  <c r="R338" i="15" s="1"/>
  <c r="R88" i="15"/>
  <c r="R337" i="15" s="1"/>
  <c r="R87" i="15"/>
  <c r="R76" i="15"/>
  <c r="R233" i="15" s="1"/>
  <c r="R67" i="15"/>
  <c r="R225" i="15" s="1"/>
  <c r="R65" i="15"/>
  <c r="R59" i="15"/>
  <c r="R56" i="15"/>
  <c r="R44" i="15" s="1"/>
  <c r="R54" i="15"/>
  <c r="R60" i="15" s="1"/>
  <c r="R52" i="15"/>
  <c r="R451" i="15" s="1"/>
  <c r="R51" i="15"/>
  <c r="R42" i="15"/>
  <c r="R35" i="15"/>
  <c r="R33" i="15"/>
  <c r="R31" i="15"/>
  <c r="R30" i="15"/>
  <c r="R29" i="15"/>
  <c r="R28" i="15"/>
  <c r="R10" i="15"/>
  <c r="R8" i="15"/>
  <c r="C224" i="17"/>
  <c r="I186" i="17" s="1"/>
  <c r="C245" i="17"/>
  <c r="C222" i="17"/>
  <c r="C235" i="17" s="1"/>
  <c r="BG440" i="15"/>
  <c r="BG439" i="15"/>
  <c r="BG437" i="15"/>
  <c r="BG435" i="15"/>
  <c r="BG433" i="15"/>
  <c r="BG420" i="15"/>
  <c r="BG418" i="15"/>
  <c r="BG416" i="15"/>
  <c r="BG414" i="15"/>
  <c r="BG397" i="15"/>
  <c r="BG387" i="15"/>
  <c r="BG386" i="15"/>
  <c r="BG384" i="15"/>
  <c r="BG382" i="15"/>
  <c r="BG380" i="15"/>
  <c r="BG266" i="15"/>
  <c r="BG267" i="15"/>
  <c r="BG268" i="15" s="1"/>
  <c r="BD130" i="15"/>
  <c r="AZ130" i="15"/>
  <c r="BD128" i="15"/>
  <c r="AZ128" i="15"/>
  <c r="BD153" i="15"/>
  <c r="BD150" i="15"/>
  <c r="AZ153" i="15"/>
  <c r="AZ152" i="15"/>
  <c r="AZ150" i="15"/>
  <c r="AZ147" i="15"/>
  <c r="AZ146" i="15"/>
  <c r="AZ141" i="15"/>
  <c r="AZ140" i="15"/>
  <c r="BG182" i="15"/>
  <c r="BG181" i="15"/>
  <c r="BG176" i="15"/>
  <c r="C182" i="17" s="1"/>
  <c r="S266" i="15" l="1"/>
  <c r="BI159" i="15"/>
  <c r="BI168" i="15"/>
  <c r="R64" i="15"/>
  <c r="D28" i="17"/>
  <c r="D46" i="17"/>
  <c r="S176" i="15"/>
  <c r="S7" i="15"/>
  <c r="C71" i="17"/>
  <c r="S115" i="15"/>
  <c r="D36" i="17"/>
  <c r="D25" i="17"/>
  <c r="D29" i="17"/>
  <c r="D7" i="17"/>
  <c r="D54" i="17"/>
  <c r="D17" i="17"/>
  <c r="D15" i="17"/>
  <c r="D35" i="17"/>
  <c r="D18" i="17"/>
  <c r="D37" i="17"/>
  <c r="D19" i="17"/>
  <c r="D43" i="17"/>
  <c r="D20" i="17"/>
  <c r="D44" i="17"/>
  <c r="D45" i="17"/>
  <c r="D13" i="17"/>
  <c r="D21" i="17"/>
  <c r="D31" i="17"/>
  <c r="D39" i="17"/>
  <c r="D47" i="17"/>
  <c r="D12" i="17"/>
  <c r="D30" i="17"/>
  <c r="D38" i="17"/>
  <c r="D14" i="17"/>
  <c r="D22" i="17"/>
  <c r="D32" i="17"/>
  <c r="D40" i="17"/>
  <c r="D48" i="17"/>
  <c r="D33" i="17"/>
  <c r="D41" i="17"/>
  <c r="D49" i="17"/>
  <c r="D23" i="17"/>
  <c r="D16" i="17"/>
  <c r="D24" i="17"/>
  <c r="D34" i="17"/>
  <c r="D42" i="17"/>
  <c r="D52" i="17"/>
  <c r="I9" i="17"/>
  <c r="J9" i="17" s="1"/>
  <c r="I12" i="17"/>
  <c r="J8" i="17"/>
  <c r="D71" i="17"/>
  <c r="D73" i="17"/>
  <c r="D75" i="17"/>
  <c r="J11" i="17"/>
  <c r="C53" i="17"/>
  <c r="C60" i="17" s="1"/>
  <c r="C55" i="17"/>
  <c r="C66" i="17"/>
  <c r="D65" i="17"/>
  <c r="D66" i="17" s="1"/>
  <c r="C76" i="17"/>
  <c r="D72" i="17"/>
  <c r="BI297" i="15"/>
  <c r="BI364" i="15"/>
  <c r="BI356" i="15"/>
  <c r="BI34" i="15"/>
  <c r="BI33" i="15"/>
  <c r="BI290" i="15"/>
  <c r="BI298" i="15"/>
  <c r="BI183" i="15"/>
  <c r="BI216" i="15"/>
  <c r="BI107" i="15"/>
  <c r="BI222" i="15"/>
  <c r="BI20" i="15"/>
  <c r="BI43" i="15"/>
  <c r="BI45" i="15" s="1"/>
  <c r="BI32" i="15"/>
  <c r="BI443" i="15"/>
  <c r="BI64" i="15"/>
  <c r="BI292" i="15"/>
  <c r="BI300" i="15"/>
  <c r="BI400" i="15"/>
  <c r="BI408" i="15" s="1"/>
  <c r="BH403" i="15"/>
  <c r="BI11" i="15"/>
  <c r="BI167" i="15"/>
  <c r="BI275" i="15"/>
  <c r="BI285" i="15"/>
  <c r="BI293" i="15"/>
  <c r="BI301" i="15"/>
  <c r="BI346" i="15"/>
  <c r="BI365" i="15" s="1"/>
  <c r="BI286" i="15"/>
  <c r="BI294" i="15"/>
  <c r="BI223" i="15"/>
  <c r="BI287" i="15"/>
  <c r="BI303" i="15"/>
  <c r="BI173" i="15"/>
  <c r="BI242" i="15"/>
  <c r="BI309" i="15" s="1"/>
  <c r="BI288" i="15"/>
  <c r="BI296" i="15"/>
  <c r="BI291" i="15"/>
  <c r="BH425" i="15"/>
  <c r="R70" i="15"/>
  <c r="BH447" i="15"/>
  <c r="BH404" i="15"/>
  <c r="BH35" i="15"/>
  <c r="BH33" i="15"/>
  <c r="BH424" i="15"/>
  <c r="R250" i="15"/>
  <c r="BH109" i="15"/>
  <c r="BH345" i="15"/>
  <c r="BH10" i="15"/>
  <c r="BH11" i="15" s="1"/>
  <c r="BH88" i="15"/>
  <c r="BH31" i="15"/>
  <c r="BH275" i="15"/>
  <c r="BH449" i="15"/>
  <c r="BH405" i="15"/>
  <c r="R168" i="15"/>
  <c r="R193" i="15" s="1"/>
  <c r="BH110" i="15"/>
  <c r="BH28" i="15"/>
  <c r="BH426" i="15"/>
  <c r="BH427" i="15"/>
  <c r="R158" i="15"/>
  <c r="R159" i="15" s="1"/>
  <c r="BH211" i="15"/>
  <c r="R222" i="15"/>
  <c r="BH106" i="15"/>
  <c r="BH446" i="15"/>
  <c r="C158" i="17"/>
  <c r="BH168" i="15"/>
  <c r="BH173" i="15" s="1"/>
  <c r="R390" i="15"/>
  <c r="I99" i="17"/>
  <c r="R231" i="15"/>
  <c r="R398" i="15"/>
  <c r="I98" i="17"/>
  <c r="BH29" i="15"/>
  <c r="BH181" i="15"/>
  <c r="R183" i="15"/>
  <c r="R443" i="15"/>
  <c r="BH158" i="15"/>
  <c r="BH159" i="15" s="1"/>
  <c r="I101" i="17"/>
  <c r="BH30" i="15"/>
  <c r="BH406" i="15"/>
  <c r="BH448" i="15"/>
  <c r="BH111" i="15"/>
  <c r="BH176" i="15"/>
  <c r="BH239" i="15"/>
  <c r="R223" i="15"/>
  <c r="BH54" i="15"/>
  <c r="R340" i="15"/>
  <c r="C152" i="17"/>
  <c r="R216" i="15"/>
  <c r="R107" i="15"/>
  <c r="R39" i="15"/>
  <c r="R96" i="15"/>
  <c r="R53" i="15"/>
  <c r="R92" i="15"/>
  <c r="R16" i="15"/>
  <c r="R11" i="15"/>
  <c r="R40" i="15"/>
  <c r="I178" i="17"/>
  <c r="D188" i="17" s="1"/>
  <c r="C236" i="17"/>
  <c r="I184" i="17"/>
  <c r="BG157" i="15"/>
  <c r="BG150" i="15"/>
  <c r="BG144" i="15"/>
  <c r="BG147" i="15"/>
  <c r="BG131" i="15"/>
  <c r="BG115" i="15"/>
  <c r="BG114" i="15"/>
  <c r="C241" i="17" s="1"/>
  <c r="BG101" i="15"/>
  <c r="BF69" i="15"/>
  <c r="BF71" i="15"/>
  <c r="BG8" i="15"/>
  <c r="BG449" i="15"/>
  <c r="BG448" i="15"/>
  <c r="BG447" i="15"/>
  <c r="BG446" i="15"/>
  <c r="BG445" i="15"/>
  <c r="BG431" i="15"/>
  <c r="BG427" i="15"/>
  <c r="BG426" i="15"/>
  <c r="BG425" i="15"/>
  <c r="BG424" i="15"/>
  <c r="BG423" i="15"/>
  <c r="BG412" i="15"/>
  <c r="BG406" i="15"/>
  <c r="BG405" i="15"/>
  <c r="BG404" i="15"/>
  <c r="BG403" i="15"/>
  <c r="BG402" i="15"/>
  <c r="BG398" i="15"/>
  <c r="BG392" i="15"/>
  <c r="BG388" i="15"/>
  <c r="BG378" i="15"/>
  <c r="BG355" i="15"/>
  <c r="BG345" i="15"/>
  <c r="BG364" i="15" s="1"/>
  <c r="BG336" i="15"/>
  <c r="BG281" i="15"/>
  <c r="BG275" i="15"/>
  <c r="BG273" i="15"/>
  <c r="BG272" i="15"/>
  <c r="BG271" i="15"/>
  <c r="BG239" i="15"/>
  <c r="BG306" i="15" s="1"/>
  <c r="BG214" i="15"/>
  <c r="BG211" i="15"/>
  <c r="BG209" i="15"/>
  <c r="BG208" i="15"/>
  <c r="BG190" i="15"/>
  <c r="BG111" i="15"/>
  <c r="BG110" i="15"/>
  <c r="BG109" i="15"/>
  <c r="BG106" i="15"/>
  <c r="BG99" i="15"/>
  <c r="BG87" i="15"/>
  <c r="BG60" i="15"/>
  <c r="BG218" i="15" s="1"/>
  <c r="BG59" i="15"/>
  <c r="BG50" i="15"/>
  <c r="BG52" i="15" s="1"/>
  <c r="BG451" i="15" s="1"/>
  <c r="BG42" i="15"/>
  <c r="BG35" i="15"/>
  <c r="BG31" i="15"/>
  <c r="BG30" i="15"/>
  <c r="BG29" i="15"/>
  <c r="BG28" i="15"/>
  <c r="BG10" i="15"/>
  <c r="BG16" i="15" s="1"/>
  <c r="C324" i="17"/>
  <c r="F290" i="17"/>
  <c r="C290" i="17"/>
  <c r="C289" i="17"/>
  <c r="F289" i="17" s="1"/>
  <c r="C302" i="17"/>
  <c r="K267" i="17" s="1"/>
  <c r="C300" i="17"/>
  <c r="F300" i="17" s="1"/>
  <c r="C296" i="17"/>
  <c r="F296" i="17" s="1"/>
  <c r="C295" i="17"/>
  <c r="F295" i="17" s="1"/>
  <c r="C294" i="17"/>
  <c r="F294" i="17" s="1"/>
  <c r="C293" i="17"/>
  <c r="F293" i="17" s="1"/>
  <c r="C292" i="17"/>
  <c r="F292" i="17" s="1"/>
  <c r="C291" i="17"/>
  <c r="F291" i="17" s="1"/>
  <c r="C288" i="17"/>
  <c r="F288" i="17" s="1"/>
  <c r="C287" i="17"/>
  <c r="F287" i="17" s="1"/>
  <c r="C286" i="17"/>
  <c r="F286" i="17" s="1"/>
  <c r="C284" i="17"/>
  <c r="F284" i="17" s="1"/>
  <c r="C283" i="17"/>
  <c r="F283" i="17" s="1"/>
  <c r="C277" i="17"/>
  <c r="F277" i="17" s="1"/>
  <c r="C276" i="17"/>
  <c r="F276" i="17" s="1"/>
  <c r="C275" i="17"/>
  <c r="F275" i="17" s="1"/>
  <c r="C274" i="17"/>
  <c r="F274" i="17" s="1"/>
  <c r="C273" i="17"/>
  <c r="F273" i="17" s="1"/>
  <c r="C271" i="17"/>
  <c r="F271" i="17" s="1"/>
  <c r="C270" i="17"/>
  <c r="F270" i="17" s="1"/>
  <c r="C269" i="17"/>
  <c r="F269" i="17" s="1"/>
  <c r="C268" i="17"/>
  <c r="F268" i="17" s="1"/>
  <c r="C267" i="17"/>
  <c r="F267" i="17" s="1"/>
  <c r="F282" i="17"/>
  <c r="F281" i="17"/>
  <c r="F280" i="17"/>
  <c r="F279" i="17"/>
  <c r="BF439" i="15"/>
  <c r="BF437" i="15"/>
  <c r="BF435" i="15"/>
  <c r="BF433" i="15"/>
  <c r="BF420" i="15"/>
  <c r="BF418" i="15"/>
  <c r="BF416" i="15"/>
  <c r="BF414" i="15"/>
  <c r="BF386" i="15"/>
  <c r="BF384" i="15"/>
  <c r="BF382" i="15"/>
  <c r="BF380" i="15"/>
  <c r="BF8" i="15"/>
  <c r="BF440" i="15"/>
  <c r="BF397" i="15"/>
  <c r="BF387" i="15"/>
  <c r="BF281" i="15"/>
  <c r="BF182" i="15"/>
  <c r="BF181" i="15"/>
  <c r="BE181" i="15"/>
  <c r="BF176" i="15"/>
  <c r="C246" i="17" s="1"/>
  <c r="BD136" i="15"/>
  <c r="BF155" i="15"/>
  <c r="BF157" i="15"/>
  <c r="BF115" i="15"/>
  <c r="BF114" i="15"/>
  <c r="BF101" i="15"/>
  <c r="BF79" i="15"/>
  <c r="BF74" i="15"/>
  <c r="BF72" i="15"/>
  <c r="BF68" i="15"/>
  <c r="BF67" i="15"/>
  <c r="BF66" i="15"/>
  <c r="BF63" i="15"/>
  <c r="BF62" i="15"/>
  <c r="BF56" i="15"/>
  <c r="BF15" i="15"/>
  <c r="BF449" i="15"/>
  <c r="BF448" i="15"/>
  <c r="BF447" i="15"/>
  <c r="BF446" i="15"/>
  <c r="BF445" i="15"/>
  <c r="BF431" i="15"/>
  <c r="BF427" i="15"/>
  <c r="BF426" i="15"/>
  <c r="BF425" i="15"/>
  <c r="BF424" i="15"/>
  <c r="BF423" i="15"/>
  <c r="BF412" i="15"/>
  <c r="BF406" i="15"/>
  <c r="BF405" i="15"/>
  <c r="BF404" i="15"/>
  <c r="BF403" i="15"/>
  <c r="BF402" i="15"/>
  <c r="BF392" i="15"/>
  <c r="BF378" i="15"/>
  <c r="BF355" i="15"/>
  <c r="BF345" i="15"/>
  <c r="BF336" i="15"/>
  <c r="BF273" i="15"/>
  <c r="BF272" i="15"/>
  <c r="BF271" i="15"/>
  <c r="BF239" i="15"/>
  <c r="BF214" i="15"/>
  <c r="BF211" i="15"/>
  <c r="BF209" i="15"/>
  <c r="BF208" i="15"/>
  <c r="BF190" i="15"/>
  <c r="BF111" i="15"/>
  <c r="BF110" i="15"/>
  <c r="BF109" i="15"/>
  <c r="BF106" i="15"/>
  <c r="BF99" i="15"/>
  <c r="BF87" i="15"/>
  <c r="BF77" i="15"/>
  <c r="BF75" i="15"/>
  <c r="BF73" i="15"/>
  <c r="BF60" i="15"/>
  <c r="BF218" i="15" s="1"/>
  <c r="BF59" i="15"/>
  <c r="BF50" i="15"/>
  <c r="BF42" i="15"/>
  <c r="BF35" i="15"/>
  <c r="BF31" i="15"/>
  <c r="BF30" i="15"/>
  <c r="BF29" i="15"/>
  <c r="BF28" i="15"/>
  <c r="BF10" i="15"/>
  <c r="C398" i="17"/>
  <c r="C376" i="17"/>
  <c r="K341" i="17" s="1"/>
  <c r="C374" i="17"/>
  <c r="F374" i="17" s="1"/>
  <c r="C361" i="17"/>
  <c r="F361" i="17" s="1"/>
  <c r="C360" i="17"/>
  <c r="F360" i="17" s="1"/>
  <c r="C370" i="17"/>
  <c r="F370" i="17" s="1"/>
  <c r="C369" i="17"/>
  <c r="F369" i="17" s="1"/>
  <c r="C368" i="17"/>
  <c r="F368" i="17" s="1"/>
  <c r="C367" i="17"/>
  <c r="C366" i="17"/>
  <c r="F366" i="17" s="1"/>
  <c r="C365" i="17"/>
  <c r="F365" i="17" s="1"/>
  <c r="C363" i="17"/>
  <c r="C362" i="17"/>
  <c r="F362" i="17" s="1"/>
  <c r="C359" i="17"/>
  <c r="F359" i="17" s="1"/>
  <c r="C358" i="17"/>
  <c r="F358" i="17" s="1"/>
  <c r="C357" i="17"/>
  <c r="F357" i="17" s="1"/>
  <c r="C351" i="17"/>
  <c r="C350" i="17"/>
  <c r="F350" i="17" s="1"/>
  <c r="C349" i="17"/>
  <c r="F349" i="17" s="1"/>
  <c r="C348" i="17"/>
  <c r="C347" i="17"/>
  <c r="F347" i="17" s="1"/>
  <c r="C345" i="17"/>
  <c r="F345" i="17" s="1"/>
  <c r="C344" i="17"/>
  <c r="F344" i="17" s="1"/>
  <c r="C343" i="17"/>
  <c r="F343" i="17" s="1"/>
  <c r="C342" i="17"/>
  <c r="F342" i="17" s="1"/>
  <c r="C341" i="17"/>
  <c r="F341" i="17" s="1"/>
  <c r="F356" i="17"/>
  <c r="F355" i="17"/>
  <c r="F354" i="17"/>
  <c r="F353" i="17"/>
  <c r="BA440" i="15"/>
  <c r="BE440" i="15"/>
  <c r="BA397" i="15"/>
  <c r="BE397" i="15"/>
  <c r="BA387" i="15"/>
  <c r="BE387" i="15"/>
  <c r="BE266" i="15"/>
  <c r="BE267" i="15"/>
  <c r="BE182" i="15"/>
  <c r="BE176" i="15"/>
  <c r="C337" i="17" s="1"/>
  <c r="F337" i="17" s="1"/>
  <c r="BE157" i="15"/>
  <c r="C372" i="17" s="1"/>
  <c r="F372" i="17" s="1"/>
  <c r="BE115" i="15"/>
  <c r="BE114" i="15"/>
  <c r="C394" i="17" s="1"/>
  <c r="BE111" i="15"/>
  <c r="BE110" i="15"/>
  <c r="BE109" i="15"/>
  <c r="BA111" i="15"/>
  <c r="BA110" i="15"/>
  <c r="BA109" i="15"/>
  <c r="BE101" i="15"/>
  <c r="BF398" i="15" l="1"/>
  <c r="BF441" i="15"/>
  <c r="BI92" i="15"/>
  <c r="C56" i="17" s="1"/>
  <c r="C61" i="17" s="1"/>
  <c r="S54" i="15"/>
  <c r="BF44" i="15"/>
  <c r="BF40" i="15" s="1"/>
  <c r="BF388" i="15"/>
  <c r="I10" i="17"/>
  <c r="C77" i="17"/>
  <c r="C78" i="17" s="1"/>
  <c r="D76" i="17"/>
  <c r="D77" i="17" s="1"/>
  <c r="BF52" i="15"/>
  <c r="BF451" i="15" s="1"/>
  <c r="BI245" i="15"/>
  <c r="BI312" i="15" s="1"/>
  <c r="BI187" i="15"/>
  <c r="BI47" i="15"/>
  <c r="BI277" i="15"/>
  <c r="BI49" i="15"/>
  <c r="BI37" i="15"/>
  <c r="BI36" i="15"/>
  <c r="BI22" i="15"/>
  <c r="BI24" i="15" s="1"/>
  <c r="BI339" i="15"/>
  <c r="BI358" i="15" s="1"/>
  <c r="BI251" i="15"/>
  <c r="BI318" i="15" s="1"/>
  <c r="BI283" i="15"/>
  <c r="BI179" i="15"/>
  <c r="C57" i="17" s="1"/>
  <c r="BI348" i="15"/>
  <c r="BI367" i="15" s="1"/>
  <c r="BI241" i="15"/>
  <c r="BI308" i="15" s="1"/>
  <c r="BI172" i="15"/>
  <c r="BI289" i="15"/>
  <c r="BI70" i="15"/>
  <c r="BI228" i="15"/>
  <c r="BI235" i="15" s="1"/>
  <c r="H334" i="17"/>
  <c r="G360" i="17" s="1"/>
  <c r="BE268" i="15"/>
  <c r="I100" i="17"/>
  <c r="BH387" i="15"/>
  <c r="BH388" i="15" s="1"/>
  <c r="BH390" i="15" s="1"/>
  <c r="R34" i="15"/>
  <c r="R167" i="15"/>
  <c r="R192" i="15" s="1"/>
  <c r="R346" i="15"/>
  <c r="R242" i="15"/>
  <c r="R228" i="15"/>
  <c r="R235" i="15" s="1"/>
  <c r="R173" i="15"/>
  <c r="R179" i="15" s="1"/>
  <c r="BH107" i="15"/>
  <c r="BH337" i="15"/>
  <c r="BH356" i="15" s="1"/>
  <c r="BG66" i="15"/>
  <c r="BH66" i="15" s="1"/>
  <c r="R343" i="15"/>
  <c r="R201" i="15"/>
  <c r="R262" i="15" s="1"/>
  <c r="BH187" i="15"/>
  <c r="BH245" i="15"/>
  <c r="BF225" i="15"/>
  <c r="BH92" i="15"/>
  <c r="BH214" i="15"/>
  <c r="BH281" i="15"/>
  <c r="BH60" i="15"/>
  <c r="BF226" i="15"/>
  <c r="D212" i="17"/>
  <c r="S183" i="15"/>
  <c r="BH183" i="15"/>
  <c r="BH397" i="15"/>
  <c r="BH398" i="15" s="1"/>
  <c r="BF229" i="15"/>
  <c r="D205" i="17"/>
  <c r="R400" i="15"/>
  <c r="R408" i="15" s="1"/>
  <c r="BG73" i="15"/>
  <c r="BG297" i="15" s="1"/>
  <c r="BH15" i="15"/>
  <c r="BH16" i="15" s="1"/>
  <c r="BG74" i="15"/>
  <c r="BG298" i="15" s="1"/>
  <c r="D204" i="17"/>
  <c r="R339" i="15"/>
  <c r="R202" i="15"/>
  <c r="R263" i="15" s="1"/>
  <c r="R251" i="15"/>
  <c r="BF236" i="15"/>
  <c r="BG71" i="15"/>
  <c r="BH71" i="15" s="1"/>
  <c r="D197" i="17"/>
  <c r="BH179" i="15"/>
  <c r="C97" i="17"/>
  <c r="BH167" i="15"/>
  <c r="BH242" i="15"/>
  <c r="BH34" i="15"/>
  <c r="BH346" i="15"/>
  <c r="BG75" i="15"/>
  <c r="BG299" i="15" s="1"/>
  <c r="BF234" i="15"/>
  <c r="BF220" i="15"/>
  <c r="BG69" i="15"/>
  <c r="BH69" i="15" s="1"/>
  <c r="D189" i="17"/>
  <c r="R350" i="15"/>
  <c r="R254" i="15"/>
  <c r="I94" i="17"/>
  <c r="R266" i="15"/>
  <c r="BF221" i="15"/>
  <c r="I102" i="17"/>
  <c r="BH440" i="15"/>
  <c r="BH441" i="15" s="1"/>
  <c r="D206" i="17"/>
  <c r="D214" i="17"/>
  <c r="D191" i="17"/>
  <c r="D199" i="17"/>
  <c r="D207" i="17"/>
  <c r="D215" i="17"/>
  <c r="D213" i="17"/>
  <c r="D190" i="17"/>
  <c r="D198" i="17"/>
  <c r="C153" i="17"/>
  <c r="D192" i="17"/>
  <c r="D200" i="17"/>
  <c r="D208" i="17"/>
  <c r="D216" i="17"/>
  <c r="D193" i="17"/>
  <c r="D201" i="17"/>
  <c r="D209" i="17"/>
  <c r="D217" i="17"/>
  <c r="D186" i="17"/>
  <c r="D194" i="17"/>
  <c r="D202" i="17"/>
  <c r="D210" i="17"/>
  <c r="D218" i="17"/>
  <c r="D187" i="17"/>
  <c r="D195" i="17"/>
  <c r="D203" i="17"/>
  <c r="D211" i="17"/>
  <c r="D224" i="17"/>
  <c r="D196" i="17"/>
  <c r="D222" i="17"/>
  <c r="R55" i="15"/>
  <c r="R93" i="15"/>
  <c r="R341" i="15" s="1"/>
  <c r="R89" i="15"/>
  <c r="R20" i="15"/>
  <c r="R32" i="15"/>
  <c r="R43" i="15"/>
  <c r="R45" i="15" s="1"/>
  <c r="D182" i="17"/>
  <c r="D219" i="17"/>
  <c r="C247" i="17"/>
  <c r="I183" i="17"/>
  <c r="H260" i="17"/>
  <c r="D241" i="17"/>
  <c r="J184" i="17"/>
  <c r="C285" i="17"/>
  <c r="F285" i="17" s="1"/>
  <c r="BG441" i="15"/>
  <c r="BF16" i="15"/>
  <c r="BG216" i="15"/>
  <c r="BG62" i="15"/>
  <c r="BG287" i="15" s="1"/>
  <c r="BG68" i="15"/>
  <c r="BG56" i="15"/>
  <c r="BG44" i="15" s="1"/>
  <c r="BG40" i="15" s="1"/>
  <c r="BG168" i="15"/>
  <c r="BG242" i="15" s="1"/>
  <c r="BG309" i="15" s="1"/>
  <c r="BG63" i="15"/>
  <c r="BG158" i="15"/>
  <c r="BG159" i="15" s="1"/>
  <c r="BG72" i="15"/>
  <c r="BH72" i="15" s="1"/>
  <c r="K265" i="17"/>
  <c r="BG67" i="15"/>
  <c r="BH67" i="15" s="1"/>
  <c r="BG79" i="15"/>
  <c r="BH79" i="15" s="1"/>
  <c r="BG183" i="15"/>
  <c r="BG283" i="15"/>
  <c r="BG285" i="15"/>
  <c r="BG11" i="15"/>
  <c r="BG43" i="15"/>
  <c r="BG20" i="15"/>
  <c r="BG32" i="15"/>
  <c r="BG390" i="15"/>
  <c r="BG400" i="15"/>
  <c r="K264" i="17"/>
  <c r="K268" i="17" s="1"/>
  <c r="BF158" i="15"/>
  <c r="BF159" i="15" s="1"/>
  <c r="BG77" i="15"/>
  <c r="C320" i="17"/>
  <c r="C263" i="17"/>
  <c r="C298" i="17"/>
  <c r="F298" i="17" s="1"/>
  <c r="C314" i="17"/>
  <c r="BF297" i="15"/>
  <c r="K338" i="17"/>
  <c r="BF292" i="15"/>
  <c r="BF275" i="15"/>
  <c r="BF283" i="15" s="1"/>
  <c r="BF168" i="15"/>
  <c r="BF167" i="15" s="1"/>
  <c r="BF172" i="15" s="1"/>
  <c r="BF188" i="15" s="1"/>
  <c r="BF287" i="15"/>
  <c r="BF298" i="15"/>
  <c r="BF294" i="15"/>
  <c r="BF299" i="15"/>
  <c r="BF291" i="15"/>
  <c r="BF306" i="15"/>
  <c r="BF364" i="15"/>
  <c r="BF183" i="15"/>
  <c r="BF303" i="15"/>
  <c r="BF227" i="15"/>
  <c r="BF216" i="15"/>
  <c r="BF400" i="15"/>
  <c r="BF390" i="15"/>
  <c r="BF443" i="15"/>
  <c r="BF285" i="15"/>
  <c r="BF293" i="15"/>
  <c r="BF301" i="15"/>
  <c r="BF231" i="15"/>
  <c r="BF11" i="15"/>
  <c r="BF232" i="15"/>
  <c r="BF288" i="15"/>
  <c r="BF296" i="15"/>
  <c r="BF224" i="15"/>
  <c r="F351" i="17"/>
  <c r="C388" i="17"/>
  <c r="C389" i="17" s="1"/>
  <c r="K339" i="17"/>
  <c r="F367" i="17"/>
  <c r="F348" i="17"/>
  <c r="F363" i="17"/>
  <c r="C373" i="17"/>
  <c r="C399" i="17"/>
  <c r="BE76" i="15"/>
  <c r="BE65" i="15"/>
  <c r="BE61" i="15"/>
  <c r="D358" i="17" l="1"/>
  <c r="E53" i="17"/>
  <c r="S72" i="15"/>
  <c r="S15" i="15"/>
  <c r="S440" i="15"/>
  <c r="S67" i="15"/>
  <c r="S66" i="15"/>
  <c r="S79" i="15"/>
  <c r="S69" i="15"/>
  <c r="S397" i="15"/>
  <c r="I13" i="17"/>
  <c r="K8" i="17" s="1"/>
  <c r="E51" i="17"/>
  <c r="S387" i="15"/>
  <c r="S71" i="15"/>
  <c r="J10" i="17"/>
  <c r="D351" i="17"/>
  <c r="G359" i="17"/>
  <c r="BI199" i="15"/>
  <c r="BI347" i="15"/>
  <c r="BI366" i="15" s="1"/>
  <c r="BI371" i="15" s="1"/>
  <c r="BI248" i="15"/>
  <c r="BI315" i="15" s="1"/>
  <c r="BI327" i="15" s="1"/>
  <c r="BI204" i="15"/>
  <c r="BI178" i="15"/>
  <c r="BI198" i="15" s="1"/>
  <c r="BI244" i="15"/>
  <c r="BI311" i="15" s="1"/>
  <c r="BI188" i="15"/>
  <c r="BF43" i="15"/>
  <c r="BF45" i="15" s="1"/>
  <c r="BI89" i="15"/>
  <c r="BI78" i="15"/>
  <c r="BI80" i="15" s="1"/>
  <c r="BI85" i="15" s="1"/>
  <c r="BI295" i="15"/>
  <c r="BI279" i="15"/>
  <c r="G351" i="17"/>
  <c r="G341" i="17"/>
  <c r="G370" i="17"/>
  <c r="G348" i="17"/>
  <c r="D359" i="17"/>
  <c r="D360" i="17"/>
  <c r="G367" i="17"/>
  <c r="D361" i="17"/>
  <c r="D369" i="17"/>
  <c r="G368" i="17"/>
  <c r="G372" i="17"/>
  <c r="D353" i="17"/>
  <c r="D342" i="17"/>
  <c r="G347" i="17"/>
  <c r="G353" i="17"/>
  <c r="D397" i="17"/>
  <c r="D367" i="17"/>
  <c r="D398" i="17"/>
  <c r="G337" i="17"/>
  <c r="D350" i="17"/>
  <c r="L339" i="17"/>
  <c r="G355" i="17"/>
  <c r="G349" i="17"/>
  <c r="D348" i="17"/>
  <c r="L338" i="17"/>
  <c r="G354" i="17"/>
  <c r="G356" i="17"/>
  <c r="D355" i="17"/>
  <c r="G366" i="17"/>
  <c r="D396" i="17"/>
  <c r="G374" i="17"/>
  <c r="D337" i="17"/>
  <c r="D354" i="17"/>
  <c r="G343" i="17"/>
  <c r="D347" i="17"/>
  <c r="G345" i="17"/>
  <c r="G369" i="17"/>
  <c r="D399" i="17"/>
  <c r="D357" i="17"/>
  <c r="D387" i="17"/>
  <c r="D349" i="17"/>
  <c r="D344" i="17"/>
  <c r="D363" i="17"/>
  <c r="D365" i="17"/>
  <c r="G361" i="17"/>
  <c r="D372" i="17"/>
  <c r="D374" i="17"/>
  <c r="D341" i="17"/>
  <c r="G358" i="17"/>
  <c r="L341" i="17"/>
  <c r="D345" i="17"/>
  <c r="D370" i="17"/>
  <c r="D368" i="17"/>
  <c r="D356" i="17"/>
  <c r="G342" i="17"/>
  <c r="D395" i="17"/>
  <c r="G357" i="17"/>
  <c r="G344" i="17"/>
  <c r="D362" i="17"/>
  <c r="D394" i="17"/>
  <c r="G363" i="17"/>
  <c r="D343" i="17"/>
  <c r="G350" i="17"/>
  <c r="D366" i="17"/>
  <c r="G362" i="17"/>
  <c r="BG224" i="15"/>
  <c r="R248" i="15"/>
  <c r="R199" i="15"/>
  <c r="R260" i="15" s="1"/>
  <c r="BG291" i="15"/>
  <c r="R245" i="15"/>
  <c r="R347" i="15"/>
  <c r="R196" i="15"/>
  <c r="R257" i="15" s="1"/>
  <c r="R187" i="15"/>
  <c r="R360" i="15"/>
  <c r="BH73" i="15"/>
  <c r="BH297" i="15" s="1"/>
  <c r="BG294" i="15"/>
  <c r="BG232" i="15"/>
  <c r="BG231" i="15"/>
  <c r="BG227" i="15"/>
  <c r="BH77" i="15"/>
  <c r="BH234" i="15" s="1"/>
  <c r="R172" i="15"/>
  <c r="R348" i="15"/>
  <c r="R241" i="15"/>
  <c r="BH227" i="15"/>
  <c r="BH294" i="15"/>
  <c r="BH236" i="15"/>
  <c r="BH303" i="15"/>
  <c r="BH225" i="15"/>
  <c r="BH292" i="15"/>
  <c r="BF65" i="15"/>
  <c r="BH63" i="15"/>
  <c r="BI94" i="15" s="1"/>
  <c r="C163" i="17"/>
  <c r="C139" i="17"/>
  <c r="BH296" i="15"/>
  <c r="BH229" i="15"/>
  <c r="BH291" i="15"/>
  <c r="BH224" i="15"/>
  <c r="BH347" i="15"/>
  <c r="BH199" i="15"/>
  <c r="BH248" i="15"/>
  <c r="BH285" i="15"/>
  <c r="BI317" i="15" s="1"/>
  <c r="BH218" i="15"/>
  <c r="BF76" i="15"/>
  <c r="R275" i="15"/>
  <c r="R285" i="15"/>
  <c r="R297" i="15"/>
  <c r="R286" i="15"/>
  <c r="R301" i="15"/>
  <c r="R296" i="15"/>
  <c r="R288" i="15"/>
  <c r="R294" i="15"/>
  <c r="R303" i="15"/>
  <c r="R287" i="15"/>
  <c r="R293" i="15"/>
  <c r="R299" i="15"/>
  <c r="R291" i="15"/>
  <c r="R281" i="15"/>
  <c r="R300" i="15"/>
  <c r="R292" i="15"/>
  <c r="R290" i="15"/>
  <c r="R298" i="15"/>
  <c r="R357" i="15"/>
  <c r="R289" i="15"/>
  <c r="R317" i="15"/>
  <c r="R361" i="15"/>
  <c r="R356" i="15"/>
  <c r="BH32" i="15"/>
  <c r="BH20" i="15"/>
  <c r="BH43" i="15"/>
  <c r="BH283" i="15"/>
  <c r="BH443" i="15"/>
  <c r="BH56" i="15"/>
  <c r="BH44" i="15" s="1"/>
  <c r="BH40" i="15" s="1"/>
  <c r="BH400" i="15"/>
  <c r="BH408" i="15" s="1"/>
  <c r="BH216" i="15"/>
  <c r="BH241" i="15"/>
  <c r="BH348" i="15"/>
  <c r="BH172" i="15"/>
  <c r="R318" i="15"/>
  <c r="BH74" i="15"/>
  <c r="S74" i="15" s="1"/>
  <c r="BH75" i="15"/>
  <c r="S75" i="15" s="1"/>
  <c r="BH68" i="15"/>
  <c r="S68" i="15" s="1"/>
  <c r="BH251" i="15"/>
  <c r="BH318" i="15" s="1"/>
  <c r="BH339" i="15"/>
  <c r="BH358" i="15" s="1"/>
  <c r="C144" i="17"/>
  <c r="D144" i="17" s="1"/>
  <c r="G285" i="17"/>
  <c r="R277" i="15"/>
  <c r="BH62" i="15"/>
  <c r="S62" i="15" s="1"/>
  <c r="R358" i="15"/>
  <c r="R362" i="15"/>
  <c r="R90" i="15"/>
  <c r="R49" i="15"/>
  <c r="R47" i="15"/>
  <c r="I187" i="17"/>
  <c r="I185" i="17"/>
  <c r="J185" i="17" s="1"/>
  <c r="R36" i="15"/>
  <c r="R37" i="15"/>
  <c r="R22" i="15"/>
  <c r="R24" i="15" s="1"/>
  <c r="R95" i="15" s="1"/>
  <c r="G298" i="17"/>
  <c r="D320" i="17"/>
  <c r="D263" i="17"/>
  <c r="G289" i="17"/>
  <c r="G282" i="17"/>
  <c r="G275" i="17"/>
  <c r="G271" i="17"/>
  <c r="D276" i="17"/>
  <c r="G287" i="17"/>
  <c r="G274" i="17"/>
  <c r="G277" i="17"/>
  <c r="D321" i="17"/>
  <c r="G279" i="17"/>
  <c r="G268" i="17"/>
  <c r="D274" i="17"/>
  <c r="G281" i="17"/>
  <c r="G288" i="17"/>
  <c r="D269" i="17"/>
  <c r="D313" i="17"/>
  <c r="D322" i="17"/>
  <c r="D268" i="17"/>
  <c r="D280" i="17"/>
  <c r="D300" i="17"/>
  <c r="D323" i="17"/>
  <c r="D267" i="17"/>
  <c r="G269" i="17"/>
  <c r="G280" i="17"/>
  <c r="G293" i="17"/>
  <c r="G270" i="17"/>
  <c r="G284" i="17"/>
  <c r="G294" i="17"/>
  <c r="G273" i="17"/>
  <c r="D290" i="17"/>
  <c r="G286" i="17"/>
  <c r="D270" i="17"/>
  <c r="D273" i="17"/>
  <c r="D275" i="17"/>
  <c r="D277" i="17"/>
  <c r="D283" i="17"/>
  <c r="D287" i="17"/>
  <c r="D289" i="17"/>
  <c r="D292" i="17"/>
  <c r="D294" i="17"/>
  <c r="D296" i="17"/>
  <c r="D281" i="17"/>
  <c r="D279" i="17"/>
  <c r="D284" i="17"/>
  <c r="D286" i="17"/>
  <c r="D288" i="17"/>
  <c r="D291" i="17"/>
  <c r="D293" i="17"/>
  <c r="D295" i="17"/>
  <c r="D282" i="17"/>
  <c r="G276" i="17"/>
  <c r="G283" i="17"/>
  <c r="G290" i="17"/>
  <c r="G296" i="17"/>
  <c r="G292" i="17"/>
  <c r="G267" i="17"/>
  <c r="G295" i="17"/>
  <c r="G300" i="17"/>
  <c r="D324" i="17"/>
  <c r="L267" i="17"/>
  <c r="D271" i="17"/>
  <c r="D285" i="17"/>
  <c r="BG167" i="15"/>
  <c r="D235" i="17"/>
  <c r="D242" i="17"/>
  <c r="D244" i="17"/>
  <c r="D243" i="17"/>
  <c r="J186" i="17"/>
  <c r="D245" i="17"/>
  <c r="J183" i="17"/>
  <c r="D246" i="17"/>
  <c r="L265" i="17"/>
  <c r="C221" i="17"/>
  <c r="D247" i="17"/>
  <c r="BG443" i="15"/>
  <c r="L264" i="17"/>
  <c r="BF32" i="15"/>
  <c r="BF20" i="15"/>
  <c r="BF36" i="15" s="1"/>
  <c r="BG220" i="15"/>
  <c r="BG45" i="15"/>
  <c r="K266" i="17"/>
  <c r="L266" i="17" s="1"/>
  <c r="BG173" i="15"/>
  <c r="BG346" i="15"/>
  <c r="BG365" i="15" s="1"/>
  <c r="BF346" i="15"/>
  <c r="BF365" i="15" s="1"/>
  <c r="BF242" i="15"/>
  <c r="BF309" i="15" s="1"/>
  <c r="BF173" i="15"/>
  <c r="BF245" i="15" s="1"/>
  <c r="BF312" i="15" s="1"/>
  <c r="BG408" i="15"/>
  <c r="BG234" i="15"/>
  <c r="BG301" i="15"/>
  <c r="BG292" i="15"/>
  <c r="BG225" i="15"/>
  <c r="BG236" i="15"/>
  <c r="BG303" i="15"/>
  <c r="BG288" i="15"/>
  <c r="BG221" i="15"/>
  <c r="D298" i="17"/>
  <c r="BG22" i="15"/>
  <c r="BG24" i="15" s="1"/>
  <c r="BG36" i="15"/>
  <c r="BG37" i="15"/>
  <c r="BG296" i="15"/>
  <c r="BG229" i="15"/>
  <c r="BG226" i="15"/>
  <c r="BG293" i="15"/>
  <c r="K342" i="17"/>
  <c r="F263" i="17"/>
  <c r="C325" i="17"/>
  <c r="C299" i="17"/>
  <c r="D314" i="17"/>
  <c r="C315" i="17"/>
  <c r="BF61" i="15"/>
  <c r="BF408" i="15"/>
  <c r="BF178" i="15"/>
  <c r="BF241" i="15"/>
  <c r="BF308" i="15" s="1"/>
  <c r="BF348" i="15"/>
  <c r="BF367" i="15" s="1"/>
  <c r="BF277" i="15"/>
  <c r="BF49" i="15"/>
  <c r="BF47" i="15"/>
  <c r="BF39" i="15"/>
  <c r="D388" i="17"/>
  <c r="K340" i="17"/>
  <c r="F373" i="17"/>
  <c r="F375" i="17" s="1"/>
  <c r="C375" i="17"/>
  <c r="C382" i="17" s="1"/>
  <c r="C377" i="17"/>
  <c r="C400" i="17"/>
  <c r="D400" i="17" s="1"/>
  <c r="BE449" i="15"/>
  <c r="BE448" i="15"/>
  <c r="BE447" i="15"/>
  <c r="BE446" i="15"/>
  <c r="BE445" i="15"/>
  <c r="BE441" i="15"/>
  <c r="BI442" i="15" s="1"/>
  <c r="BE439" i="15"/>
  <c r="BE437" i="15"/>
  <c r="BE435" i="15"/>
  <c r="BE433" i="15"/>
  <c r="BE431" i="15"/>
  <c r="BE427" i="15"/>
  <c r="BE426" i="15"/>
  <c r="BE425" i="15"/>
  <c r="BE424" i="15"/>
  <c r="BE423" i="15"/>
  <c r="BE420" i="15"/>
  <c r="BE418" i="15"/>
  <c r="BE416" i="15"/>
  <c r="BE414" i="15"/>
  <c r="BE412" i="15"/>
  <c r="BE406" i="15"/>
  <c r="BE405" i="15"/>
  <c r="BE404" i="15"/>
  <c r="BE403" i="15"/>
  <c r="BE402" i="15"/>
  <c r="BE398" i="15"/>
  <c r="BI399" i="15" s="1"/>
  <c r="BE392" i="15"/>
  <c r="BE388" i="15"/>
  <c r="BI389" i="15" s="1"/>
  <c r="BE386" i="15"/>
  <c r="BE384" i="15"/>
  <c r="BE382" i="15"/>
  <c r="BE380" i="15"/>
  <c r="BE378" i="15"/>
  <c r="BE355" i="15"/>
  <c r="BE345" i="15"/>
  <c r="BE364" i="15" s="1"/>
  <c r="BE336" i="15"/>
  <c r="BE273" i="15"/>
  <c r="BE272" i="15"/>
  <c r="BE271" i="15"/>
  <c r="BE299" i="15"/>
  <c r="BE239" i="15"/>
  <c r="BE306" i="15" s="1"/>
  <c r="BE236" i="15"/>
  <c r="BE234" i="15"/>
  <c r="BE232" i="15"/>
  <c r="BE229" i="15"/>
  <c r="BE227" i="15"/>
  <c r="BE226" i="15"/>
  <c r="BE224" i="15"/>
  <c r="BE221" i="15"/>
  <c r="BE220" i="15"/>
  <c r="BE219" i="15"/>
  <c r="BE214" i="15"/>
  <c r="BI215" i="15" s="1"/>
  <c r="BE211" i="15"/>
  <c r="BI212" i="15" s="1"/>
  <c r="BE209" i="15"/>
  <c r="BE208" i="15"/>
  <c r="BE190" i="15"/>
  <c r="BE158" i="15"/>
  <c r="BE159" i="15" s="1"/>
  <c r="BE168" i="15"/>
  <c r="BE106" i="15"/>
  <c r="BE99" i="15"/>
  <c r="BE87" i="15"/>
  <c r="BE233" i="15"/>
  <c r="BE225" i="15"/>
  <c r="BE39" i="15"/>
  <c r="BE60" i="15"/>
  <c r="BE64" i="15" s="1"/>
  <c r="BE70" i="15" s="1"/>
  <c r="BE59" i="15"/>
  <c r="BE50" i="15"/>
  <c r="BI51" i="15" s="1"/>
  <c r="BE44" i="15"/>
  <c r="BE40" i="15" s="1"/>
  <c r="BE42" i="15"/>
  <c r="BE35" i="15"/>
  <c r="BE31" i="15"/>
  <c r="BE30" i="15"/>
  <c r="BE29" i="15"/>
  <c r="BE28" i="15"/>
  <c r="BE10" i="15"/>
  <c r="BE8" i="15"/>
  <c r="K10" i="17" l="1"/>
  <c r="S56" i="15"/>
  <c r="S44" i="15" s="1"/>
  <c r="BG76" i="15"/>
  <c r="BG300" i="15" s="1"/>
  <c r="S73" i="15"/>
  <c r="BG61" i="15"/>
  <c r="S77" i="15"/>
  <c r="S63" i="15"/>
  <c r="BI320" i="15"/>
  <c r="BI324" i="15"/>
  <c r="BI323" i="15"/>
  <c r="BG65" i="15"/>
  <c r="BH65" i="15" s="1"/>
  <c r="BI302" i="15"/>
  <c r="BF223" i="15"/>
  <c r="BI247" i="15"/>
  <c r="BI314" i="15" s="1"/>
  <c r="BI326" i="15" s="1"/>
  <c r="BI349" i="15"/>
  <c r="BI368" i="15" s="1"/>
  <c r="BI372" i="15" s="1"/>
  <c r="R352" i="15"/>
  <c r="BI321" i="15"/>
  <c r="BI352" i="15"/>
  <c r="BI260" i="15"/>
  <c r="BI342" i="15"/>
  <c r="BI361" i="15" s="1"/>
  <c r="BI202" i="15"/>
  <c r="BI263" i="15" s="1"/>
  <c r="D389" i="17"/>
  <c r="D373" i="17"/>
  <c r="BF290" i="15"/>
  <c r="BF300" i="15"/>
  <c r="BH301" i="15"/>
  <c r="R279" i="15"/>
  <c r="R178" i="15"/>
  <c r="R204" i="15"/>
  <c r="R244" i="15"/>
  <c r="R188" i="15"/>
  <c r="R195" i="15"/>
  <c r="R256" i="15" s="1"/>
  <c r="BF233" i="15"/>
  <c r="R351" i="15"/>
  <c r="R253" i="15"/>
  <c r="BH50" i="15"/>
  <c r="BG233" i="15"/>
  <c r="BH76" i="15"/>
  <c r="S76" i="15" s="1"/>
  <c r="BH298" i="15"/>
  <c r="BH231" i="15"/>
  <c r="R330" i="15"/>
  <c r="R329" i="15"/>
  <c r="I103" i="17"/>
  <c r="BH61" i="15"/>
  <c r="S61" i="15" s="1"/>
  <c r="BH352" i="15"/>
  <c r="BH260" i="15"/>
  <c r="BH45" i="15"/>
  <c r="BI90" i="15" s="1"/>
  <c r="R359" i="15"/>
  <c r="BH36" i="15"/>
  <c r="BH22" i="15"/>
  <c r="BH24" i="15" s="1"/>
  <c r="BH37" i="15"/>
  <c r="BH221" i="15"/>
  <c r="BH288" i="15"/>
  <c r="BI330" i="15" s="1"/>
  <c r="BH94" i="15"/>
  <c r="BH244" i="15"/>
  <c r="BH204" i="15"/>
  <c r="BH188" i="15"/>
  <c r="BH178" i="15"/>
  <c r="BH226" i="15"/>
  <c r="BH293" i="15"/>
  <c r="BH300" i="15"/>
  <c r="E139" i="17"/>
  <c r="C143" i="17"/>
  <c r="C141" i="17"/>
  <c r="BH220" i="15"/>
  <c r="BH287" i="15"/>
  <c r="C164" i="17"/>
  <c r="C165" i="17" s="1"/>
  <c r="BH232" i="15"/>
  <c r="BH299" i="15"/>
  <c r="R283" i="15"/>
  <c r="C145" i="17"/>
  <c r="BF22" i="15"/>
  <c r="BF24" i="15" s="1"/>
  <c r="BF37" i="15"/>
  <c r="D315" i="17"/>
  <c r="D299" i="17"/>
  <c r="BG49" i="15"/>
  <c r="BG277" i="15"/>
  <c r="BG279" i="15" s="1"/>
  <c r="BG47" i="15"/>
  <c r="BG179" i="15"/>
  <c r="BG248" i="15" s="1"/>
  <c r="BG315" i="15" s="1"/>
  <c r="BG187" i="15"/>
  <c r="BG241" i="15"/>
  <c r="BG308" i="15" s="1"/>
  <c r="BG172" i="15"/>
  <c r="BG188" i="15" s="1"/>
  <c r="BG348" i="15"/>
  <c r="BG367" i="15" s="1"/>
  <c r="D236" i="17"/>
  <c r="D221" i="17"/>
  <c r="C223" i="17"/>
  <c r="C230" i="17" s="1"/>
  <c r="C225" i="17"/>
  <c r="BG245" i="15"/>
  <c r="BG312" i="15" s="1"/>
  <c r="BF286" i="15"/>
  <c r="BF187" i="15"/>
  <c r="BF179" i="15"/>
  <c r="BF64" i="15"/>
  <c r="C303" i="17"/>
  <c r="C301" i="17"/>
  <c r="C308" i="17" s="1"/>
  <c r="BF219" i="15"/>
  <c r="BF222" i="15" s="1"/>
  <c r="D325" i="17"/>
  <c r="C326" i="17"/>
  <c r="D326" i="17" s="1"/>
  <c r="G263" i="17"/>
  <c r="F299" i="17"/>
  <c r="BF279" i="15"/>
  <c r="BF204" i="15"/>
  <c r="BF244" i="15"/>
  <c r="BF311" i="15" s="1"/>
  <c r="L340" i="17"/>
  <c r="BE183" i="15"/>
  <c r="BE400" i="15"/>
  <c r="BE300" i="15"/>
  <c r="BE301" i="15"/>
  <c r="BE286" i="15"/>
  <c r="BE16" i="15"/>
  <c r="BE275" i="15"/>
  <c r="BI276" i="15" s="1"/>
  <c r="BE11" i="15"/>
  <c r="BE298" i="15"/>
  <c r="BE292" i="15"/>
  <c r="BE293" i="15"/>
  <c r="BE218" i="15"/>
  <c r="BE222" i="15" s="1"/>
  <c r="BE285" i="15"/>
  <c r="BH317" i="15" s="1"/>
  <c r="BE216" i="15"/>
  <c r="BE443" i="15"/>
  <c r="BE289" i="15"/>
  <c r="BE242" i="15"/>
  <c r="BE309" i="15" s="1"/>
  <c r="BE173" i="15"/>
  <c r="BE346" i="15"/>
  <c r="BE365" i="15" s="1"/>
  <c r="BE167" i="15"/>
  <c r="BE390" i="15"/>
  <c r="BE52" i="15"/>
  <c r="BE451" i="15" s="1"/>
  <c r="BE294" i="15"/>
  <c r="BE287" i="15"/>
  <c r="BE303" i="15"/>
  <c r="BE231" i="15"/>
  <c r="BE288" i="15"/>
  <c r="BE296" i="15"/>
  <c r="BE223" i="15"/>
  <c r="BE297" i="15"/>
  <c r="BE281" i="15"/>
  <c r="BI282" i="15" s="1"/>
  <c r="BE290" i="15"/>
  <c r="BE291" i="15"/>
  <c r="F431" i="17"/>
  <c r="F430" i="17"/>
  <c r="F429" i="17"/>
  <c r="F428" i="17"/>
  <c r="F427" i="17"/>
  <c r="BD266" i="15"/>
  <c r="S355" i="15"/>
  <c r="CH440" i="15"/>
  <c r="CI438" i="15"/>
  <c r="CI436" i="15"/>
  <c r="CI434" i="15"/>
  <c r="CI432" i="15"/>
  <c r="CI419" i="15"/>
  <c r="CI420" i="15" s="1"/>
  <c r="CI417" i="15"/>
  <c r="CI418" i="15" s="1"/>
  <c r="CI415" i="15"/>
  <c r="CI416" i="15" s="1"/>
  <c r="CI413" i="15"/>
  <c r="CI396" i="15"/>
  <c r="CI395" i="15"/>
  <c r="CI394" i="15"/>
  <c r="CI393" i="15"/>
  <c r="CH387" i="15"/>
  <c r="CH397" i="15"/>
  <c r="CI385" i="15"/>
  <c r="CI386" i="15" s="1"/>
  <c r="CI383" i="15"/>
  <c r="CI381" i="15"/>
  <c r="CI382" i="15" s="1"/>
  <c r="CI379" i="15"/>
  <c r="CI57" i="15"/>
  <c r="CI23" i="15"/>
  <c r="CI21" i="15"/>
  <c r="CI19" i="15"/>
  <c r="CI18" i="15"/>
  <c r="CI17" i="15"/>
  <c r="CI15" i="15"/>
  <c r="CI14" i="15"/>
  <c r="CI13" i="15"/>
  <c r="CI12" i="15"/>
  <c r="CI9" i="15"/>
  <c r="CI7" i="15"/>
  <c r="CI445" i="15"/>
  <c r="CI431" i="15"/>
  <c r="CI423" i="15"/>
  <c r="CI412" i="15"/>
  <c r="CI402" i="15"/>
  <c r="CI392" i="15"/>
  <c r="CI378" i="15"/>
  <c r="CI59" i="15"/>
  <c r="CI42" i="15"/>
  <c r="BD438" i="15"/>
  <c r="BH439" i="15" s="1"/>
  <c r="BD436" i="15"/>
  <c r="BH437" i="15" s="1"/>
  <c r="BD434" i="15"/>
  <c r="BH435" i="15" s="1"/>
  <c r="BD432" i="15"/>
  <c r="BH433" i="15" s="1"/>
  <c r="BD419" i="15"/>
  <c r="BH420" i="15" s="1"/>
  <c r="BD417" i="15"/>
  <c r="BH418" i="15" s="1"/>
  <c r="BD415" i="15"/>
  <c r="BH416" i="15" s="1"/>
  <c r="BD413" i="15"/>
  <c r="BH414" i="15" s="1"/>
  <c r="BD396" i="15"/>
  <c r="BD395" i="15"/>
  <c r="BD394" i="15"/>
  <c r="BD393" i="15"/>
  <c r="BD385" i="15"/>
  <c r="BH386" i="15" s="1"/>
  <c r="BD383" i="15"/>
  <c r="BH384" i="15" s="1"/>
  <c r="BD381" i="15"/>
  <c r="BH382" i="15" s="1"/>
  <c r="BD379" i="15"/>
  <c r="BH380" i="15" s="1"/>
  <c r="BD186" i="15"/>
  <c r="BD185" i="15"/>
  <c r="BD170" i="15"/>
  <c r="BD165" i="15"/>
  <c r="BD345" i="15" s="1"/>
  <c r="BD156" i="15"/>
  <c r="BD155" i="15"/>
  <c r="BD152" i="15"/>
  <c r="BD151" i="15"/>
  <c r="C440" i="17" s="1"/>
  <c r="BD147" i="15"/>
  <c r="BD146" i="15"/>
  <c r="C443" i="17" s="1"/>
  <c r="BD145" i="15"/>
  <c r="C439" i="17" s="1"/>
  <c r="BD144" i="15"/>
  <c r="BD143" i="15"/>
  <c r="BD142" i="15"/>
  <c r="BD141" i="15"/>
  <c r="BD140" i="15"/>
  <c r="BD139" i="15"/>
  <c r="C436" i="17" s="1"/>
  <c r="F436" i="17" s="1"/>
  <c r="BD138" i="15"/>
  <c r="C435" i="17" s="1"/>
  <c r="BD137" i="15"/>
  <c r="BD133" i="15"/>
  <c r="C418" i="17" s="1"/>
  <c r="F418" i="17" s="1"/>
  <c r="BD132" i="15"/>
  <c r="BD131" i="15"/>
  <c r="C425" i="17" s="1"/>
  <c r="BD129" i="15"/>
  <c r="C424" i="17" s="1"/>
  <c r="F424" i="17" s="1"/>
  <c r="BD127" i="15"/>
  <c r="BD126" i="15"/>
  <c r="C423" i="17" s="1"/>
  <c r="BD125" i="15"/>
  <c r="C422" i="17" s="1"/>
  <c r="F422" i="17" s="1"/>
  <c r="BD124" i="15"/>
  <c r="C421" i="17" s="1"/>
  <c r="BD123" i="15"/>
  <c r="BD122" i="15"/>
  <c r="BD121" i="15"/>
  <c r="BD120" i="15"/>
  <c r="C415" i="17" s="1"/>
  <c r="F415" i="17" s="1"/>
  <c r="BD119" i="15"/>
  <c r="BD105" i="15"/>
  <c r="BD104" i="15"/>
  <c r="BD103" i="15"/>
  <c r="BD102" i="15"/>
  <c r="BD57" i="15"/>
  <c r="BD23" i="15"/>
  <c r="BD21" i="15"/>
  <c r="BD19" i="15"/>
  <c r="BD18" i="15"/>
  <c r="BD17" i="15"/>
  <c r="BD15" i="15"/>
  <c r="BD14" i="15"/>
  <c r="BD13" i="15"/>
  <c r="BD12" i="15"/>
  <c r="BD9" i="15"/>
  <c r="BD7" i="15"/>
  <c r="BH8" i="15" s="1"/>
  <c r="BD445" i="15"/>
  <c r="BD431" i="15"/>
  <c r="BD423" i="15"/>
  <c r="BD412" i="15"/>
  <c r="BD402" i="15"/>
  <c r="BD392" i="15"/>
  <c r="BD378" i="15"/>
  <c r="BD355" i="15"/>
  <c r="BD336" i="15"/>
  <c r="BD273" i="15"/>
  <c r="BD272" i="15"/>
  <c r="BD271" i="15"/>
  <c r="BD209" i="15"/>
  <c r="BD208" i="15"/>
  <c r="BD190" i="15"/>
  <c r="BD99" i="15"/>
  <c r="BD59" i="15"/>
  <c r="BD42" i="15"/>
  <c r="Q440" i="15"/>
  <c r="Q441" i="15" s="1"/>
  <c r="R442" i="15" s="1"/>
  <c r="Q397" i="15"/>
  <c r="Q398" i="15" s="1"/>
  <c r="R399" i="15" s="1"/>
  <c r="Q387" i="15"/>
  <c r="Q388" i="15" s="1"/>
  <c r="Q267" i="15"/>
  <c r="Q182" i="15"/>
  <c r="BD182" i="15" s="1"/>
  <c r="Q181" i="15"/>
  <c r="BD181" i="15" s="1"/>
  <c r="Q176" i="15"/>
  <c r="BD176" i="15" s="1"/>
  <c r="Q157" i="15"/>
  <c r="Q158" i="15" s="1"/>
  <c r="Q115" i="15"/>
  <c r="BD115" i="15" s="1"/>
  <c r="Q114" i="15"/>
  <c r="BD114" i="15" s="1"/>
  <c r="Q101" i="15"/>
  <c r="BD101" i="15" s="1"/>
  <c r="Q76" i="15"/>
  <c r="Q233" i="15" s="1"/>
  <c r="Q67" i="15"/>
  <c r="Q225" i="15" s="1"/>
  <c r="Q65" i="15"/>
  <c r="Q39" i="15" s="1"/>
  <c r="Q62" i="15"/>
  <c r="Q220" i="15" s="1"/>
  <c r="Q56" i="15"/>
  <c r="Q44" i="15" s="1"/>
  <c r="Q40" i="15" s="1"/>
  <c r="Q8" i="15"/>
  <c r="P8" i="15"/>
  <c r="Q51" i="15"/>
  <c r="P51" i="15"/>
  <c r="Q449" i="15"/>
  <c r="Q448" i="15"/>
  <c r="Q447" i="15"/>
  <c r="Q446" i="15"/>
  <c r="Q445" i="15"/>
  <c r="Q439" i="15"/>
  <c r="Q437" i="15"/>
  <c r="Q435" i="15"/>
  <c r="Q433" i="15"/>
  <c r="Q431" i="15"/>
  <c r="Q427" i="15"/>
  <c r="Q426" i="15"/>
  <c r="Q425" i="15"/>
  <c r="Q424" i="15"/>
  <c r="Q423" i="15"/>
  <c r="Q420" i="15"/>
  <c r="Q418" i="15"/>
  <c r="Q416" i="15"/>
  <c r="Q414" i="15"/>
  <c r="Q412" i="15"/>
  <c r="Q406" i="15"/>
  <c r="Q405" i="15"/>
  <c r="Q404" i="15"/>
  <c r="Q403" i="15"/>
  <c r="Q402" i="15"/>
  <c r="Q392" i="15"/>
  <c r="Q386" i="15"/>
  <c r="Q384" i="15"/>
  <c r="Q382" i="15"/>
  <c r="Q380" i="15"/>
  <c r="Q378" i="15"/>
  <c r="Q355" i="15"/>
  <c r="Q345" i="15"/>
  <c r="Q336" i="15"/>
  <c r="Q273" i="15"/>
  <c r="Q272" i="15"/>
  <c r="Q271" i="15"/>
  <c r="Q239" i="15"/>
  <c r="Q236" i="15"/>
  <c r="Q234" i="15"/>
  <c r="Q232" i="15"/>
  <c r="Q229" i="15"/>
  <c r="Q227" i="15"/>
  <c r="Q226" i="15"/>
  <c r="Q224" i="15"/>
  <c r="Q221" i="15"/>
  <c r="Q218" i="15"/>
  <c r="Q214" i="15"/>
  <c r="Q211" i="15"/>
  <c r="Q208" i="15"/>
  <c r="Q190" i="15"/>
  <c r="Q111" i="15"/>
  <c r="Q110" i="15"/>
  <c r="Q109" i="15"/>
  <c r="Q106" i="15"/>
  <c r="Q99" i="15"/>
  <c r="Q94" i="15"/>
  <c r="Q342" i="15" s="1"/>
  <c r="Q91" i="15"/>
  <c r="Q88" i="15"/>
  <c r="Q337" i="15" s="1"/>
  <c r="Q87" i="15"/>
  <c r="Q59" i="15"/>
  <c r="Q54" i="15"/>
  <c r="Q60" i="15" s="1"/>
  <c r="Q52" i="15"/>
  <c r="Q451" i="15" s="1"/>
  <c r="Q42" i="15"/>
  <c r="Q35" i="15"/>
  <c r="Q33" i="15"/>
  <c r="Q31" i="15"/>
  <c r="Q30" i="15"/>
  <c r="Q29" i="15"/>
  <c r="Q28" i="15"/>
  <c r="Q10" i="15"/>
  <c r="Q11" i="15" s="1"/>
  <c r="C522" i="17"/>
  <c r="K488" i="17" s="1"/>
  <c r="C518" i="17"/>
  <c r="C520" i="17"/>
  <c r="K486" i="17" s="1"/>
  <c r="C515" i="17"/>
  <c r="F515" i="17" s="1"/>
  <c r="C514" i="17"/>
  <c r="F514" i="17" s="1"/>
  <c r="C513" i="17"/>
  <c r="F513" i="17" s="1"/>
  <c r="C512" i="17"/>
  <c r="F512" i="17" s="1"/>
  <c r="C511" i="17"/>
  <c r="F511" i="17" s="1"/>
  <c r="C508" i="17"/>
  <c r="F508" i="17" s="1"/>
  <c r="C507" i="17"/>
  <c r="F507" i="17" s="1"/>
  <c r="C506" i="17"/>
  <c r="F506" i="17" s="1"/>
  <c r="C505" i="17"/>
  <c r="F505" i="17" s="1"/>
  <c r="C504" i="17"/>
  <c r="F504" i="17" s="1"/>
  <c r="G504" i="17" s="1"/>
  <c r="C497" i="17"/>
  <c r="F497" i="17" s="1"/>
  <c r="C496" i="17"/>
  <c r="F496" i="17" s="1"/>
  <c r="C495" i="17"/>
  <c r="F495" i="17" s="1"/>
  <c r="C494" i="17"/>
  <c r="F494" i="17" s="1"/>
  <c r="C492" i="17"/>
  <c r="F492" i="17" s="1"/>
  <c r="C491" i="17"/>
  <c r="F491" i="17" s="1"/>
  <c r="C490" i="17"/>
  <c r="F490" i="17" s="1"/>
  <c r="C489" i="17"/>
  <c r="F489" i="17" s="1"/>
  <c r="C488" i="17"/>
  <c r="F488" i="17" s="1"/>
  <c r="H481" i="17"/>
  <c r="D544" i="17" s="1"/>
  <c r="F503" i="17"/>
  <c r="F502" i="17"/>
  <c r="F501" i="17"/>
  <c r="F500" i="17"/>
  <c r="F499" i="17"/>
  <c r="CG73" i="15"/>
  <c r="CH73" i="15" s="1"/>
  <c r="BC440" i="15"/>
  <c r="BC397" i="15"/>
  <c r="BC387" i="15"/>
  <c r="BH233" i="15" l="1"/>
  <c r="S65" i="15"/>
  <c r="BI95" i="15"/>
  <c r="BI96" i="15"/>
  <c r="BI343" i="15" s="1"/>
  <c r="BI362" i="15" s="1"/>
  <c r="BH39" i="15"/>
  <c r="BH290" i="15"/>
  <c r="BI329" i="15" s="1"/>
  <c r="BH223" i="15"/>
  <c r="BH96" i="15"/>
  <c r="BH343" i="15" s="1"/>
  <c r="BH362" i="15" s="1"/>
  <c r="BH52" i="15"/>
  <c r="BH451" i="15" s="1"/>
  <c r="BI91" i="15"/>
  <c r="BI192" i="15" s="1"/>
  <c r="BI304" i="15"/>
  <c r="BI237" i="15"/>
  <c r="BI238" i="15" s="1"/>
  <c r="BI81" i="15"/>
  <c r="BI305" i="15" s="1"/>
  <c r="BF228" i="15"/>
  <c r="BF235" i="15" s="1"/>
  <c r="BI259" i="15"/>
  <c r="BI353" i="15"/>
  <c r="BG39" i="15"/>
  <c r="BG290" i="15"/>
  <c r="BG223" i="15"/>
  <c r="BD267" i="15"/>
  <c r="Q268" i="15"/>
  <c r="BG204" i="15"/>
  <c r="BF289" i="15"/>
  <c r="BF70" i="15"/>
  <c r="BH91" i="15"/>
  <c r="BG347" i="15"/>
  <c r="BG366" i="15" s="1"/>
  <c r="R247" i="15"/>
  <c r="R349" i="15"/>
  <c r="R198" i="15"/>
  <c r="BG178" i="15"/>
  <c r="BG247" i="15" s="1"/>
  <c r="BG314" i="15" s="1"/>
  <c r="C228" i="17"/>
  <c r="BH349" i="15"/>
  <c r="BH198" i="15"/>
  <c r="BH247" i="15"/>
  <c r="Q390" i="15"/>
  <c r="R389" i="15"/>
  <c r="BE32" i="15"/>
  <c r="BH89" i="15"/>
  <c r="BH277" i="15"/>
  <c r="BH279" i="15" s="1"/>
  <c r="BH47" i="15"/>
  <c r="BH49" i="15"/>
  <c r="BH330" i="15"/>
  <c r="BG244" i="15"/>
  <c r="BG311" i="15" s="1"/>
  <c r="C147" i="17"/>
  <c r="C148" i="17" s="1"/>
  <c r="E141" i="17"/>
  <c r="R212" i="15"/>
  <c r="BH342" i="15"/>
  <c r="BH361" i="15" s="1"/>
  <c r="BH202" i="15"/>
  <c r="BH263" i="15" s="1"/>
  <c r="BH219" i="15"/>
  <c r="BH222" i="15" s="1"/>
  <c r="BH286" i="15"/>
  <c r="BH64" i="15"/>
  <c r="BH70" i="15" s="1"/>
  <c r="R215" i="15"/>
  <c r="K98" i="17"/>
  <c r="K100" i="17"/>
  <c r="Q306" i="15"/>
  <c r="I179" i="17"/>
  <c r="D225" i="17"/>
  <c r="D223" i="17"/>
  <c r="BF347" i="15"/>
  <c r="BF366" i="15" s="1"/>
  <c r="C306" i="17"/>
  <c r="BF248" i="15"/>
  <c r="BF315" i="15" s="1"/>
  <c r="BG33" i="15"/>
  <c r="BF33" i="15"/>
  <c r="BF34" i="15"/>
  <c r="BG34" i="15"/>
  <c r="BG88" i="15"/>
  <c r="BG286" i="15"/>
  <c r="BG219" i="15"/>
  <c r="BG222" i="15" s="1"/>
  <c r="BG64" i="15"/>
  <c r="BG70" i="15" s="1"/>
  <c r="CI28" i="15"/>
  <c r="CI30" i="15"/>
  <c r="F301" i="17"/>
  <c r="BF349" i="15"/>
  <c r="BF368" i="15" s="1"/>
  <c r="BF247" i="15"/>
  <c r="BF314" i="15" s="1"/>
  <c r="BF88" i="15"/>
  <c r="CI406" i="15"/>
  <c r="CI73" i="15"/>
  <c r="BE43" i="15"/>
  <c r="BE45" i="15" s="1"/>
  <c r="BD111" i="15"/>
  <c r="BD380" i="15"/>
  <c r="BD106" i="15"/>
  <c r="CI10" i="15"/>
  <c r="CI11" i="15" s="1"/>
  <c r="BE408" i="15"/>
  <c r="C449" i="17"/>
  <c r="K415" i="17" s="1"/>
  <c r="BE20" i="15"/>
  <c r="BE37" i="15" s="1"/>
  <c r="CI405" i="15"/>
  <c r="Q107" i="15"/>
  <c r="BD433" i="15"/>
  <c r="CI426" i="15"/>
  <c r="BD447" i="15"/>
  <c r="CI29" i="15"/>
  <c r="BD406" i="15"/>
  <c r="CI448" i="15"/>
  <c r="BD420" i="15"/>
  <c r="CI31" i="15"/>
  <c r="CI35" i="15"/>
  <c r="BD386" i="15"/>
  <c r="C416" i="17"/>
  <c r="F416" i="17" s="1"/>
  <c r="BD157" i="15"/>
  <c r="C432" i="17"/>
  <c r="F432" i="17" s="1"/>
  <c r="BD404" i="15"/>
  <c r="BD448" i="15"/>
  <c r="C441" i="17"/>
  <c r="F441" i="17" s="1"/>
  <c r="BE228" i="15"/>
  <c r="BE235" i="15" s="1"/>
  <c r="BE34" i="15"/>
  <c r="BD33" i="15"/>
  <c r="BE33" i="15"/>
  <c r="BD8" i="15"/>
  <c r="BE88" i="15"/>
  <c r="BE241" i="15"/>
  <c r="BE308" i="15" s="1"/>
  <c r="BE172" i="15"/>
  <c r="BE348" i="15"/>
  <c r="BE367" i="15" s="1"/>
  <c r="BE283" i="15"/>
  <c r="BE187" i="15"/>
  <c r="BE179" i="15"/>
  <c r="C380" i="17" s="1"/>
  <c r="BE245" i="15"/>
  <c r="BE312" i="15" s="1"/>
  <c r="C411" i="17"/>
  <c r="C472" i="17" s="1"/>
  <c r="K412" i="17"/>
  <c r="F421" i="17"/>
  <c r="F439" i="17"/>
  <c r="BD168" i="15"/>
  <c r="BD242" i="15" s="1"/>
  <c r="C467" i="17"/>
  <c r="F443" i="17"/>
  <c r="BD437" i="15"/>
  <c r="BD364" i="15"/>
  <c r="S345" i="15"/>
  <c r="C417" i="17"/>
  <c r="F417" i="17" s="1"/>
  <c r="C433" i="17"/>
  <c r="F433" i="17" s="1"/>
  <c r="C442" i="17"/>
  <c r="S106" i="15"/>
  <c r="C434" i="17"/>
  <c r="F434" i="17" s="1"/>
  <c r="C419" i="17"/>
  <c r="BD54" i="15"/>
  <c r="BD424" i="15"/>
  <c r="CI437" i="15"/>
  <c r="Q168" i="15"/>
  <c r="Q173" i="15" s="1"/>
  <c r="Q245" i="15" s="1"/>
  <c r="Q312" i="15" s="1"/>
  <c r="C438" i="17"/>
  <c r="BD446" i="15"/>
  <c r="BD427" i="15"/>
  <c r="BD414" i="15"/>
  <c r="C447" i="17"/>
  <c r="K413" i="17" s="1"/>
  <c r="F425" i="17"/>
  <c r="F423" i="17"/>
  <c r="F435" i="17"/>
  <c r="F440" i="17"/>
  <c r="CI446" i="15"/>
  <c r="BD418" i="15"/>
  <c r="BD416" i="15"/>
  <c r="CI449" i="15"/>
  <c r="CI447" i="15"/>
  <c r="BD382" i="15"/>
  <c r="CI425" i="15"/>
  <c r="CI404" i="15"/>
  <c r="CI384" i="15"/>
  <c r="CI414" i="15"/>
  <c r="CI424" i="15"/>
  <c r="CI435" i="15"/>
  <c r="CI403" i="15"/>
  <c r="CI427" i="15"/>
  <c r="BD435" i="15"/>
  <c r="CI380" i="15"/>
  <c r="CI439" i="15"/>
  <c r="CI433" i="15"/>
  <c r="BD405" i="15"/>
  <c r="BD384" i="15"/>
  <c r="BD239" i="15"/>
  <c r="BD306" i="15" s="1"/>
  <c r="BD183" i="15"/>
  <c r="BD10" i="15"/>
  <c r="BD16" i="15" s="1"/>
  <c r="BG89" i="15" s="1"/>
  <c r="BD31" i="15"/>
  <c r="BD30" i="15"/>
  <c r="BD35" i="15"/>
  <c r="BD28" i="15"/>
  <c r="BD109" i="15"/>
  <c r="BD403" i="15"/>
  <c r="BD425" i="15"/>
  <c r="BD211" i="15"/>
  <c r="BH212" i="15" s="1"/>
  <c r="BD426" i="15"/>
  <c r="BD439" i="15"/>
  <c r="BD29" i="15"/>
  <c r="BD88" i="15"/>
  <c r="BD337" i="15" s="1"/>
  <c r="BD449" i="15"/>
  <c r="BD110" i="15"/>
  <c r="Q183" i="15"/>
  <c r="Q159" i="15"/>
  <c r="Q364" i="15"/>
  <c r="Q53" i="15"/>
  <c r="Q16" i="15"/>
  <c r="Q89" i="15" s="1"/>
  <c r="Q216" i="15"/>
  <c r="Q443" i="15"/>
  <c r="Q64" i="15"/>
  <c r="Q70" i="15" s="1"/>
  <c r="Q219" i="15"/>
  <c r="Q222" i="15" s="1"/>
  <c r="Q400" i="15"/>
  <c r="Q92" i="15"/>
  <c r="Q250" i="15"/>
  <c r="Q338" i="15"/>
  <c r="Q231" i="15"/>
  <c r="Q223" i="15"/>
  <c r="Q96" i="15"/>
  <c r="Q343" i="15" s="1"/>
  <c r="G488" i="17"/>
  <c r="L488" i="17"/>
  <c r="G494" i="17"/>
  <c r="D503" i="17"/>
  <c r="G489" i="17"/>
  <c r="G495" i="17"/>
  <c r="G503" i="17"/>
  <c r="G491" i="17"/>
  <c r="G501" i="17"/>
  <c r="G492" i="17"/>
  <c r="D489" i="17"/>
  <c r="D507" i="17"/>
  <c r="G502" i="17"/>
  <c r="G496" i="17"/>
  <c r="D490" i="17"/>
  <c r="G497" i="17"/>
  <c r="D533" i="17"/>
  <c r="G490" i="17"/>
  <c r="D505" i="17"/>
  <c r="G500" i="17"/>
  <c r="G505" i="17"/>
  <c r="D541" i="17"/>
  <c r="D542" i="17"/>
  <c r="L486" i="17"/>
  <c r="D492" i="17"/>
  <c r="D495" i="17"/>
  <c r="D497" i="17"/>
  <c r="D501" i="17"/>
  <c r="D520" i="17"/>
  <c r="C534" i="17"/>
  <c r="D543" i="17"/>
  <c r="D499" i="17"/>
  <c r="D504" i="17"/>
  <c r="D506" i="17"/>
  <c r="D508" i="17"/>
  <c r="D545" i="17"/>
  <c r="D488" i="17"/>
  <c r="D491" i="17"/>
  <c r="D494" i="17"/>
  <c r="D496" i="17"/>
  <c r="D502" i="17"/>
  <c r="F520" i="17"/>
  <c r="G520" i="17" s="1"/>
  <c r="G499" i="17"/>
  <c r="D500" i="17"/>
  <c r="BG228" i="15" l="1"/>
  <c r="BG235" i="15" s="1"/>
  <c r="BH329" i="15"/>
  <c r="BD309" i="15"/>
  <c r="BH201" i="15"/>
  <c r="BH262" i="15" s="1"/>
  <c r="BI201" i="15"/>
  <c r="BI262" i="15" s="1"/>
  <c r="BI338" i="15"/>
  <c r="BI250" i="15"/>
  <c r="BI193" i="15"/>
  <c r="BI196" i="15"/>
  <c r="BI257" i="15" s="1"/>
  <c r="BI195" i="15"/>
  <c r="BI256" i="15" s="1"/>
  <c r="BH90" i="15"/>
  <c r="BI46" i="15"/>
  <c r="BI97" i="15"/>
  <c r="BI344" i="15" s="1"/>
  <c r="BI363" i="15" s="1"/>
  <c r="BH228" i="15"/>
  <c r="BH235" i="15" s="1"/>
  <c r="H408" i="17"/>
  <c r="G432" i="17" s="1"/>
  <c r="BD268" i="15"/>
  <c r="BH192" i="15"/>
  <c r="BH338" i="15"/>
  <c r="BH250" i="15"/>
  <c r="BH196" i="15"/>
  <c r="BH257" i="15" s="1"/>
  <c r="BH193" i="15"/>
  <c r="BH195" i="15"/>
  <c r="BH256" i="15" s="1"/>
  <c r="R353" i="15"/>
  <c r="R259" i="15"/>
  <c r="Q408" i="15"/>
  <c r="BG349" i="15"/>
  <c r="BG368" i="15" s="1"/>
  <c r="BH289" i="15"/>
  <c r="BH353" i="15"/>
  <c r="BH259" i="15"/>
  <c r="BE49" i="15"/>
  <c r="BE47" i="15"/>
  <c r="BG92" i="15"/>
  <c r="BG198" i="15" s="1"/>
  <c r="BG289" i="15"/>
  <c r="BG337" i="15"/>
  <c r="BG356" i="15" s="1"/>
  <c r="BG107" i="15"/>
  <c r="BE36" i="15"/>
  <c r="BD214" i="15"/>
  <c r="BE277" i="15"/>
  <c r="BF337" i="15"/>
  <c r="BF356" i="15" s="1"/>
  <c r="BF107" i="15"/>
  <c r="BE92" i="15"/>
  <c r="C378" i="17" s="1"/>
  <c r="BF92" i="15"/>
  <c r="BE22" i="15"/>
  <c r="BE24" i="15" s="1"/>
  <c r="BH95" i="15" s="1"/>
  <c r="Q242" i="15"/>
  <c r="Q309" i="15" s="1"/>
  <c r="Q193" i="15"/>
  <c r="Q350" i="15" s="1"/>
  <c r="CI16" i="15"/>
  <c r="CI32" i="15" s="1"/>
  <c r="BD346" i="15"/>
  <c r="BD365" i="15" s="1"/>
  <c r="F419" i="17"/>
  <c r="F411" i="17"/>
  <c r="Q167" i="15"/>
  <c r="Q241" i="15" s="1"/>
  <c r="Q308" i="15" s="1"/>
  <c r="Q34" i="15"/>
  <c r="Q179" i="15"/>
  <c r="Q248" i="15" s="1"/>
  <c r="Q315" i="15" s="1"/>
  <c r="Q346" i="15"/>
  <c r="Q365" i="15" s="1"/>
  <c r="BD167" i="15"/>
  <c r="BD241" i="15" s="1"/>
  <c r="BD308" i="15" s="1"/>
  <c r="BD34" i="15"/>
  <c r="BD158" i="15"/>
  <c r="BD159" i="15" s="1"/>
  <c r="C445" i="17"/>
  <c r="F445" i="17" s="1"/>
  <c r="Q196" i="15"/>
  <c r="Q257" i="15" s="1"/>
  <c r="Q187" i="15"/>
  <c r="BD173" i="15"/>
  <c r="BD245" i="15" s="1"/>
  <c r="BD312" i="15" s="1"/>
  <c r="C473" i="17"/>
  <c r="F442" i="17"/>
  <c r="BD11" i="15"/>
  <c r="K414" i="17"/>
  <c r="BD92" i="15"/>
  <c r="C451" i="17" s="1"/>
  <c r="F451" i="17" s="1"/>
  <c r="BE337" i="15"/>
  <c r="BE107" i="15"/>
  <c r="BE244" i="15"/>
  <c r="BE311" i="15" s="1"/>
  <c r="BE178" i="15"/>
  <c r="BE188" i="15"/>
  <c r="BE204" i="15"/>
  <c r="BE347" i="15"/>
  <c r="BE366" i="15" s="1"/>
  <c r="BE248" i="15"/>
  <c r="BE315" i="15" s="1"/>
  <c r="K416" i="17"/>
  <c r="BD60" i="15"/>
  <c r="BD218" i="15" s="1"/>
  <c r="BD50" i="15"/>
  <c r="F447" i="17"/>
  <c r="F438" i="17"/>
  <c r="C461" i="17"/>
  <c r="C462" i="17" s="1"/>
  <c r="S239" i="15"/>
  <c r="BD32" i="15"/>
  <c r="BD20" i="15"/>
  <c r="BD43" i="15"/>
  <c r="BD107" i="15"/>
  <c r="Q20" i="15"/>
  <c r="Q36" i="15" s="1"/>
  <c r="Q228" i="15"/>
  <c r="Q235" i="15" s="1"/>
  <c r="Q201" i="15"/>
  <c r="Q262" i="15" s="1"/>
  <c r="Q93" i="15"/>
  <c r="Q341" i="15" s="1"/>
  <c r="Q55" i="15"/>
  <c r="Q32" i="15"/>
  <c r="Q43" i="15"/>
  <c r="Q45" i="15" s="1"/>
  <c r="Q340" i="15"/>
  <c r="Q202" i="15"/>
  <c r="Q251" i="15"/>
  <c r="Q339" i="15"/>
  <c r="C535" i="17"/>
  <c r="D534" i="17"/>
  <c r="D535" i="17" s="1"/>
  <c r="D467" i="17" l="1"/>
  <c r="BI351" i="15"/>
  <c r="BI253" i="15"/>
  <c r="BI350" i="15"/>
  <c r="BI254" i="15"/>
  <c r="BE279" i="15"/>
  <c r="BI278" i="15"/>
  <c r="BI357" i="15"/>
  <c r="BI340" i="15"/>
  <c r="G447" i="17"/>
  <c r="L414" i="17"/>
  <c r="G445" i="17"/>
  <c r="D411" i="17"/>
  <c r="D432" i="17"/>
  <c r="G411" i="17"/>
  <c r="G438" i="17"/>
  <c r="D433" i="17"/>
  <c r="D434" i="17"/>
  <c r="G419" i="17"/>
  <c r="D416" i="17"/>
  <c r="G442" i="17"/>
  <c r="G421" i="17"/>
  <c r="D447" i="17"/>
  <c r="D473" i="17"/>
  <c r="G434" i="17"/>
  <c r="G416" i="17"/>
  <c r="G440" i="17"/>
  <c r="D417" i="17"/>
  <c r="D441" i="17"/>
  <c r="L415" i="17"/>
  <c r="G441" i="17"/>
  <c r="G417" i="17"/>
  <c r="D419" i="17"/>
  <c r="D440" i="17"/>
  <c r="D443" i="17"/>
  <c r="D423" i="17"/>
  <c r="D460" i="17"/>
  <c r="D424" i="17"/>
  <c r="G430" i="17"/>
  <c r="D422" i="17"/>
  <c r="D429" i="17"/>
  <c r="D469" i="17"/>
  <c r="D430" i="17"/>
  <c r="D431" i="17"/>
  <c r="G291" i="17"/>
  <c r="G299" i="17" s="1"/>
  <c r="G301" i="17" s="1"/>
  <c r="D421" i="17"/>
  <c r="D435" i="17"/>
  <c r="D427" i="17"/>
  <c r="G427" i="17"/>
  <c r="D428" i="17"/>
  <c r="D436" i="17"/>
  <c r="G415" i="17"/>
  <c r="G428" i="17"/>
  <c r="D468" i="17"/>
  <c r="G431" i="17"/>
  <c r="G429" i="17"/>
  <c r="D471" i="17"/>
  <c r="G418" i="17"/>
  <c r="G365" i="17"/>
  <c r="G373" i="17" s="1"/>
  <c r="G375" i="17" s="1"/>
  <c r="D439" i="17"/>
  <c r="D425" i="17"/>
  <c r="D470" i="17"/>
  <c r="D415" i="17"/>
  <c r="G422" i="17"/>
  <c r="G436" i="17"/>
  <c r="D418" i="17"/>
  <c r="G424" i="17"/>
  <c r="L413" i="17"/>
  <c r="D438" i="17"/>
  <c r="D472" i="17"/>
  <c r="G423" i="17"/>
  <c r="G433" i="17"/>
  <c r="L412" i="17"/>
  <c r="G439" i="17"/>
  <c r="G425" i="17"/>
  <c r="G443" i="17"/>
  <c r="D442" i="17"/>
  <c r="G435" i="17"/>
  <c r="BG251" i="15"/>
  <c r="BG318" i="15" s="1"/>
  <c r="BG327" i="15" s="1"/>
  <c r="BG199" i="15"/>
  <c r="BG352" i="15" s="1"/>
  <c r="BH254" i="15"/>
  <c r="BH350" i="15"/>
  <c r="BH357" i="15"/>
  <c r="BH340" i="15"/>
  <c r="BH351" i="15"/>
  <c r="BH253" i="15"/>
  <c r="BD216" i="15"/>
  <c r="BH215" i="15"/>
  <c r="BG339" i="15"/>
  <c r="BG358" i="15" s="1"/>
  <c r="BG371" i="15" s="1"/>
  <c r="BG91" i="15"/>
  <c r="BG193" i="15" s="1"/>
  <c r="BH51" i="15"/>
  <c r="Q90" i="15"/>
  <c r="R46" i="15"/>
  <c r="C304" i="17"/>
  <c r="F304" i="17" s="1"/>
  <c r="C226" i="17"/>
  <c r="D226" i="17" s="1"/>
  <c r="BG259" i="15"/>
  <c r="BG353" i="15"/>
  <c r="Q347" i="15"/>
  <c r="Q366" i="15" s="1"/>
  <c r="BE339" i="15"/>
  <c r="BE199" i="15"/>
  <c r="BE352" i="15" s="1"/>
  <c r="BE251" i="15"/>
  <c r="CI20" i="15"/>
  <c r="CI22" i="15" s="1"/>
  <c r="CI24" i="15" s="1"/>
  <c r="K343" i="17"/>
  <c r="F378" i="17"/>
  <c r="E373" i="17"/>
  <c r="E375" i="17"/>
  <c r="C383" i="17"/>
  <c r="Q254" i="15"/>
  <c r="Q199" i="15"/>
  <c r="Q260" i="15" s="1"/>
  <c r="BF251" i="15"/>
  <c r="BF318" i="15" s="1"/>
  <c r="BF339" i="15"/>
  <c r="BF358" i="15" s="1"/>
  <c r="BF199" i="15"/>
  <c r="BF198" i="15"/>
  <c r="C446" i="17"/>
  <c r="C448" i="17" s="1"/>
  <c r="C455" i="17" s="1"/>
  <c r="C456" i="17" s="1"/>
  <c r="D445" i="17"/>
  <c r="Q192" i="15"/>
  <c r="Q253" i="15" s="1"/>
  <c r="BD348" i="15"/>
  <c r="BD367" i="15" s="1"/>
  <c r="BD179" i="15"/>
  <c r="BD199" i="15" s="1"/>
  <c r="D461" i="17"/>
  <c r="BD187" i="15"/>
  <c r="BD172" i="15"/>
  <c r="BD178" i="15" s="1"/>
  <c r="BD339" i="15"/>
  <c r="Q172" i="15"/>
  <c r="Q244" i="15" s="1"/>
  <c r="Q311" i="15" s="1"/>
  <c r="Q348" i="15"/>
  <c r="Q367" i="15" s="1"/>
  <c r="K417" i="17"/>
  <c r="M414" i="17" s="1"/>
  <c r="BD251" i="15"/>
  <c r="BE349" i="15"/>
  <c r="BE368" i="15" s="1"/>
  <c r="BE198" i="15"/>
  <c r="BE247" i="15"/>
  <c r="BE314" i="15" s="1"/>
  <c r="BD52" i="15"/>
  <c r="BD451" i="15" s="1"/>
  <c r="F446" i="17"/>
  <c r="H446" i="17" s="1"/>
  <c r="Q22" i="15"/>
  <c r="Q24" i="15" s="1"/>
  <c r="Q95" i="15" s="1"/>
  <c r="BD37" i="15"/>
  <c r="BD36" i="15"/>
  <c r="BD22" i="15"/>
  <c r="BD24" i="15" s="1"/>
  <c r="BG95" i="15" s="1"/>
  <c r="Q37" i="15"/>
  <c r="Q49" i="15"/>
  <c r="Q47" i="15"/>
  <c r="Q263" i="15"/>
  <c r="BC181" i="15"/>
  <c r="BC182" i="15"/>
  <c r="BC176" i="15"/>
  <c r="BC143" i="15"/>
  <c r="BC157" i="15"/>
  <c r="BC115" i="15"/>
  <c r="BC114" i="15"/>
  <c r="BC101" i="15"/>
  <c r="CH449" i="15"/>
  <c r="CH448" i="15"/>
  <c r="CH447" i="15"/>
  <c r="CH446" i="15"/>
  <c r="CH445" i="15"/>
  <c r="CH439" i="15"/>
  <c r="CH437" i="15"/>
  <c r="CH435" i="15"/>
  <c r="CH433" i="15"/>
  <c r="CH431" i="15"/>
  <c r="CH427" i="15"/>
  <c r="CH426" i="15"/>
  <c r="CH425" i="15"/>
  <c r="CH424" i="15"/>
  <c r="CH423" i="15"/>
  <c r="CH420" i="15"/>
  <c r="CH418" i="15"/>
  <c r="CH416" i="15"/>
  <c r="CH414" i="15"/>
  <c r="CH412" i="15"/>
  <c r="CH406" i="15"/>
  <c r="CH405" i="15"/>
  <c r="CH404" i="15"/>
  <c r="CH403" i="15"/>
  <c r="CH402" i="15"/>
  <c r="CH392" i="15"/>
  <c r="CH386" i="15"/>
  <c r="CH384" i="15"/>
  <c r="CH382" i="15"/>
  <c r="CH380" i="15"/>
  <c r="CH378" i="15"/>
  <c r="CH60" i="15"/>
  <c r="CH59" i="15"/>
  <c r="CH50" i="15"/>
  <c r="CH42" i="15"/>
  <c r="CH35" i="15"/>
  <c r="CH31" i="15"/>
  <c r="CH30" i="15"/>
  <c r="CH29" i="15"/>
  <c r="CH28" i="15"/>
  <c r="CH10" i="15"/>
  <c r="CH11" i="15" s="1"/>
  <c r="CH8" i="15"/>
  <c r="BQ98" i="15"/>
  <c r="BC449" i="15"/>
  <c r="BC448" i="15"/>
  <c r="BC447" i="15"/>
  <c r="BC446" i="15"/>
  <c r="BC445" i="15"/>
  <c r="BC441" i="15"/>
  <c r="BG442" i="15" s="1"/>
  <c r="BC439" i="15"/>
  <c r="BC437" i="15"/>
  <c r="BC435" i="15"/>
  <c r="BC433" i="15"/>
  <c r="BC431" i="15"/>
  <c r="BC427" i="15"/>
  <c r="BC426" i="15"/>
  <c r="BC425" i="15"/>
  <c r="BC424" i="15"/>
  <c r="BC423" i="15"/>
  <c r="BC420" i="15"/>
  <c r="BC418" i="15"/>
  <c r="BC416" i="15"/>
  <c r="BC414" i="15"/>
  <c r="BC412" i="15"/>
  <c r="BC406" i="15"/>
  <c r="BC405" i="15"/>
  <c r="BC404" i="15"/>
  <c r="BC403" i="15"/>
  <c r="BC402" i="15"/>
  <c r="BC398" i="15"/>
  <c r="BG399" i="15" s="1"/>
  <c r="BC392" i="15"/>
  <c r="BC388" i="15"/>
  <c r="BG389" i="15" s="1"/>
  <c r="BC386" i="15"/>
  <c r="BC384" i="15"/>
  <c r="BC382" i="15"/>
  <c r="BC380" i="15"/>
  <c r="BC378" i="15"/>
  <c r="BC355" i="15"/>
  <c r="BC345" i="15"/>
  <c r="BC364" i="15" s="1"/>
  <c r="BC336" i="15"/>
  <c r="BC273" i="15"/>
  <c r="BC272" i="15"/>
  <c r="BC271" i="15"/>
  <c r="BC239" i="15"/>
  <c r="BC306" i="15" s="1"/>
  <c r="BC214" i="15"/>
  <c r="BG215" i="15" s="1"/>
  <c r="BC211" i="15"/>
  <c r="BG212" i="15" s="1"/>
  <c r="BC209" i="15"/>
  <c r="BC208" i="15"/>
  <c r="BC190" i="15"/>
  <c r="BC111" i="15"/>
  <c r="BC110" i="15"/>
  <c r="BC109" i="15"/>
  <c r="BC106" i="15"/>
  <c r="BC99" i="15"/>
  <c r="BC87" i="15"/>
  <c r="BC60" i="15"/>
  <c r="BC59" i="15"/>
  <c r="BC50" i="15"/>
  <c r="BG51" i="15" s="1"/>
  <c r="BC42" i="15"/>
  <c r="BC35" i="15"/>
  <c r="BC33" i="15"/>
  <c r="BC31" i="15"/>
  <c r="BC30" i="15"/>
  <c r="BC29" i="15"/>
  <c r="BC28" i="15"/>
  <c r="BC10" i="15"/>
  <c r="BC16" i="15" s="1"/>
  <c r="BF89" i="15" s="1"/>
  <c r="BC8" i="15"/>
  <c r="C586" i="17"/>
  <c r="F586" i="17" s="1"/>
  <c r="C588" i="17"/>
  <c r="C587" i="17"/>
  <c r="BB182" i="15"/>
  <c r="BB115" i="15"/>
  <c r="BB114" i="15"/>
  <c r="C613" i="17" s="1"/>
  <c r="CG79" i="15"/>
  <c r="CG77" i="15"/>
  <c r="CG75" i="15"/>
  <c r="CG72" i="15"/>
  <c r="CG71" i="15"/>
  <c r="CG69" i="15"/>
  <c r="CG68" i="15"/>
  <c r="CG66" i="15"/>
  <c r="CG63" i="15"/>
  <c r="CG62" i="15"/>
  <c r="C595" i="17"/>
  <c r="K561" i="17" s="1"/>
  <c r="C593" i="17"/>
  <c r="F593" i="17" s="1"/>
  <c r="C585" i="17"/>
  <c r="F585" i="17" s="1"/>
  <c r="C584" i="17"/>
  <c r="F584" i="17" s="1"/>
  <c r="C583" i="17"/>
  <c r="F583" i="17" s="1"/>
  <c r="C581" i="17"/>
  <c r="F581" i="17" s="1"/>
  <c r="C580" i="17"/>
  <c r="F580" i="17" s="1"/>
  <c r="C579" i="17"/>
  <c r="C578" i="17"/>
  <c r="C577" i="17"/>
  <c r="F577" i="17" s="1"/>
  <c r="G577" i="17" s="1"/>
  <c r="C570" i="17"/>
  <c r="C569" i="17"/>
  <c r="F569" i="17" s="1"/>
  <c r="C568" i="17"/>
  <c r="F568" i="17" s="1"/>
  <c r="C567" i="17"/>
  <c r="F567" i="17" s="1"/>
  <c r="C565" i="17"/>
  <c r="F565" i="17" s="1"/>
  <c r="C564" i="17"/>
  <c r="F564" i="17" s="1"/>
  <c r="C563" i="17"/>
  <c r="F563" i="17" s="1"/>
  <c r="C562" i="17"/>
  <c r="F562" i="17" s="1"/>
  <c r="C561" i="17"/>
  <c r="F561" i="17" s="1"/>
  <c r="BB266" i="15"/>
  <c r="BB267" i="15"/>
  <c r="C591" i="17"/>
  <c r="F576" i="17"/>
  <c r="F575" i="17"/>
  <c r="F574" i="17"/>
  <c r="F573" i="17"/>
  <c r="F572" i="17"/>
  <c r="BB439" i="15"/>
  <c r="BB437" i="15"/>
  <c r="BB435" i="15"/>
  <c r="BB433" i="15"/>
  <c r="CG440" i="15"/>
  <c r="BB440" i="15"/>
  <c r="BB420" i="15"/>
  <c r="BB418" i="15"/>
  <c r="BB416" i="15"/>
  <c r="BB414" i="15"/>
  <c r="CG397" i="15"/>
  <c r="BB397" i="15"/>
  <c r="CG387" i="15"/>
  <c r="CG388" i="15" s="1"/>
  <c r="BB386" i="15"/>
  <c r="BB384" i="15"/>
  <c r="BB382" i="15"/>
  <c r="BB380" i="15"/>
  <c r="BB387" i="15"/>
  <c r="BB181" i="15"/>
  <c r="BB176" i="15"/>
  <c r="BB157" i="15"/>
  <c r="BB101" i="15"/>
  <c r="BA101" i="15"/>
  <c r="BB60" i="15"/>
  <c r="BB79" i="15"/>
  <c r="BB72" i="15"/>
  <c r="BB71" i="15"/>
  <c r="BB69" i="15"/>
  <c r="BB68" i="15"/>
  <c r="BB66" i="15"/>
  <c r="BB63" i="15"/>
  <c r="BB62" i="15"/>
  <c r="CG56" i="15"/>
  <c r="CH56" i="15" s="1"/>
  <c r="CH44" i="15" s="1"/>
  <c r="CH40" i="15" s="1"/>
  <c r="BB56" i="15"/>
  <c r="D462" i="17" l="1"/>
  <c r="BI359" i="15"/>
  <c r="BI369" i="15"/>
  <c r="BI370" i="15"/>
  <c r="H554" i="17"/>
  <c r="D514" i="17" s="1"/>
  <c r="BB268" i="15"/>
  <c r="BG260" i="15"/>
  <c r="BG326" i="15"/>
  <c r="BG372" i="15"/>
  <c r="BH359" i="15"/>
  <c r="BG195" i="15"/>
  <c r="BG256" i="15" s="1"/>
  <c r="BG192" i="15"/>
  <c r="BG351" i="15" s="1"/>
  <c r="BG196" i="15"/>
  <c r="BG257" i="15" s="1"/>
  <c r="BG250" i="15"/>
  <c r="BG338" i="15"/>
  <c r="BG357" i="15" s="1"/>
  <c r="F221" i="17"/>
  <c r="F223" i="17"/>
  <c r="E301" i="17"/>
  <c r="C309" i="17"/>
  <c r="E299" i="17"/>
  <c r="K269" i="17"/>
  <c r="M264" i="17" s="1"/>
  <c r="I188" i="17"/>
  <c r="E221" i="17"/>
  <c r="E223" i="17"/>
  <c r="C231" i="17"/>
  <c r="Q352" i="15"/>
  <c r="BE260" i="15"/>
  <c r="BD347" i="15"/>
  <c r="BD366" i="15" s="1"/>
  <c r="Q351" i="15"/>
  <c r="BG254" i="15"/>
  <c r="BG350" i="15"/>
  <c r="H299" i="17"/>
  <c r="H301" i="17"/>
  <c r="C450" i="17"/>
  <c r="CI36" i="15"/>
  <c r="CI37" i="15"/>
  <c r="BF352" i="15"/>
  <c r="BF260" i="15"/>
  <c r="E446" i="17"/>
  <c r="BF371" i="15"/>
  <c r="BF372" i="15"/>
  <c r="H375" i="17"/>
  <c r="H373" i="17"/>
  <c r="BD204" i="15"/>
  <c r="BF353" i="15"/>
  <c r="BF259" i="15"/>
  <c r="BF327" i="15"/>
  <c r="BF326" i="15"/>
  <c r="M338" i="17"/>
  <c r="M340" i="17"/>
  <c r="BE356" i="15"/>
  <c r="E448" i="17"/>
  <c r="BC52" i="15"/>
  <c r="BC451" i="15" s="1"/>
  <c r="BF91" i="15"/>
  <c r="BD248" i="15"/>
  <c r="BD315" i="15" s="1"/>
  <c r="BD244" i="15"/>
  <c r="BD311" i="15" s="1"/>
  <c r="Q204" i="15"/>
  <c r="Q195" i="15"/>
  <c r="Q256" i="15" s="1"/>
  <c r="Q188" i="15"/>
  <c r="C453" i="17"/>
  <c r="Q178" i="15"/>
  <c r="Q198" i="15" s="1"/>
  <c r="BD188" i="15"/>
  <c r="BE318" i="15"/>
  <c r="BE327" i="15" s="1"/>
  <c r="BE358" i="15"/>
  <c r="BE371" i="15" s="1"/>
  <c r="M412" i="17"/>
  <c r="F448" i="17"/>
  <c r="H448" i="17" s="1"/>
  <c r="BE259" i="15"/>
  <c r="BE353" i="15"/>
  <c r="CH75" i="15"/>
  <c r="CI75" i="15" s="1"/>
  <c r="BC68" i="15"/>
  <c r="CH62" i="15"/>
  <c r="CI62" i="15" s="1"/>
  <c r="CH77" i="15"/>
  <c r="CI77" i="15" s="1"/>
  <c r="BC62" i="15"/>
  <c r="BC66" i="15"/>
  <c r="BC71" i="15"/>
  <c r="CH66" i="15"/>
  <c r="CI66" i="15" s="1"/>
  <c r="CH71" i="15"/>
  <c r="CI71" i="15" s="1"/>
  <c r="BC69" i="15"/>
  <c r="BC227" i="15" s="1"/>
  <c r="CH63" i="15"/>
  <c r="CI63" i="15" s="1"/>
  <c r="CH79" i="15"/>
  <c r="CI79" i="15" s="1"/>
  <c r="BC72" i="15"/>
  <c r="CH68" i="15"/>
  <c r="CI68" i="15" s="1"/>
  <c r="BC63" i="15"/>
  <c r="BC221" i="15" s="1"/>
  <c r="CH72" i="15"/>
  <c r="CI72" i="15" s="1"/>
  <c r="BC79" i="15"/>
  <c r="CH69" i="15"/>
  <c r="CI69" i="15" s="1"/>
  <c r="CH441" i="15"/>
  <c r="CH443" i="15" s="1"/>
  <c r="CH388" i="15"/>
  <c r="BC389" i="15" s="1"/>
  <c r="CH398" i="15"/>
  <c r="CH400" i="15" s="1"/>
  <c r="BD352" i="15"/>
  <c r="BD260" i="15"/>
  <c r="BD349" i="15"/>
  <c r="BD368" i="15" s="1"/>
  <c r="BD198" i="15"/>
  <c r="BD247" i="15"/>
  <c r="BD314" i="15" s="1"/>
  <c r="K485" i="17"/>
  <c r="C540" i="17"/>
  <c r="C517" i="17"/>
  <c r="C510" i="17"/>
  <c r="F510" i="17" s="1"/>
  <c r="C484" i="17"/>
  <c r="CH16" i="15"/>
  <c r="CH20" i="15" s="1"/>
  <c r="CH36" i="15" s="1"/>
  <c r="BC158" i="15"/>
  <c r="BC159" i="15" s="1"/>
  <c r="F579" i="17"/>
  <c r="BC168" i="15"/>
  <c r="BC242" i="15" s="1"/>
  <c r="BC309" i="15" s="1"/>
  <c r="BC56" i="15"/>
  <c r="BC183" i="15"/>
  <c r="BC216" i="15"/>
  <c r="CH52" i="15"/>
  <c r="CH451" i="15" s="1"/>
  <c r="BC390" i="15"/>
  <c r="BC443" i="15"/>
  <c r="BC43" i="15"/>
  <c r="BC20" i="15"/>
  <c r="BC32" i="15"/>
  <c r="BC218" i="15"/>
  <c r="BC400" i="15"/>
  <c r="F578" i="17"/>
  <c r="F587" i="17"/>
  <c r="BC11" i="15"/>
  <c r="BC51" i="15"/>
  <c r="F588" i="17"/>
  <c r="C590" i="17"/>
  <c r="F590" i="17" s="1"/>
  <c r="C557" i="17"/>
  <c r="F557" i="17" s="1"/>
  <c r="K558" i="17"/>
  <c r="BB183" i="15"/>
  <c r="C607" i="17"/>
  <c r="F570" i="17"/>
  <c r="K559" i="17"/>
  <c r="BB8" i="15"/>
  <c r="CG449" i="15"/>
  <c r="CG448" i="15"/>
  <c r="CG447" i="15"/>
  <c r="CG446" i="15"/>
  <c r="CG445" i="15"/>
  <c r="CG441" i="15"/>
  <c r="CG443" i="15" s="1"/>
  <c r="CG439" i="15"/>
  <c r="CG437" i="15"/>
  <c r="CG435" i="15"/>
  <c r="CG433" i="15"/>
  <c r="CG431" i="15"/>
  <c r="CG427" i="15"/>
  <c r="CG426" i="15"/>
  <c r="CG425" i="15"/>
  <c r="CG424" i="15"/>
  <c r="CG423" i="15"/>
  <c r="CG420" i="15"/>
  <c r="CG418" i="15"/>
  <c r="CG416" i="15"/>
  <c r="CG414" i="15"/>
  <c r="CG412" i="15"/>
  <c r="CG406" i="15"/>
  <c r="CG405" i="15"/>
  <c r="CG404" i="15"/>
  <c r="CG403" i="15"/>
  <c r="CG402" i="15"/>
  <c r="CG398" i="15"/>
  <c r="CG392" i="15"/>
  <c r="CG386" i="15"/>
  <c r="CG384" i="15"/>
  <c r="CG382" i="15"/>
  <c r="CG380" i="15"/>
  <c r="CG378" i="15"/>
  <c r="CG60" i="15"/>
  <c r="CG59" i="15"/>
  <c r="CG50" i="15"/>
  <c r="CG52" i="15" s="1"/>
  <c r="CG451" i="15" s="1"/>
  <c r="CG42" i="15"/>
  <c r="CG35" i="15"/>
  <c r="CG31" i="15"/>
  <c r="CG30" i="15"/>
  <c r="CG29" i="15"/>
  <c r="CG28" i="15"/>
  <c r="CG10" i="15"/>
  <c r="CG11" i="15" s="1"/>
  <c r="CG8" i="15"/>
  <c r="CG44" i="15"/>
  <c r="CG40" i="15" s="1"/>
  <c r="BB449" i="15"/>
  <c r="BB448" i="15"/>
  <c r="BB447" i="15"/>
  <c r="BB446" i="15"/>
  <c r="BB445" i="15"/>
  <c r="BB441" i="15"/>
  <c r="BF442" i="15" s="1"/>
  <c r="BB431" i="15"/>
  <c r="BB427" i="15"/>
  <c r="BB426" i="15"/>
  <c r="BB425" i="15"/>
  <c r="BB424" i="15"/>
  <c r="BB423" i="15"/>
  <c r="BB412" i="15"/>
  <c r="BB406" i="15"/>
  <c r="BB405" i="15"/>
  <c r="BB404" i="15"/>
  <c r="BB403" i="15"/>
  <c r="BB402" i="15"/>
  <c r="BB398" i="15"/>
  <c r="BF399" i="15" s="1"/>
  <c r="BB392" i="15"/>
  <c r="BB388" i="15"/>
  <c r="BB378" i="15"/>
  <c r="BB355" i="15"/>
  <c r="BB345" i="15"/>
  <c r="BB364" i="15" s="1"/>
  <c r="BB336" i="15"/>
  <c r="BB273" i="15"/>
  <c r="BB272" i="15"/>
  <c r="BB271" i="15"/>
  <c r="BB281" i="15"/>
  <c r="BF282" i="15" s="1"/>
  <c r="BB239" i="15"/>
  <c r="BB306" i="15" s="1"/>
  <c r="BB214" i="15"/>
  <c r="BF215" i="15" s="1"/>
  <c r="BB211" i="15"/>
  <c r="BF212" i="15" s="1"/>
  <c r="BB209" i="15"/>
  <c r="BB208" i="15"/>
  <c r="BB190" i="15"/>
  <c r="BB111" i="15"/>
  <c r="BB110" i="15"/>
  <c r="BB109" i="15"/>
  <c r="BB106" i="15"/>
  <c r="BB99" i="15"/>
  <c r="BB87" i="15"/>
  <c r="BB77" i="15"/>
  <c r="BB75" i="15"/>
  <c r="BB73" i="15"/>
  <c r="BB59" i="15"/>
  <c r="BB44" i="15"/>
  <c r="BB50" i="15"/>
  <c r="BF51" i="15" s="1"/>
  <c r="BB42" i="15"/>
  <c r="BB35" i="15"/>
  <c r="BB33" i="15"/>
  <c r="BB31" i="15"/>
  <c r="BB30" i="15"/>
  <c r="BB29" i="15"/>
  <c r="BB28" i="15"/>
  <c r="BB10" i="15"/>
  <c r="BB16" i="15" s="1"/>
  <c r="BE89" i="15" s="1"/>
  <c r="CF440" i="15"/>
  <c r="CF441" i="15" s="1"/>
  <c r="CF443" i="15" s="1"/>
  <c r="CF397" i="15"/>
  <c r="CF398" i="15" s="1"/>
  <c r="CF387" i="15"/>
  <c r="CF388" i="15" s="1"/>
  <c r="CF61" i="15"/>
  <c r="CG61" i="15" s="1"/>
  <c r="CH61" i="15" s="1"/>
  <c r="CF8" i="15"/>
  <c r="CF449" i="15"/>
  <c r="CF448" i="15"/>
  <c r="CF447" i="15"/>
  <c r="CF446" i="15"/>
  <c r="CF445" i="15"/>
  <c r="CF431" i="15"/>
  <c r="CF427" i="15"/>
  <c r="CF426" i="15"/>
  <c r="CF425" i="15"/>
  <c r="CF424" i="15"/>
  <c r="CF423" i="15"/>
  <c r="CF412" i="15"/>
  <c r="CF406" i="15"/>
  <c r="CF405" i="15"/>
  <c r="CF404" i="15"/>
  <c r="CF403" i="15"/>
  <c r="CF402" i="15"/>
  <c r="CF392" i="15"/>
  <c r="CF378" i="15"/>
  <c r="CF76" i="15"/>
  <c r="CG76" i="15" s="1"/>
  <c r="CH76" i="15" s="1"/>
  <c r="CF74" i="15"/>
  <c r="CG74" i="15" s="1"/>
  <c r="CH74" i="15" s="1"/>
  <c r="CF67" i="15"/>
  <c r="CG67" i="15" s="1"/>
  <c r="CH67" i="15" s="1"/>
  <c r="CF65" i="15"/>
  <c r="CF60" i="15"/>
  <c r="CF59" i="15"/>
  <c r="CF50" i="15"/>
  <c r="CF52" i="15" s="1"/>
  <c r="CF451" i="15" s="1"/>
  <c r="CF44" i="15"/>
  <c r="CF40" i="15" s="1"/>
  <c r="CF42" i="15"/>
  <c r="CF35" i="15"/>
  <c r="CF31" i="15"/>
  <c r="CF30" i="15"/>
  <c r="CF29" i="15"/>
  <c r="CF28" i="15"/>
  <c r="CF10" i="15"/>
  <c r="CF16" i="15" s="1"/>
  <c r="BA185" i="15"/>
  <c r="C659" i="17"/>
  <c r="C650" i="17"/>
  <c r="F650" i="17" s="1"/>
  <c r="C658" i="17"/>
  <c r="F658" i="17" s="1"/>
  <c r="C657" i="17"/>
  <c r="F657" i="17" s="1"/>
  <c r="C656" i="17"/>
  <c r="F656" i="17" s="1"/>
  <c r="C654" i="17"/>
  <c r="F654" i="17" s="1"/>
  <c r="C653" i="17"/>
  <c r="C652" i="17"/>
  <c r="F652" i="17" s="1"/>
  <c r="C651" i="17"/>
  <c r="F651" i="17" s="1"/>
  <c r="C643" i="17"/>
  <c r="F643" i="17" s="1"/>
  <c r="C642" i="17"/>
  <c r="F642" i="17" s="1"/>
  <c r="C641" i="17"/>
  <c r="F641" i="17" s="1"/>
  <c r="C640" i="17"/>
  <c r="F640" i="17" s="1"/>
  <c r="C638" i="17"/>
  <c r="F638" i="17" s="1"/>
  <c r="C637" i="17"/>
  <c r="F637" i="17" s="1"/>
  <c r="C636" i="17"/>
  <c r="F636" i="17" s="1"/>
  <c r="C635" i="17"/>
  <c r="F635" i="17" s="1"/>
  <c r="C634" i="17"/>
  <c r="C666" i="17"/>
  <c r="K634" i="17" s="1"/>
  <c r="C664" i="17"/>
  <c r="C678" i="17" s="1"/>
  <c r="C679" i="17" s="1"/>
  <c r="C662" i="17"/>
  <c r="H627" i="17"/>
  <c r="D687" i="17" s="1"/>
  <c r="F660" i="17"/>
  <c r="F649" i="17"/>
  <c r="F648" i="17"/>
  <c r="F647" i="17"/>
  <c r="F646" i="17"/>
  <c r="F645" i="17"/>
  <c r="BA336" i="15"/>
  <c r="BA271" i="15"/>
  <c r="BA60" i="15"/>
  <c r="BD440" i="15"/>
  <c r="BD397" i="15"/>
  <c r="BD387" i="15"/>
  <c r="BA266" i="15"/>
  <c r="BA294" i="15" s="1"/>
  <c r="BA439" i="15"/>
  <c r="BA437" i="15"/>
  <c r="BA435" i="15"/>
  <c r="BA433" i="15"/>
  <c r="BA420" i="15"/>
  <c r="BA418" i="15"/>
  <c r="BA416" i="15"/>
  <c r="BA414" i="15"/>
  <c r="BA386" i="15"/>
  <c r="BA384" i="15"/>
  <c r="BA382" i="15"/>
  <c r="BA380" i="15"/>
  <c r="BA182" i="15"/>
  <c r="BA181" i="15"/>
  <c r="BA176" i="15"/>
  <c r="BA157" i="15"/>
  <c r="BA158" i="15" s="1"/>
  <c r="BA115" i="15"/>
  <c r="BA114" i="15"/>
  <c r="BA106" i="15"/>
  <c r="BA76" i="15"/>
  <c r="BA74" i="15"/>
  <c r="BA67" i="15"/>
  <c r="BA65" i="15"/>
  <c r="BA61" i="15"/>
  <c r="BA10" i="15"/>
  <c r="BA16" i="15" s="1"/>
  <c r="BA8" i="15"/>
  <c r="BA449" i="15"/>
  <c r="BA448" i="15"/>
  <c r="BA447" i="15"/>
  <c r="BA446" i="15"/>
  <c r="BA445" i="15"/>
  <c r="BA431" i="15"/>
  <c r="BA427" i="15"/>
  <c r="BA426" i="15"/>
  <c r="BA425" i="15"/>
  <c r="BA424" i="15"/>
  <c r="BA423" i="15"/>
  <c r="BA412" i="15"/>
  <c r="BA406" i="15"/>
  <c r="BA405" i="15"/>
  <c r="BA404" i="15"/>
  <c r="BA403" i="15"/>
  <c r="BA402" i="15"/>
  <c r="BA392" i="15"/>
  <c r="BA378" i="15"/>
  <c r="BA355" i="15"/>
  <c r="BA345" i="15"/>
  <c r="BA364" i="15" s="1"/>
  <c r="BA273" i="15"/>
  <c r="BA272" i="15"/>
  <c r="BA239" i="15"/>
  <c r="BA306" i="15" s="1"/>
  <c r="BA236" i="15"/>
  <c r="BA234" i="15"/>
  <c r="BA232" i="15"/>
  <c r="BA229" i="15"/>
  <c r="BA227" i="15"/>
  <c r="BA226" i="15"/>
  <c r="BA224" i="15"/>
  <c r="BA221" i="15"/>
  <c r="BA220" i="15"/>
  <c r="BA214" i="15"/>
  <c r="BE215" i="15" s="1"/>
  <c r="BA211" i="15"/>
  <c r="BE212" i="15" s="1"/>
  <c r="BA209" i="15"/>
  <c r="BA208" i="15"/>
  <c r="BA190" i="15"/>
  <c r="BA99" i="15"/>
  <c r="BA87" i="15"/>
  <c r="BA59" i="15"/>
  <c r="BA50" i="15"/>
  <c r="BE51" i="15" s="1"/>
  <c r="BA44" i="15"/>
  <c r="BA42" i="15"/>
  <c r="BA35" i="15"/>
  <c r="BA31" i="15"/>
  <c r="BA30" i="15"/>
  <c r="BA29" i="15"/>
  <c r="BA28" i="15"/>
  <c r="H699" i="17"/>
  <c r="C722" i="17"/>
  <c r="F722" i="17" s="1"/>
  <c r="F731" i="17"/>
  <c r="F721" i="17"/>
  <c r="F720" i="17"/>
  <c r="F719" i="17"/>
  <c r="F718" i="17"/>
  <c r="F717" i="17"/>
  <c r="P440" i="15"/>
  <c r="P441" i="15" s="1"/>
  <c r="Q442" i="15" s="1"/>
  <c r="P439" i="15"/>
  <c r="P437" i="15"/>
  <c r="P435" i="15"/>
  <c r="P433" i="15"/>
  <c r="P420" i="15"/>
  <c r="P418" i="15"/>
  <c r="P416" i="15"/>
  <c r="P414" i="15"/>
  <c r="P397" i="15"/>
  <c r="O386" i="15"/>
  <c r="O384" i="15"/>
  <c r="P387" i="15"/>
  <c r="P388" i="15" s="1"/>
  <c r="P386" i="15"/>
  <c r="P384" i="15"/>
  <c r="O382" i="15"/>
  <c r="P382" i="15"/>
  <c r="P380" i="15"/>
  <c r="O380" i="15"/>
  <c r="N380" i="15"/>
  <c r="AZ266" i="15"/>
  <c r="P267" i="15"/>
  <c r="P268" i="15" s="1"/>
  <c r="CE438" i="15"/>
  <c r="CE436" i="15"/>
  <c r="CE434" i="15"/>
  <c r="CE432" i="15"/>
  <c r="CE419" i="15"/>
  <c r="CE420" i="15" s="1"/>
  <c r="CE417" i="15"/>
  <c r="CE418" i="15" s="1"/>
  <c r="CE415" i="15"/>
  <c r="CE416" i="15" s="1"/>
  <c r="CE413" i="15"/>
  <c r="CE396" i="15"/>
  <c r="CE395" i="15"/>
  <c r="CE394" i="15"/>
  <c r="CE393" i="15"/>
  <c r="CE385" i="15"/>
  <c r="CE386" i="15" s="1"/>
  <c r="CE383" i="15"/>
  <c r="CE381" i="15"/>
  <c r="CE382" i="15" s="1"/>
  <c r="CE379" i="15"/>
  <c r="CE57" i="15"/>
  <c r="CE23" i="15"/>
  <c r="CE21" i="15"/>
  <c r="CE19" i="15"/>
  <c r="CE18" i="15"/>
  <c r="CE17" i="15"/>
  <c r="CE15" i="15"/>
  <c r="CE14" i="15"/>
  <c r="CE13" i="15"/>
  <c r="CE12" i="15"/>
  <c r="CE9" i="15"/>
  <c r="CE7" i="15"/>
  <c r="CI8" i="15" s="1"/>
  <c r="CE445" i="15"/>
  <c r="CE431" i="15"/>
  <c r="CE423" i="15"/>
  <c r="CE412" i="15"/>
  <c r="CE402" i="15"/>
  <c r="CE392" i="15"/>
  <c r="CE378" i="15"/>
  <c r="CE59" i="15"/>
  <c r="CE42" i="15"/>
  <c r="AY8" i="15"/>
  <c r="P182" i="15"/>
  <c r="AZ182" i="15" s="1"/>
  <c r="P181" i="15"/>
  <c r="P176" i="15"/>
  <c r="AZ176" i="15" s="1"/>
  <c r="C702" i="17" s="1"/>
  <c r="F702" i="17" s="1"/>
  <c r="P115" i="15"/>
  <c r="AZ115" i="15" s="1"/>
  <c r="P114" i="15"/>
  <c r="AZ114" i="15" s="1"/>
  <c r="C755" i="17" s="1"/>
  <c r="AZ139" i="15"/>
  <c r="AZ138" i="15"/>
  <c r="AZ131" i="15"/>
  <c r="AZ126" i="15"/>
  <c r="C713" i="17" s="1"/>
  <c r="F713" i="17" s="1"/>
  <c r="AZ151" i="15"/>
  <c r="AZ145" i="15"/>
  <c r="P101" i="15"/>
  <c r="AZ101" i="15" s="1"/>
  <c r="O76" i="15"/>
  <c r="O233" i="15" s="1"/>
  <c r="P76" i="15"/>
  <c r="O74" i="15"/>
  <c r="O231" i="15" s="1"/>
  <c r="P67" i="15"/>
  <c r="O67" i="15"/>
  <c r="O225" i="15" s="1"/>
  <c r="P65" i="15"/>
  <c r="O65" i="15"/>
  <c r="O39" i="15" s="1"/>
  <c r="P56" i="15"/>
  <c r="O56" i="15"/>
  <c r="O44" i="15" s="1"/>
  <c r="O40" i="15" s="1"/>
  <c r="O449" i="15"/>
  <c r="O448" i="15"/>
  <c r="O447" i="15"/>
  <c r="O446" i="15"/>
  <c r="O445" i="15"/>
  <c r="O440" i="15"/>
  <c r="O441" i="15" s="1"/>
  <c r="O443" i="15" s="1"/>
  <c r="O439" i="15"/>
  <c r="O437" i="15"/>
  <c r="O435" i="15"/>
  <c r="O433" i="15"/>
  <c r="O431" i="15"/>
  <c r="O427" i="15"/>
  <c r="O426" i="15"/>
  <c r="O425" i="15"/>
  <c r="O424" i="15"/>
  <c r="O423" i="15"/>
  <c r="O420" i="15"/>
  <c r="O418" i="15"/>
  <c r="O416" i="15"/>
  <c r="O414" i="15"/>
  <c r="O412" i="15"/>
  <c r="O406" i="15"/>
  <c r="O405" i="15"/>
  <c r="O404" i="15"/>
  <c r="O403" i="15"/>
  <c r="O402" i="15"/>
  <c r="O397" i="15"/>
  <c r="O398" i="15" s="1"/>
  <c r="O392" i="15"/>
  <c r="O387" i="15"/>
  <c r="O388" i="15" s="1"/>
  <c r="O378" i="15"/>
  <c r="O355" i="15"/>
  <c r="O345" i="15"/>
  <c r="O336" i="15"/>
  <c r="O273" i="15"/>
  <c r="O272" i="15"/>
  <c r="O271" i="15"/>
  <c r="O267" i="15"/>
  <c r="O268" i="15" s="1"/>
  <c r="O239" i="15"/>
  <c r="O236" i="15"/>
  <c r="O234" i="15"/>
  <c r="O232" i="15"/>
  <c r="O229" i="15"/>
  <c r="O227" i="15"/>
  <c r="O226" i="15"/>
  <c r="O224" i="15"/>
  <c r="O221" i="15"/>
  <c r="O220" i="15"/>
  <c r="O218" i="15"/>
  <c r="O214" i="15"/>
  <c r="O211" i="15"/>
  <c r="O208" i="15"/>
  <c r="O190" i="15"/>
  <c r="O182" i="15"/>
  <c r="O181" i="15"/>
  <c r="O176" i="15"/>
  <c r="O158" i="15"/>
  <c r="O115" i="15"/>
  <c r="O114" i="15"/>
  <c r="O111" i="15"/>
  <c r="O110" i="15"/>
  <c r="O109" i="15"/>
  <c r="O106" i="15"/>
  <c r="O101" i="15"/>
  <c r="O99" i="15"/>
  <c r="O94" i="15"/>
  <c r="O342" i="15" s="1"/>
  <c r="O91" i="15"/>
  <c r="O250" i="15" s="1"/>
  <c r="O88" i="15"/>
  <c r="O337" i="15" s="1"/>
  <c r="O87" i="15"/>
  <c r="O59" i="15"/>
  <c r="O54" i="15"/>
  <c r="O92" i="15" s="1"/>
  <c r="O52" i="15"/>
  <c r="O451" i="15" s="1"/>
  <c r="O51" i="15"/>
  <c r="O42" i="15"/>
  <c r="O35" i="15"/>
  <c r="O33" i="15"/>
  <c r="O31" i="15"/>
  <c r="O30" i="15"/>
  <c r="O29" i="15"/>
  <c r="O28" i="15"/>
  <c r="O10" i="15"/>
  <c r="O11" i="15" s="1"/>
  <c r="O8" i="15"/>
  <c r="P54" i="15"/>
  <c r="AZ445" i="15"/>
  <c r="AZ438" i="15"/>
  <c r="AZ436" i="15"/>
  <c r="AZ434" i="15"/>
  <c r="AZ432" i="15"/>
  <c r="AZ431" i="15"/>
  <c r="AZ423" i="15"/>
  <c r="AZ419" i="15"/>
  <c r="AZ417" i="15"/>
  <c r="AZ415" i="15"/>
  <c r="AZ413" i="15"/>
  <c r="AZ412" i="15"/>
  <c r="AZ402" i="15"/>
  <c r="AZ396" i="15"/>
  <c r="AZ395" i="15"/>
  <c r="AZ394" i="15"/>
  <c r="AZ393" i="15"/>
  <c r="AZ392" i="15"/>
  <c r="AZ385" i="15"/>
  <c r="AZ383" i="15"/>
  <c r="AZ381" i="15"/>
  <c r="AZ379" i="15"/>
  <c r="AZ378" i="15"/>
  <c r="AZ355" i="15"/>
  <c r="AZ336" i="15"/>
  <c r="AZ273" i="15"/>
  <c r="AZ272" i="15"/>
  <c r="AZ271" i="15"/>
  <c r="AZ209" i="15"/>
  <c r="AZ208" i="15"/>
  <c r="AZ190" i="15"/>
  <c r="AZ186" i="15"/>
  <c r="AZ185" i="15"/>
  <c r="AZ170" i="15"/>
  <c r="AZ165" i="15"/>
  <c r="AZ239" i="15" s="1"/>
  <c r="AZ306" i="15" s="1"/>
  <c r="AZ157" i="15"/>
  <c r="AZ156" i="15"/>
  <c r="AZ155" i="15"/>
  <c r="AZ144" i="15"/>
  <c r="AZ143" i="15"/>
  <c r="AZ142" i="15"/>
  <c r="AZ137" i="15"/>
  <c r="AZ133" i="15"/>
  <c r="AZ132" i="15"/>
  <c r="AZ129" i="15"/>
  <c r="AZ127" i="15"/>
  <c r="AZ125" i="15"/>
  <c r="AZ124" i="15"/>
  <c r="AZ123" i="15"/>
  <c r="AZ122" i="15"/>
  <c r="AZ121" i="15"/>
  <c r="AZ120" i="15"/>
  <c r="C706" i="17" s="1"/>
  <c r="F706" i="17" s="1"/>
  <c r="AZ119" i="15"/>
  <c r="AZ105" i="15"/>
  <c r="AZ104" i="15"/>
  <c r="AZ103" i="15"/>
  <c r="AZ102" i="15"/>
  <c r="AZ99" i="15"/>
  <c r="AZ59" i="15"/>
  <c r="AZ42" i="15"/>
  <c r="AZ23" i="15"/>
  <c r="AZ21" i="15"/>
  <c r="AZ19" i="15"/>
  <c r="AZ18" i="15"/>
  <c r="AZ17" i="15"/>
  <c r="S33" i="15" s="1"/>
  <c r="AZ15" i="15"/>
  <c r="AZ14" i="15"/>
  <c r="AZ13" i="15"/>
  <c r="AZ12" i="15"/>
  <c r="AZ9" i="15"/>
  <c r="AZ7" i="15"/>
  <c r="P449" i="15"/>
  <c r="P448" i="15"/>
  <c r="P447" i="15"/>
  <c r="P446" i="15"/>
  <c r="P445" i="15"/>
  <c r="P431" i="15"/>
  <c r="P427" i="15"/>
  <c r="P426" i="15"/>
  <c r="P425" i="15"/>
  <c r="P424" i="15"/>
  <c r="P423" i="15"/>
  <c r="P412" i="15"/>
  <c r="P406" i="15"/>
  <c r="P405" i="15"/>
  <c r="P404" i="15"/>
  <c r="P403" i="15"/>
  <c r="P402" i="15"/>
  <c r="P392" i="15"/>
  <c r="P378" i="15"/>
  <c r="P355" i="15"/>
  <c r="P345" i="15"/>
  <c r="P336" i="15"/>
  <c r="P273" i="15"/>
  <c r="P272" i="15"/>
  <c r="P271" i="15"/>
  <c r="P239" i="15"/>
  <c r="P236" i="15"/>
  <c r="P234" i="15"/>
  <c r="P232" i="15"/>
  <c r="P229" i="15"/>
  <c r="P227" i="15"/>
  <c r="P226" i="15"/>
  <c r="P224" i="15"/>
  <c r="P221" i="15"/>
  <c r="P220" i="15"/>
  <c r="P218" i="15"/>
  <c r="P214" i="15"/>
  <c r="P211" i="15"/>
  <c r="P208" i="15"/>
  <c r="P190" i="15"/>
  <c r="P158" i="15"/>
  <c r="P111" i="15"/>
  <c r="P110" i="15"/>
  <c r="P109" i="15"/>
  <c r="P106" i="15"/>
  <c r="P99" i="15"/>
  <c r="P94" i="15"/>
  <c r="P342" i="15" s="1"/>
  <c r="P91" i="15"/>
  <c r="P88" i="15"/>
  <c r="P337" i="15" s="1"/>
  <c r="P87" i="15"/>
  <c r="P59" i="15"/>
  <c r="P52" i="15"/>
  <c r="P451" i="15" s="1"/>
  <c r="P42" i="15"/>
  <c r="P35" i="15"/>
  <c r="P33" i="15"/>
  <c r="P31" i="15"/>
  <c r="P30" i="15"/>
  <c r="P29" i="15"/>
  <c r="P28" i="15"/>
  <c r="P10" i="15"/>
  <c r="P16" i="15" s="1"/>
  <c r="C801" i="17"/>
  <c r="K776" i="17" s="1"/>
  <c r="C799" i="17"/>
  <c r="F799" i="17" s="1"/>
  <c r="C797" i="17"/>
  <c r="C796" i="17"/>
  <c r="F796" i="17" s="1"/>
  <c r="C794" i="17"/>
  <c r="F794" i="17" s="1"/>
  <c r="C792" i="17"/>
  <c r="F792" i="17" s="1"/>
  <c r="C785" i="17"/>
  <c r="F785" i="17" s="1"/>
  <c r="C784" i="17"/>
  <c r="F784" i="17" s="1"/>
  <c r="C783" i="17"/>
  <c r="F783" i="17" s="1"/>
  <c r="C782" i="17"/>
  <c r="F782" i="17" s="1"/>
  <c r="C780" i="17"/>
  <c r="F780" i="17" s="1"/>
  <c r="C779" i="17"/>
  <c r="F779" i="17" s="1"/>
  <c r="C778" i="17"/>
  <c r="F778" i="17" s="1"/>
  <c r="C777" i="17"/>
  <c r="F777" i="17" s="1"/>
  <c r="C776" i="17"/>
  <c r="F776" i="17" s="1"/>
  <c r="H769" i="17"/>
  <c r="D823" i="17" s="1"/>
  <c r="F795" i="17"/>
  <c r="F791" i="17"/>
  <c r="F790" i="17"/>
  <c r="F789" i="17"/>
  <c r="F788" i="17"/>
  <c r="F787" i="17"/>
  <c r="C864" i="17"/>
  <c r="C862" i="17"/>
  <c r="F862" i="17" s="1"/>
  <c r="C860" i="17"/>
  <c r="C859" i="17"/>
  <c r="C855" i="17"/>
  <c r="C848" i="17"/>
  <c r="C847" i="17"/>
  <c r="C846" i="17"/>
  <c r="C845" i="17"/>
  <c r="C843" i="17"/>
  <c r="C842" i="17"/>
  <c r="C841" i="17"/>
  <c r="C840" i="17"/>
  <c r="C839" i="17"/>
  <c r="CD440" i="15"/>
  <c r="CD441" i="15" s="1"/>
  <c r="AY440" i="15"/>
  <c r="CD397" i="15"/>
  <c r="CD398" i="15" s="1"/>
  <c r="AY397" i="15"/>
  <c r="CD387" i="15"/>
  <c r="CD388" i="15" s="1"/>
  <c r="AY387" i="15"/>
  <c r="AY181" i="15"/>
  <c r="AY182" i="15"/>
  <c r="AY176" i="15"/>
  <c r="C772" i="17" s="1"/>
  <c r="AY144" i="15"/>
  <c r="AX144" i="15"/>
  <c r="C856" i="17" s="1"/>
  <c r="AY115" i="15"/>
  <c r="AY114" i="15"/>
  <c r="C819" i="17" s="1"/>
  <c r="AY101" i="15"/>
  <c r="CD71" i="15"/>
  <c r="AY449" i="15"/>
  <c r="AY448" i="15"/>
  <c r="AY447" i="15"/>
  <c r="AY446" i="15"/>
  <c r="AY445" i="15"/>
  <c r="AY439" i="15"/>
  <c r="AY437" i="15"/>
  <c r="AY435" i="15"/>
  <c r="AY433" i="15"/>
  <c r="AY431" i="15"/>
  <c r="AY427" i="15"/>
  <c r="AY426" i="15"/>
  <c r="AY425" i="15"/>
  <c r="AY424" i="15"/>
  <c r="AY423" i="15"/>
  <c r="AY420" i="15"/>
  <c r="AY418" i="15"/>
  <c r="AY416" i="15"/>
  <c r="AY414" i="15"/>
  <c r="AY412" i="15"/>
  <c r="AY406" i="15"/>
  <c r="AY405" i="15"/>
  <c r="AY404" i="15"/>
  <c r="AY403" i="15"/>
  <c r="AY402" i="15"/>
  <c r="AY392" i="15"/>
  <c r="AY386" i="15"/>
  <c r="AY384" i="15"/>
  <c r="AY382" i="15"/>
  <c r="AY380" i="15"/>
  <c r="AY378" i="15"/>
  <c r="AY355" i="15"/>
  <c r="AY345" i="15"/>
  <c r="AY364" i="15" s="1"/>
  <c r="AY336" i="15"/>
  <c r="AY273" i="15"/>
  <c r="AY272" i="15"/>
  <c r="AY271" i="15"/>
  <c r="AY239" i="15"/>
  <c r="AY306" i="15" s="1"/>
  <c r="AY214" i="15"/>
  <c r="BC215" i="15" s="1"/>
  <c r="AY211" i="15"/>
  <c r="BC212" i="15" s="1"/>
  <c r="AY209" i="15"/>
  <c r="AY208" i="15"/>
  <c r="AY190" i="15"/>
  <c r="AY111" i="15"/>
  <c r="AY110" i="15"/>
  <c r="AY109" i="15"/>
  <c r="AY106" i="15"/>
  <c r="AY99" i="15"/>
  <c r="AY87" i="15"/>
  <c r="AY60" i="15"/>
  <c r="AY59" i="15"/>
  <c r="AY50" i="15"/>
  <c r="AY42" i="15"/>
  <c r="AY35" i="15"/>
  <c r="AY33" i="15"/>
  <c r="AY31" i="15"/>
  <c r="AY30" i="15"/>
  <c r="AY29" i="15"/>
  <c r="AY28" i="15"/>
  <c r="AY10" i="15"/>
  <c r="AY16" i="15" s="1"/>
  <c r="AY32" i="15" s="1"/>
  <c r="CD449" i="15"/>
  <c r="CD448" i="15"/>
  <c r="CD447" i="15"/>
  <c r="CD446" i="15"/>
  <c r="CD445" i="15"/>
  <c r="CD439" i="15"/>
  <c r="CD437" i="15"/>
  <c r="CD435" i="15"/>
  <c r="CD433" i="15"/>
  <c r="CD431" i="15"/>
  <c r="CD427" i="15"/>
  <c r="CD426" i="15"/>
  <c r="CD425" i="15"/>
  <c r="CD424" i="15"/>
  <c r="CD423" i="15"/>
  <c r="CD420" i="15"/>
  <c r="CD418" i="15"/>
  <c r="CD416" i="15"/>
  <c r="CD414" i="15"/>
  <c r="CD412" i="15"/>
  <c r="CD406" i="15"/>
  <c r="CD405" i="15"/>
  <c r="CD404" i="15"/>
  <c r="CD403" i="15"/>
  <c r="CD402" i="15"/>
  <c r="CD392" i="15"/>
  <c r="CD386" i="15"/>
  <c r="CD384" i="15"/>
  <c r="CD382" i="15"/>
  <c r="CD380" i="15"/>
  <c r="CD378" i="15"/>
  <c r="CD60" i="15"/>
  <c r="CD59" i="15"/>
  <c r="CD50" i="15"/>
  <c r="CH51" i="15" s="1"/>
  <c r="CD42" i="15"/>
  <c r="CD35" i="15"/>
  <c r="CD31" i="15"/>
  <c r="CD30" i="15"/>
  <c r="CD29" i="15"/>
  <c r="CD28" i="15"/>
  <c r="CD10" i="15"/>
  <c r="CD16" i="15" s="1"/>
  <c r="CD8" i="15"/>
  <c r="F850" i="17"/>
  <c r="D564" i="17" l="1"/>
  <c r="G562" i="17"/>
  <c r="D511" i="17"/>
  <c r="L558" i="17"/>
  <c r="L559" i="17"/>
  <c r="D577" i="17"/>
  <c r="G564" i="17"/>
  <c r="G557" i="17"/>
  <c r="D563" i="17"/>
  <c r="D578" i="17"/>
  <c r="D568" i="17"/>
  <c r="G573" i="17"/>
  <c r="D581" i="17"/>
  <c r="D588" i="17"/>
  <c r="D606" i="17"/>
  <c r="D593" i="17"/>
  <c r="G569" i="17"/>
  <c r="D615" i="17"/>
  <c r="D585" i="17"/>
  <c r="D575" i="17"/>
  <c r="G576" i="17"/>
  <c r="D616" i="17"/>
  <c r="D584" i="17"/>
  <c r="D573" i="17"/>
  <c r="D572" i="17"/>
  <c r="L561" i="17"/>
  <c r="G575" i="17"/>
  <c r="D561" i="17"/>
  <c r="G590" i="17"/>
  <c r="D586" i="17"/>
  <c r="D587" i="17"/>
  <c r="D515" i="17"/>
  <c r="D574" i="17"/>
  <c r="D565" i="17"/>
  <c r="G593" i="17"/>
  <c r="G561" i="17"/>
  <c r="D576" i="17"/>
  <c r="D570" i="17"/>
  <c r="D583" i="17"/>
  <c r="G568" i="17"/>
  <c r="D513" i="17"/>
  <c r="D569" i="17"/>
  <c r="D617" i="17"/>
  <c r="G572" i="17"/>
  <c r="G563" i="17"/>
  <c r="D567" i="17"/>
  <c r="D580" i="17"/>
  <c r="G578" i="17"/>
  <c r="G565" i="17"/>
  <c r="D512" i="17"/>
  <c r="D579" i="17"/>
  <c r="D562" i="17"/>
  <c r="D618" i="17"/>
  <c r="G567" i="17"/>
  <c r="G574" i="17"/>
  <c r="D614" i="17"/>
  <c r="BG253" i="15"/>
  <c r="M266" i="17"/>
  <c r="P212" i="15"/>
  <c r="Q212" i="15"/>
  <c r="BG340" i="15"/>
  <c r="P215" i="15"/>
  <c r="Q215" i="15"/>
  <c r="K183" i="17"/>
  <c r="K185" i="17"/>
  <c r="BG359" i="15"/>
  <c r="BG369" i="15"/>
  <c r="BG370" i="15"/>
  <c r="BD441" i="15"/>
  <c r="BD71" i="15"/>
  <c r="BD66" i="15"/>
  <c r="BB390" i="15"/>
  <c r="BF389" i="15"/>
  <c r="BD72" i="15"/>
  <c r="BD62" i="15"/>
  <c r="BD398" i="15"/>
  <c r="BD79" i="15"/>
  <c r="BD69" i="15"/>
  <c r="BD68" i="15"/>
  <c r="Q247" i="15"/>
  <c r="Q314" i="15" s="1"/>
  <c r="BD63" i="15"/>
  <c r="BB40" i="15"/>
  <c r="BF193" i="15"/>
  <c r="BF250" i="15"/>
  <c r="BF338" i="15"/>
  <c r="BF192" i="15"/>
  <c r="BF196" i="15"/>
  <c r="BF257" i="15" s="1"/>
  <c r="BF195" i="15"/>
  <c r="BF256" i="15" s="1"/>
  <c r="Q349" i="15"/>
  <c r="Q368" i="15" s="1"/>
  <c r="BE326" i="15"/>
  <c r="BC293" i="15"/>
  <c r="BC226" i="15"/>
  <c r="BC399" i="15"/>
  <c r="BC34" i="15"/>
  <c r="BC220" i="15"/>
  <c r="BC229" i="15"/>
  <c r="BC224" i="15"/>
  <c r="BC296" i="15"/>
  <c r="BC291" i="15"/>
  <c r="BE372" i="15"/>
  <c r="CI440" i="15"/>
  <c r="CI441" i="15" s="1"/>
  <c r="CI442" i="15" s="1"/>
  <c r="BB52" i="15"/>
  <c r="BB451" i="15" s="1"/>
  <c r="BE91" i="15"/>
  <c r="BD89" i="15"/>
  <c r="BE94" i="15"/>
  <c r="BC236" i="15"/>
  <c r="P44" i="15"/>
  <c r="CI56" i="15"/>
  <c r="CI74" i="15"/>
  <c r="CH64" i="15"/>
  <c r="P225" i="15"/>
  <c r="CI67" i="15"/>
  <c r="CI76" i="15"/>
  <c r="P398" i="15"/>
  <c r="Q399" i="15" s="1"/>
  <c r="CI397" i="15"/>
  <c r="CI398" i="15" s="1"/>
  <c r="CI400" i="15" s="1"/>
  <c r="BA40" i="15"/>
  <c r="BC77" i="15"/>
  <c r="P219" i="15"/>
  <c r="P222" i="15" s="1"/>
  <c r="CI61" i="15"/>
  <c r="BA52" i="15"/>
  <c r="BA451" i="15" s="1"/>
  <c r="BD91" i="15"/>
  <c r="BA388" i="15"/>
  <c r="BA398" i="15"/>
  <c r="P223" i="15"/>
  <c r="BA441" i="15"/>
  <c r="BE442" i="15" s="1"/>
  <c r="BC44" i="15"/>
  <c r="BC40" i="15" s="1"/>
  <c r="BD56" i="15"/>
  <c r="P53" i="15"/>
  <c r="P55" i="15" s="1"/>
  <c r="CI54" i="15"/>
  <c r="CI387" i="15"/>
  <c r="CI388" i="15" s="1"/>
  <c r="CI390" i="15" s="1"/>
  <c r="BC442" i="15"/>
  <c r="CH390" i="15"/>
  <c r="CH408" i="15" s="1"/>
  <c r="BD259" i="15"/>
  <c r="BD353" i="15"/>
  <c r="S158" i="15"/>
  <c r="S159" i="15" s="1"/>
  <c r="BC167" i="15"/>
  <c r="BC241" i="15" s="1"/>
  <c r="BC308" i="15" s="1"/>
  <c r="BC173" i="15"/>
  <c r="BC179" i="15" s="1"/>
  <c r="BC248" i="15" s="1"/>
  <c r="BC315" i="15" s="1"/>
  <c r="BC346" i="15"/>
  <c r="BC365" i="15" s="1"/>
  <c r="P390" i="15"/>
  <c r="Q389" i="15"/>
  <c r="Q353" i="15"/>
  <c r="Q259" i="15"/>
  <c r="D557" i="17"/>
  <c r="D510" i="17"/>
  <c r="F517" i="17"/>
  <c r="G517" i="17" s="1"/>
  <c r="D517" i="17"/>
  <c r="C546" i="17"/>
  <c r="D546" i="17" s="1"/>
  <c r="D484" i="17"/>
  <c r="F484" i="17"/>
  <c r="C519" i="17"/>
  <c r="D540" i="17"/>
  <c r="L485" i="17"/>
  <c r="K487" i="17"/>
  <c r="K489" i="17"/>
  <c r="G584" i="17"/>
  <c r="G513" i="17"/>
  <c r="G511" i="17"/>
  <c r="G506" i="17"/>
  <c r="G514" i="17"/>
  <c r="G512" i="17"/>
  <c r="G510" i="17"/>
  <c r="G515" i="17"/>
  <c r="G507" i="17"/>
  <c r="G508" i="17"/>
  <c r="CH43" i="15"/>
  <c r="CH45" i="15" s="1"/>
  <c r="CH49" i="15" s="1"/>
  <c r="CH22" i="15"/>
  <c r="CH24" i="15" s="1"/>
  <c r="CH32" i="15"/>
  <c r="CH37" i="15"/>
  <c r="K562" i="17"/>
  <c r="S168" i="15"/>
  <c r="G588" i="17"/>
  <c r="S424" i="15"/>
  <c r="BB399" i="15"/>
  <c r="C619" i="17"/>
  <c r="D619" i="17" s="1"/>
  <c r="S447" i="15"/>
  <c r="S448" i="15"/>
  <c r="S446" i="15"/>
  <c r="S449" i="15"/>
  <c r="S403" i="15"/>
  <c r="S426" i="15"/>
  <c r="S427" i="15"/>
  <c r="BC88" i="15"/>
  <c r="BC337" i="15" s="1"/>
  <c r="BC356" i="15" s="1"/>
  <c r="S31" i="15"/>
  <c r="S405" i="15"/>
  <c r="S109" i="15"/>
  <c r="S111" i="15"/>
  <c r="S406" i="15"/>
  <c r="G586" i="17"/>
  <c r="G587" i="17"/>
  <c r="BC408" i="15"/>
  <c r="BB442" i="15"/>
  <c r="BC37" i="15"/>
  <c r="BC36" i="15"/>
  <c r="BC22" i="15"/>
  <c r="BC24" i="15" s="1"/>
  <c r="BF95" i="15" s="1"/>
  <c r="BC288" i="15"/>
  <c r="BC303" i="15"/>
  <c r="BB297" i="15"/>
  <c r="BC73" i="15"/>
  <c r="BB232" i="15"/>
  <c r="BC75" i="15"/>
  <c r="BC281" i="15"/>
  <c r="BG282" i="15" s="1"/>
  <c r="BC275" i="15"/>
  <c r="BG276" i="15" s="1"/>
  <c r="BC285" i="15"/>
  <c r="BC287" i="15"/>
  <c r="BC294" i="15"/>
  <c r="BB234" i="15"/>
  <c r="F592" i="17"/>
  <c r="F594" i="17" s="1"/>
  <c r="G570" i="17"/>
  <c r="D590" i="17"/>
  <c r="C592" i="17"/>
  <c r="C594" i="17" s="1"/>
  <c r="C601" i="17" s="1"/>
  <c r="C684" i="17"/>
  <c r="D684" i="17" s="1"/>
  <c r="D613" i="17"/>
  <c r="AZ88" i="15"/>
  <c r="AZ337" i="15" s="1"/>
  <c r="AY388" i="15"/>
  <c r="AY390" i="15" s="1"/>
  <c r="CF39" i="15"/>
  <c r="CG65" i="15"/>
  <c r="CH65" i="15" s="1"/>
  <c r="BB389" i="15"/>
  <c r="AY398" i="15"/>
  <c r="AY399" i="15" s="1"/>
  <c r="G580" i="17"/>
  <c r="G583" i="17"/>
  <c r="G585" i="17"/>
  <c r="G581" i="17"/>
  <c r="G579" i="17"/>
  <c r="D607" i="17"/>
  <c r="C608" i="17"/>
  <c r="K560" i="17"/>
  <c r="BB74" i="15"/>
  <c r="K632" i="17"/>
  <c r="L632" i="17" s="1"/>
  <c r="BB76" i="15"/>
  <c r="BB67" i="15"/>
  <c r="CG64" i="15"/>
  <c r="BB61" i="15"/>
  <c r="BB65" i="15"/>
  <c r="F664" i="17"/>
  <c r="G664" i="17" s="1"/>
  <c r="G635" i="17"/>
  <c r="K631" i="17"/>
  <c r="K635" i="17" s="1"/>
  <c r="BB51" i="15"/>
  <c r="CG16" i="15"/>
  <c r="CG43" i="15" s="1"/>
  <c r="CG45" i="15" s="1"/>
  <c r="CG47" i="15" s="1"/>
  <c r="CG390" i="15"/>
  <c r="CG442" i="15"/>
  <c r="CG400" i="15"/>
  <c r="CG51" i="15"/>
  <c r="BB296" i="15"/>
  <c r="BB287" i="15"/>
  <c r="BB288" i="15"/>
  <c r="BB291" i="15"/>
  <c r="BB293" i="15"/>
  <c r="BB294" i="15"/>
  <c r="BB299" i="15"/>
  <c r="D648" i="17"/>
  <c r="D656" i="17"/>
  <c r="BA168" i="15"/>
  <c r="BA346" i="15" s="1"/>
  <c r="BA365" i="15" s="1"/>
  <c r="AZ382" i="15"/>
  <c r="BA300" i="15"/>
  <c r="BA233" i="15"/>
  <c r="BA296" i="15"/>
  <c r="G654" i="17"/>
  <c r="BB226" i="15"/>
  <c r="BA288" i="15"/>
  <c r="BA297" i="15"/>
  <c r="BB218" i="15"/>
  <c r="BA298" i="15"/>
  <c r="BB168" i="15"/>
  <c r="BB34" i="15" s="1"/>
  <c r="BA275" i="15"/>
  <c r="BE276" i="15" s="1"/>
  <c r="BA286" i="15"/>
  <c r="BA287" i="15"/>
  <c r="BB158" i="15"/>
  <c r="BB159" i="15" s="1"/>
  <c r="BB216" i="15"/>
  <c r="BB443" i="15"/>
  <c r="BB43" i="15"/>
  <c r="BB45" i="15" s="1"/>
  <c r="BF46" i="15" s="1"/>
  <c r="BB20" i="15"/>
  <c r="BB32" i="15"/>
  <c r="BB400" i="15"/>
  <c r="D689" i="17"/>
  <c r="BB227" i="15"/>
  <c r="BB236" i="15"/>
  <c r="BB220" i="15"/>
  <c r="BB275" i="15"/>
  <c r="BB285" i="15"/>
  <c r="BB301" i="15"/>
  <c r="BA292" i="15"/>
  <c r="G658" i="17"/>
  <c r="BB221" i="15"/>
  <c r="BB229" i="15"/>
  <c r="D634" i="17"/>
  <c r="C661" i="17"/>
  <c r="F661" i="17" s="1"/>
  <c r="G661" i="17" s="1"/>
  <c r="BB11" i="15"/>
  <c r="BB88" i="15"/>
  <c r="BB337" i="15" s="1"/>
  <c r="BB303" i="15"/>
  <c r="G656" i="17"/>
  <c r="G636" i="17"/>
  <c r="BB224" i="15"/>
  <c r="C630" i="17"/>
  <c r="CF64" i="15"/>
  <c r="CF70" i="15" s="1"/>
  <c r="CF390" i="15"/>
  <c r="CF400" i="15"/>
  <c r="CF43" i="15"/>
  <c r="CF45" i="15" s="1"/>
  <c r="CF20" i="15"/>
  <c r="CF32" i="15"/>
  <c r="CF11" i="15"/>
  <c r="G646" i="17"/>
  <c r="G640" i="17"/>
  <c r="G657" i="17"/>
  <c r="L634" i="17"/>
  <c r="G637" i="17"/>
  <c r="G652" i="17"/>
  <c r="G651" i="17"/>
  <c r="D649" i="17"/>
  <c r="D658" i="17"/>
  <c r="D653" i="17"/>
  <c r="D640" i="17"/>
  <c r="D664" i="17"/>
  <c r="F634" i="17"/>
  <c r="G634" i="17" s="1"/>
  <c r="G642" i="17"/>
  <c r="F653" i="17"/>
  <c r="G653" i="17" s="1"/>
  <c r="D637" i="17"/>
  <c r="D635" i="17"/>
  <c r="D642" i="17"/>
  <c r="G645" i="17"/>
  <c r="D685" i="17"/>
  <c r="D646" i="17"/>
  <c r="G648" i="17"/>
  <c r="D651" i="17"/>
  <c r="D677" i="17"/>
  <c r="D686" i="17"/>
  <c r="D678" i="17"/>
  <c r="D688" i="17"/>
  <c r="D643" i="17"/>
  <c r="D647" i="17"/>
  <c r="G649" i="17"/>
  <c r="D660" i="17"/>
  <c r="D636" i="17"/>
  <c r="D641" i="17"/>
  <c r="D652" i="17"/>
  <c r="D654" i="17"/>
  <c r="D657" i="17"/>
  <c r="D638" i="17"/>
  <c r="D645" i="17"/>
  <c r="G647" i="17"/>
  <c r="D650" i="17"/>
  <c r="G660" i="17"/>
  <c r="BA281" i="15"/>
  <c r="BE282" i="15" s="1"/>
  <c r="BA299" i="15"/>
  <c r="BA301" i="15"/>
  <c r="BA291" i="15"/>
  <c r="BA303" i="15"/>
  <c r="BA293" i="15"/>
  <c r="CE35" i="15"/>
  <c r="CE28" i="15"/>
  <c r="CE447" i="15"/>
  <c r="CE29" i="15"/>
  <c r="CE30" i="15"/>
  <c r="BA88" i="15"/>
  <c r="BA337" i="15" s="1"/>
  <c r="CE31" i="15"/>
  <c r="BA33" i="15"/>
  <c r="BA216" i="15"/>
  <c r="BA183" i="15"/>
  <c r="BA159" i="15"/>
  <c r="BA225" i="15"/>
  <c r="BA11" i="15"/>
  <c r="BA43" i="15"/>
  <c r="BA45" i="15" s="1"/>
  <c r="BE46" i="15" s="1"/>
  <c r="BA20" i="15"/>
  <c r="BA32" i="15"/>
  <c r="BA218" i="15"/>
  <c r="BA285" i="15"/>
  <c r="BA39" i="15"/>
  <c r="BA64" i="15"/>
  <c r="BA70" i="15" s="1"/>
  <c r="BA219" i="15"/>
  <c r="BA231" i="15"/>
  <c r="BA223" i="15"/>
  <c r="BA290" i="15"/>
  <c r="CE448" i="15"/>
  <c r="AZ380" i="15"/>
  <c r="CE54" i="15"/>
  <c r="CE55" i="15" s="1"/>
  <c r="C712" i="17"/>
  <c r="F712" i="17" s="1"/>
  <c r="G712" i="17" s="1"/>
  <c r="C714" i="17"/>
  <c r="F714" i="17" s="1"/>
  <c r="G714" i="17" s="1"/>
  <c r="CE424" i="15"/>
  <c r="CE10" i="15"/>
  <c r="CE11" i="15" s="1"/>
  <c r="C735" i="17"/>
  <c r="F735" i="17" s="1"/>
  <c r="G735" i="17" s="1"/>
  <c r="C728" i="17"/>
  <c r="F728" i="17" s="1"/>
  <c r="G728" i="17" s="1"/>
  <c r="CE449" i="15"/>
  <c r="CE406" i="15"/>
  <c r="P442" i="15"/>
  <c r="C715" i="17"/>
  <c r="F715" i="17" s="1"/>
  <c r="K703" i="17"/>
  <c r="L703" i="17" s="1"/>
  <c r="CE404" i="15"/>
  <c r="C707" i="17"/>
  <c r="F707" i="17" s="1"/>
  <c r="G707" i="17" s="1"/>
  <c r="P389" i="15"/>
  <c r="C708" i="17"/>
  <c r="F708" i="17" s="1"/>
  <c r="G708" i="17" s="1"/>
  <c r="C723" i="17"/>
  <c r="F723" i="17" s="1"/>
  <c r="G723" i="17" s="1"/>
  <c r="C725" i="17"/>
  <c r="F725" i="17" s="1"/>
  <c r="G725" i="17" s="1"/>
  <c r="C709" i="17"/>
  <c r="F709" i="17" s="1"/>
  <c r="G709" i="17" s="1"/>
  <c r="C724" i="17"/>
  <c r="F724" i="17" s="1"/>
  <c r="G724" i="17" s="1"/>
  <c r="C726" i="17"/>
  <c r="F726" i="17" s="1"/>
  <c r="G726" i="17" s="1"/>
  <c r="AZ8" i="15"/>
  <c r="C710" i="17"/>
  <c r="D710" i="17" s="1"/>
  <c r="C732" i="17"/>
  <c r="F732" i="17" s="1"/>
  <c r="G732" i="17" s="1"/>
  <c r="C727" i="17"/>
  <c r="C737" i="17"/>
  <c r="K706" i="17" s="1"/>
  <c r="L706" i="17" s="1"/>
  <c r="C729" i="17"/>
  <c r="C760" i="17"/>
  <c r="C761" i="17" s="1"/>
  <c r="D761" i="17" s="1"/>
  <c r="G731" i="17"/>
  <c r="G719" i="17"/>
  <c r="C733" i="17"/>
  <c r="D755" i="17"/>
  <c r="G706" i="17"/>
  <c r="G721" i="17"/>
  <c r="D713" i="17"/>
  <c r="D748" i="17"/>
  <c r="D757" i="17"/>
  <c r="D756" i="17"/>
  <c r="D702" i="17"/>
  <c r="D717" i="17"/>
  <c r="D722" i="17"/>
  <c r="D758" i="17"/>
  <c r="D720" i="17"/>
  <c r="D759" i="17"/>
  <c r="D719" i="17"/>
  <c r="G702" i="17"/>
  <c r="G717" i="17"/>
  <c r="D731" i="17"/>
  <c r="D718" i="17"/>
  <c r="G720" i="17"/>
  <c r="D706" i="17"/>
  <c r="D721" i="17"/>
  <c r="G718" i="17"/>
  <c r="CE405" i="15"/>
  <c r="AZ420" i="15"/>
  <c r="CE384" i="15"/>
  <c r="CE414" i="15"/>
  <c r="CE435" i="15"/>
  <c r="CE403" i="15"/>
  <c r="CE425" i="15"/>
  <c r="CE426" i="15"/>
  <c r="CE437" i="15"/>
  <c r="CE446" i="15"/>
  <c r="CE427" i="15"/>
  <c r="CE380" i="15"/>
  <c r="CE439" i="15"/>
  <c r="CE433" i="15"/>
  <c r="P159" i="15"/>
  <c r="P107" i="15"/>
  <c r="O216" i="15"/>
  <c r="AZ448" i="15"/>
  <c r="O223" i="15"/>
  <c r="P216" i="15"/>
  <c r="O107" i="15"/>
  <c r="O364" i="15"/>
  <c r="O306" i="15"/>
  <c r="O183" i="15"/>
  <c r="AZ29" i="15"/>
  <c r="P364" i="15"/>
  <c r="O60" i="15"/>
  <c r="O64" i="15" s="1"/>
  <c r="O70" i="15" s="1"/>
  <c r="O168" i="15"/>
  <c r="O242" i="15" s="1"/>
  <c r="O309" i="15" s="1"/>
  <c r="AZ30" i="15"/>
  <c r="O159" i="15"/>
  <c r="O251" i="15"/>
  <c r="O339" i="15"/>
  <c r="O202" i="15"/>
  <c r="O390" i="15"/>
  <c r="O219" i="15"/>
  <c r="O222" i="15" s="1"/>
  <c r="O400" i="15"/>
  <c r="O16" i="15"/>
  <c r="O338" i="15"/>
  <c r="O53" i="15"/>
  <c r="O96" i="15"/>
  <c r="AZ345" i="15"/>
  <c r="AZ364" i="15" s="1"/>
  <c r="P39" i="15"/>
  <c r="P183" i="15"/>
  <c r="P306" i="15"/>
  <c r="P11" i="15"/>
  <c r="AZ109" i="15"/>
  <c r="P60" i="15"/>
  <c r="AZ54" i="15"/>
  <c r="P92" i="15"/>
  <c r="P251" i="15" s="1"/>
  <c r="AZ110" i="15"/>
  <c r="AZ211" i="15"/>
  <c r="BD212" i="15" s="1"/>
  <c r="P168" i="15"/>
  <c r="P346" i="15" s="1"/>
  <c r="P365" i="15" s="1"/>
  <c r="AZ35" i="15"/>
  <c r="AZ111" i="15"/>
  <c r="AZ181" i="15"/>
  <c r="AZ424" i="15"/>
  <c r="AZ426" i="15"/>
  <c r="AZ449" i="15"/>
  <c r="AZ418" i="15"/>
  <c r="AZ439" i="15"/>
  <c r="AZ168" i="15"/>
  <c r="AZ346" i="15" s="1"/>
  <c r="AZ365" i="15" s="1"/>
  <c r="P233" i="15"/>
  <c r="AZ275" i="15"/>
  <c r="AZ384" i="15"/>
  <c r="AZ414" i="15"/>
  <c r="AZ403" i="15"/>
  <c r="AZ425" i="15"/>
  <c r="AZ435" i="15"/>
  <c r="AZ31" i="15"/>
  <c r="AZ106" i="15"/>
  <c r="AZ386" i="15"/>
  <c r="AZ404" i="15"/>
  <c r="AZ416" i="15"/>
  <c r="AZ437" i="15"/>
  <c r="AZ446" i="15"/>
  <c r="AZ28" i="15"/>
  <c r="AZ158" i="15"/>
  <c r="AZ159" i="15" s="1"/>
  <c r="AZ405" i="15"/>
  <c r="AZ427" i="15"/>
  <c r="AZ447" i="15"/>
  <c r="AZ33" i="15"/>
  <c r="AZ406" i="15"/>
  <c r="AZ10" i="15"/>
  <c r="AZ433" i="15"/>
  <c r="P89" i="15"/>
  <c r="P43" i="15"/>
  <c r="P32" i="15"/>
  <c r="P20" i="15"/>
  <c r="P443" i="15"/>
  <c r="P96" i="15"/>
  <c r="P343" i="15" s="1"/>
  <c r="P250" i="15"/>
  <c r="P338" i="15"/>
  <c r="P231" i="15"/>
  <c r="AY158" i="15"/>
  <c r="AY159" i="15" s="1"/>
  <c r="K773" i="17"/>
  <c r="L773" i="17" s="1"/>
  <c r="AY441" i="15"/>
  <c r="AY443" i="15" s="1"/>
  <c r="C793" i="17"/>
  <c r="D793" i="17" s="1"/>
  <c r="G782" i="17"/>
  <c r="L776" i="17"/>
  <c r="F772" i="17"/>
  <c r="G772" i="17" s="1"/>
  <c r="C824" i="17"/>
  <c r="D824" i="17" s="1"/>
  <c r="D783" i="17"/>
  <c r="G796" i="17"/>
  <c r="AY216" i="15"/>
  <c r="G776" i="17"/>
  <c r="D799" i="17"/>
  <c r="G777" i="17"/>
  <c r="G788" i="17"/>
  <c r="G799" i="17"/>
  <c r="D778" i="17"/>
  <c r="G789" i="17"/>
  <c r="D772" i="17"/>
  <c r="G784" i="17"/>
  <c r="G794" i="17"/>
  <c r="C813" i="17"/>
  <c r="D813" i="17" s="1"/>
  <c r="G790" i="17"/>
  <c r="D795" i="17"/>
  <c r="D821" i="17"/>
  <c r="D794" i="17"/>
  <c r="G778" i="17"/>
  <c r="D790" i="17"/>
  <c r="G779" i="17"/>
  <c r="D787" i="17"/>
  <c r="D791" i="17"/>
  <c r="G795" i="17"/>
  <c r="D822" i="17"/>
  <c r="K774" i="17"/>
  <c r="L774" i="17" s="1"/>
  <c r="D780" i="17"/>
  <c r="G791" i="17"/>
  <c r="G787" i="17"/>
  <c r="D788" i="17"/>
  <c r="D792" i="17"/>
  <c r="D784" i="17"/>
  <c r="D776" i="17"/>
  <c r="D779" i="17"/>
  <c r="D819" i="17"/>
  <c r="D777" i="17"/>
  <c r="D782" i="17"/>
  <c r="D785" i="17"/>
  <c r="D789" i="17"/>
  <c r="D796" i="17"/>
  <c r="D820" i="17"/>
  <c r="D812" i="17"/>
  <c r="AY168" i="15"/>
  <c r="AY242" i="15" s="1"/>
  <c r="AY309" i="15" s="1"/>
  <c r="AY183" i="15"/>
  <c r="CD52" i="15"/>
  <c r="CD451" i="15" s="1"/>
  <c r="AY11" i="15"/>
  <c r="AY218" i="15"/>
  <c r="AY20" i="15"/>
  <c r="AY43" i="15"/>
  <c r="AY52" i="15"/>
  <c r="AY451" i="15" s="1"/>
  <c r="AY51" i="15"/>
  <c r="CD32" i="15"/>
  <c r="CD43" i="15"/>
  <c r="CD11" i="15"/>
  <c r="CD400" i="15"/>
  <c r="CD390" i="15"/>
  <c r="CD443" i="15"/>
  <c r="CD20" i="15"/>
  <c r="F858" i="17"/>
  <c r="F843" i="17"/>
  <c r="F859" i="17"/>
  <c r="F846" i="17"/>
  <c r="F847" i="17"/>
  <c r="F845" i="17"/>
  <c r="C886" i="17"/>
  <c r="C885" i="17"/>
  <c r="F842" i="17"/>
  <c r="F840" i="17"/>
  <c r="K839" i="17"/>
  <c r="F854" i="17"/>
  <c r="F853" i="17"/>
  <c r="F852" i="17"/>
  <c r="F851" i="17"/>
  <c r="K837" i="17"/>
  <c r="CC439" i="15"/>
  <c r="CB437" i="15"/>
  <c r="CC437" i="15"/>
  <c r="CC435" i="15"/>
  <c r="CC433" i="15"/>
  <c r="CC440" i="15"/>
  <c r="AX440" i="15"/>
  <c r="AX439" i="15"/>
  <c r="AW439" i="15"/>
  <c r="AU439" i="15"/>
  <c r="AT439" i="15"/>
  <c r="AS439" i="15"/>
  <c r="AX437" i="15"/>
  <c r="AW437" i="15"/>
  <c r="AU437" i="15"/>
  <c r="AT437" i="15"/>
  <c r="AS437" i="15"/>
  <c r="AX435" i="15"/>
  <c r="AW435" i="15"/>
  <c r="AU435" i="15"/>
  <c r="AT435" i="15"/>
  <c r="AS435" i="15"/>
  <c r="AW433" i="15"/>
  <c r="AU433" i="15"/>
  <c r="AT433" i="15"/>
  <c r="AS433" i="15"/>
  <c r="AX433" i="15"/>
  <c r="AX386" i="15"/>
  <c r="AW386" i="15"/>
  <c r="AU386" i="15"/>
  <c r="AT386" i="15"/>
  <c r="AS386" i="15"/>
  <c r="AX384" i="15"/>
  <c r="AW384" i="15"/>
  <c r="AU384" i="15"/>
  <c r="AT384" i="15"/>
  <c r="AS384" i="15"/>
  <c r="AX382" i="15"/>
  <c r="AW382" i="15"/>
  <c r="AU382" i="15"/>
  <c r="AT382" i="15"/>
  <c r="AS382" i="15"/>
  <c r="AW380" i="15"/>
  <c r="AU380" i="15"/>
  <c r="AT380" i="15"/>
  <c r="AS380" i="15"/>
  <c r="AX420" i="15"/>
  <c r="AW420" i="15"/>
  <c r="AU420" i="15"/>
  <c r="AT420" i="15"/>
  <c r="AS420" i="15"/>
  <c r="AX418" i="15"/>
  <c r="AW418" i="15"/>
  <c r="AU418" i="15"/>
  <c r="AT418" i="15"/>
  <c r="AS418" i="15"/>
  <c r="AX416" i="15"/>
  <c r="AW416" i="15"/>
  <c r="AU416" i="15"/>
  <c r="AT416" i="15"/>
  <c r="AS416" i="15"/>
  <c r="AS414" i="15"/>
  <c r="AW414" i="15"/>
  <c r="AU414" i="15"/>
  <c r="AT414" i="15"/>
  <c r="AX414" i="15"/>
  <c r="CC397" i="15"/>
  <c r="AX397" i="15"/>
  <c r="AX380" i="15"/>
  <c r="CC387" i="15"/>
  <c r="AX387" i="15"/>
  <c r="D608" i="17" l="1"/>
  <c r="CG70" i="15"/>
  <c r="CG78" i="15" s="1"/>
  <c r="CH70" i="15"/>
  <c r="BD443" i="15"/>
  <c r="BH442" i="15"/>
  <c r="BD400" i="15"/>
  <c r="BH399" i="15"/>
  <c r="P400" i="15"/>
  <c r="P408" i="15" s="1"/>
  <c r="P399" i="15"/>
  <c r="BD229" i="15"/>
  <c r="BD220" i="15"/>
  <c r="BD226" i="15"/>
  <c r="BD227" i="15"/>
  <c r="BD224" i="15"/>
  <c r="BD236" i="15"/>
  <c r="BD221" i="15"/>
  <c r="BG94" i="15"/>
  <c r="S167" i="15"/>
  <c r="S172" i="15" s="1"/>
  <c r="S178" i="15" s="1"/>
  <c r="S173" i="15"/>
  <c r="S245" i="15" s="1"/>
  <c r="BD77" i="15"/>
  <c r="BD94" i="15"/>
  <c r="BD342" i="15" s="1"/>
  <c r="BB408" i="15"/>
  <c r="BD75" i="15"/>
  <c r="BF94" i="15"/>
  <c r="BF342" i="15" s="1"/>
  <c r="BF361" i="15" s="1"/>
  <c r="P93" i="15"/>
  <c r="P341" i="15" s="1"/>
  <c r="BC76" i="15"/>
  <c r="BC74" i="15"/>
  <c r="BC61" i="15"/>
  <c r="BF351" i="15"/>
  <c r="BF253" i="15"/>
  <c r="BF357" i="15"/>
  <c r="BF340" i="15"/>
  <c r="BF350" i="15"/>
  <c r="BF254" i="15"/>
  <c r="BB283" i="15"/>
  <c r="BF276" i="15"/>
  <c r="BC67" i="15"/>
  <c r="BA34" i="15"/>
  <c r="BA443" i="15"/>
  <c r="BD442" i="15"/>
  <c r="CI65" i="15"/>
  <c r="CI39" i="15" s="1"/>
  <c r="BD388" i="15"/>
  <c r="BE389" i="15"/>
  <c r="P228" i="15"/>
  <c r="P235" i="15" s="1"/>
  <c r="BA390" i="15"/>
  <c r="BE342" i="15"/>
  <c r="BE361" i="15" s="1"/>
  <c r="BE202" i="15"/>
  <c r="BC65" i="15"/>
  <c r="BC187" i="15"/>
  <c r="BE195" i="15"/>
  <c r="BE256" i="15" s="1"/>
  <c r="BE192" i="15"/>
  <c r="BE193" i="15"/>
  <c r="BE196" i="15"/>
  <c r="BE257" i="15" s="1"/>
  <c r="BE250" i="15"/>
  <c r="BE338" i="15"/>
  <c r="BE357" i="15" s="1"/>
  <c r="BC347" i="15"/>
  <c r="BC366" i="15" s="1"/>
  <c r="BA400" i="15"/>
  <c r="BE399" i="15"/>
  <c r="BC45" i="15"/>
  <c r="BG46" i="15" s="1"/>
  <c r="BD44" i="15"/>
  <c r="CI389" i="15"/>
  <c r="CI50" i="15"/>
  <c r="CI55" i="15"/>
  <c r="CI399" i="15"/>
  <c r="BD250" i="15"/>
  <c r="BD193" i="15"/>
  <c r="BD338" i="15"/>
  <c r="BD340" i="15" s="1"/>
  <c r="BD196" i="15"/>
  <c r="BD257" i="15" s="1"/>
  <c r="BD192" i="15"/>
  <c r="BD195" i="15"/>
  <c r="BD256" i="15" s="1"/>
  <c r="BC348" i="15"/>
  <c r="BC367" i="15" s="1"/>
  <c r="BC297" i="15"/>
  <c r="BD73" i="15"/>
  <c r="BD399" i="15"/>
  <c r="CI443" i="15"/>
  <c r="P40" i="15"/>
  <c r="CI44" i="15"/>
  <c r="CI40" i="15" s="1"/>
  <c r="BC172" i="15"/>
  <c r="BC244" i="15" s="1"/>
  <c r="BC311" i="15" s="1"/>
  <c r="CH47" i="15"/>
  <c r="P45" i="15"/>
  <c r="Q46" i="15" s="1"/>
  <c r="CI43" i="15"/>
  <c r="G446" i="17"/>
  <c r="G448" i="17" s="1"/>
  <c r="CI408" i="15"/>
  <c r="C526" i="17"/>
  <c r="BA167" i="15"/>
  <c r="BA172" i="15" s="1"/>
  <c r="BC245" i="15"/>
  <c r="BC312" i="15" s="1"/>
  <c r="S242" i="15"/>
  <c r="S346" i="15"/>
  <c r="S34" i="15"/>
  <c r="F519" i="17"/>
  <c r="G484" i="17"/>
  <c r="G519" i="17" s="1"/>
  <c r="G521" i="17" s="1"/>
  <c r="S35" i="15"/>
  <c r="L487" i="17"/>
  <c r="C547" i="17"/>
  <c r="D547" i="17" s="1"/>
  <c r="S425" i="15"/>
  <c r="C523" i="17"/>
  <c r="C521" i="17"/>
  <c r="S404" i="15"/>
  <c r="BB286" i="15"/>
  <c r="S28" i="15"/>
  <c r="S30" i="15"/>
  <c r="S92" i="15"/>
  <c r="S50" i="15"/>
  <c r="S53" i="15" s="1"/>
  <c r="S214" i="15"/>
  <c r="S60" i="15"/>
  <c r="S64" i="15" s="1"/>
  <c r="BB292" i="15"/>
  <c r="CG39" i="15"/>
  <c r="BB225" i="15"/>
  <c r="BC107" i="15"/>
  <c r="S10" i="15"/>
  <c r="S211" i="15"/>
  <c r="S88" i="15"/>
  <c r="S107" i="15" s="1"/>
  <c r="S110" i="15"/>
  <c r="AZ107" i="15"/>
  <c r="S29" i="15"/>
  <c r="BB219" i="15"/>
  <c r="BB222" i="15" s="1"/>
  <c r="AY400" i="15"/>
  <c r="AY408" i="15" s="1"/>
  <c r="BC92" i="15"/>
  <c r="C524" i="17" s="1"/>
  <c r="BC283" i="15"/>
  <c r="C596" i="17"/>
  <c r="BC299" i="15"/>
  <c r="BC232" i="15"/>
  <c r="BC234" i="15"/>
  <c r="BC301" i="15"/>
  <c r="BB231" i="15"/>
  <c r="D630" i="17"/>
  <c r="C663" i="17"/>
  <c r="BB223" i="15"/>
  <c r="BB298" i="15"/>
  <c r="K633" i="17"/>
  <c r="L633" i="17" s="1"/>
  <c r="C620" i="17"/>
  <c r="D620" i="17" s="1"/>
  <c r="BB64" i="15"/>
  <c r="AY389" i="15"/>
  <c r="BB39" i="15"/>
  <c r="G592" i="17"/>
  <c r="G594" i="17" s="1"/>
  <c r="L560" i="17"/>
  <c r="BB290" i="15"/>
  <c r="L631" i="17"/>
  <c r="BB46" i="15"/>
  <c r="BA283" i="15"/>
  <c r="CG20" i="15"/>
  <c r="CG37" i="15" s="1"/>
  <c r="CG49" i="15"/>
  <c r="CG32" i="15"/>
  <c r="CG408" i="15"/>
  <c r="BA173" i="15"/>
  <c r="BA179" i="15" s="1"/>
  <c r="BA347" i="15" s="1"/>
  <c r="BA366" i="15" s="1"/>
  <c r="D661" i="17"/>
  <c r="BA242" i="15"/>
  <c r="BA309" i="15" s="1"/>
  <c r="CE50" i="15"/>
  <c r="CE60" i="15" s="1"/>
  <c r="CE16" i="15"/>
  <c r="CE32" i="15" s="1"/>
  <c r="CF408" i="15"/>
  <c r="BB167" i="15"/>
  <c r="BB241" i="15" s="1"/>
  <c r="BB308" i="15" s="1"/>
  <c r="O228" i="15"/>
  <c r="O235" i="15" s="1"/>
  <c r="BB346" i="15"/>
  <c r="BB365" i="15" s="1"/>
  <c r="BB173" i="15"/>
  <c r="BB179" i="15" s="1"/>
  <c r="C599" i="17" s="1"/>
  <c r="BB242" i="15"/>
  <c r="BB309" i="15" s="1"/>
  <c r="BB277" i="15"/>
  <c r="BF278" i="15" s="1"/>
  <c r="BB47" i="15"/>
  <c r="BB233" i="15"/>
  <c r="BB300" i="15"/>
  <c r="F630" i="17"/>
  <c r="G630" i="17" s="1"/>
  <c r="G663" i="17" s="1"/>
  <c r="G665" i="17" s="1"/>
  <c r="C690" i="17"/>
  <c r="BB22" i="15"/>
  <c r="BB24" i="15" s="1"/>
  <c r="BE95" i="15" s="1"/>
  <c r="BB37" i="15"/>
  <c r="BB36" i="15"/>
  <c r="BB92" i="15"/>
  <c r="C597" i="17" s="1"/>
  <c r="C602" i="17" s="1"/>
  <c r="BA222" i="15"/>
  <c r="BA228" i="15" s="1"/>
  <c r="BA235" i="15" s="1"/>
  <c r="BB107" i="15"/>
  <c r="BB49" i="15"/>
  <c r="CF49" i="15"/>
  <c r="CF47" i="15"/>
  <c r="CF22" i="15"/>
  <c r="CF24" i="15" s="1"/>
  <c r="CF36" i="15"/>
  <c r="CF37" i="15"/>
  <c r="D712" i="17"/>
  <c r="D679" i="17"/>
  <c r="C734" i="17"/>
  <c r="C738" i="17" s="1"/>
  <c r="D709" i="17"/>
  <c r="D714" i="17"/>
  <c r="BA107" i="15"/>
  <c r="AZ214" i="15"/>
  <c r="BA92" i="15"/>
  <c r="C668" i="17" s="1"/>
  <c r="BA49" i="15"/>
  <c r="BA22" i="15"/>
  <c r="BA24" i="15" s="1"/>
  <c r="BA36" i="15"/>
  <c r="BA37" i="15"/>
  <c r="BA289" i="15"/>
  <c r="BA277" i="15"/>
  <c r="BE278" i="15" s="1"/>
  <c r="BA47" i="15"/>
  <c r="K704" i="17"/>
  <c r="L704" i="17" s="1"/>
  <c r="C749" i="17"/>
  <c r="D749" i="17" s="1"/>
  <c r="D750" i="17" s="1"/>
  <c r="D735" i="17"/>
  <c r="D707" i="17"/>
  <c r="D725" i="17"/>
  <c r="D726" i="17"/>
  <c r="D724" i="17"/>
  <c r="F710" i="17"/>
  <c r="D732" i="17"/>
  <c r="D760" i="17"/>
  <c r="D728" i="17"/>
  <c r="F729" i="17"/>
  <c r="G729" i="17" s="1"/>
  <c r="D729" i="17"/>
  <c r="D715" i="17"/>
  <c r="K707" i="17"/>
  <c r="F727" i="17"/>
  <c r="G727" i="17" s="1"/>
  <c r="D727" i="17"/>
  <c r="D723" i="17"/>
  <c r="D708" i="17"/>
  <c r="P64" i="15"/>
  <c r="P70" i="15" s="1"/>
  <c r="AZ281" i="15"/>
  <c r="AZ283" i="15" s="1"/>
  <c r="O173" i="15"/>
  <c r="O245" i="15" s="1"/>
  <c r="O312" i="15" s="1"/>
  <c r="AZ167" i="15"/>
  <c r="AZ172" i="15" s="1"/>
  <c r="AZ244" i="15" s="1"/>
  <c r="AZ311" i="15" s="1"/>
  <c r="O193" i="15"/>
  <c r="O350" i="15" s="1"/>
  <c r="O346" i="15"/>
  <c r="O365" i="15" s="1"/>
  <c r="O34" i="15"/>
  <c r="AZ242" i="15"/>
  <c r="AZ309" i="15" s="1"/>
  <c r="O167" i="15"/>
  <c r="O192" i="15" s="1"/>
  <c r="AZ34" i="15"/>
  <c r="O408" i="15"/>
  <c r="AZ173" i="15"/>
  <c r="P193" i="15"/>
  <c r="P350" i="15" s="1"/>
  <c r="O343" i="15"/>
  <c r="O201" i="15"/>
  <c r="O340" i="15"/>
  <c r="O89" i="15"/>
  <c r="O43" i="15"/>
  <c r="O20" i="15"/>
  <c r="O32" i="15"/>
  <c r="O263" i="15"/>
  <c r="O93" i="15"/>
  <c r="O341" i="15" s="1"/>
  <c r="O55" i="15"/>
  <c r="P339" i="15"/>
  <c r="P202" i="15"/>
  <c r="AZ92" i="15"/>
  <c r="C739" i="17" s="1"/>
  <c r="AZ50" i="15"/>
  <c r="AZ60" i="15"/>
  <c r="P173" i="15"/>
  <c r="P179" i="15" s="1"/>
  <c r="P347" i="15" s="1"/>
  <c r="P366" i="15" s="1"/>
  <c r="P167" i="15"/>
  <c r="P172" i="15" s="1"/>
  <c r="P34" i="15"/>
  <c r="AZ183" i="15"/>
  <c r="P242" i="15"/>
  <c r="P309" i="15" s="1"/>
  <c r="AZ16" i="15"/>
  <c r="AZ11" i="15"/>
  <c r="P22" i="15"/>
  <c r="P24" i="15" s="1"/>
  <c r="P95" i="15" s="1"/>
  <c r="P37" i="15"/>
  <c r="P36" i="15"/>
  <c r="P201" i="15"/>
  <c r="P340" i="15"/>
  <c r="K777" i="17"/>
  <c r="AY442" i="15"/>
  <c r="AY346" i="15"/>
  <c r="AY365" i="15" s="1"/>
  <c r="F793" i="17"/>
  <c r="G793" i="17" s="1"/>
  <c r="G798" i="17" s="1"/>
  <c r="G800" i="17" s="1"/>
  <c r="C798" i="17"/>
  <c r="C800" i="17" s="1"/>
  <c r="C807" i="17" s="1"/>
  <c r="C825" i="17"/>
  <c r="D825" i="17" s="1"/>
  <c r="AY173" i="15"/>
  <c r="AY187" i="15" s="1"/>
  <c r="D814" i="17"/>
  <c r="C814" i="17"/>
  <c r="K775" i="17"/>
  <c r="AY34" i="15"/>
  <c r="AY167" i="15"/>
  <c r="AY241" i="15" s="1"/>
  <c r="AY308" i="15" s="1"/>
  <c r="AY37" i="15"/>
  <c r="AY36" i="15"/>
  <c r="AY22" i="15"/>
  <c r="AY24" i="15" s="1"/>
  <c r="CD408" i="15"/>
  <c r="CD36" i="15"/>
  <c r="CD37" i="15"/>
  <c r="CD22" i="15"/>
  <c r="CD24" i="15" s="1"/>
  <c r="F855" i="17"/>
  <c r="F848" i="17"/>
  <c r="C876" i="17"/>
  <c r="C877" i="17" s="1"/>
  <c r="F841" i="17"/>
  <c r="F839" i="17"/>
  <c r="AX267" i="15"/>
  <c r="AX268" i="15" s="1"/>
  <c r="AX266" i="15"/>
  <c r="AX182" i="15"/>
  <c r="AX181" i="15"/>
  <c r="AX176" i="15"/>
  <c r="C835" i="17" s="1"/>
  <c r="AX114" i="15"/>
  <c r="C882" i="17" s="1"/>
  <c r="AX155" i="15"/>
  <c r="C857" i="17" s="1"/>
  <c r="AX115" i="15"/>
  <c r="AX106" i="15"/>
  <c r="AX101" i="15"/>
  <c r="CC79" i="15"/>
  <c r="CC77" i="15"/>
  <c r="CC75" i="15"/>
  <c r="CC73" i="15"/>
  <c r="CC72" i="15"/>
  <c r="CC69" i="15"/>
  <c r="CC68" i="15"/>
  <c r="CC67" i="15"/>
  <c r="CC66" i="15"/>
  <c r="CC63" i="15"/>
  <c r="CC62" i="15"/>
  <c r="AX79" i="15"/>
  <c r="AX72" i="15"/>
  <c r="AW65" i="15"/>
  <c r="AX71" i="15"/>
  <c r="AX69" i="15"/>
  <c r="AX68" i="15"/>
  <c r="AX66" i="15"/>
  <c r="AX63" i="15"/>
  <c r="AX62" i="15"/>
  <c r="CC56" i="15"/>
  <c r="AX56" i="15"/>
  <c r="AX8" i="15"/>
  <c r="CC449" i="15"/>
  <c r="CC448" i="15"/>
  <c r="CC447" i="15"/>
  <c r="CC446" i="15"/>
  <c r="CC445" i="15"/>
  <c r="CC441" i="15"/>
  <c r="CH442" i="15" s="1"/>
  <c r="CC431" i="15"/>
  <c r="CC427" i="15"/>
  <c r="CC426" i="15"/>
  <c r="CC425" i="15"/>
  <c r="CC424" i="15"/>
  <c r="CC423" i="15"/>
  <c r="CC420" i="15"/>
  <c r="CC418" i="15"/>
  <c r="CC416" i="15"/>
  <c r="CC414" i="15"/>
  <c r="CC412" i="15"/>
  <c r="CC406" i="15"/>
  <c r="CC405" i="15"/>
  <c r="CC404" i="15"/>
  <c r="CC403" i="15"/>
  <c r="CC402" i="15"/>
  <c r="CC398" i="15"/>
  <c r="CC392" i="15"/>
  <c r="CC388" i="15"/>
  <c r="CC386" i="15"/>
  <c r="CC384" i="15"/>
  <c r="CC382" i="15"/>
  <c r="CC380" i="15"/>
  <c r="CC378" i="15"/>
  <c r="CC60" i="15"/>
  <c r="CC59" i="15"/>
  <c r="CC50" i="15"/>
  <c r="CC42" i="15"/>
  <c r="CC35" i="15"/>
  <c r="CC31" i="15"/>
  <c r="CC30" i="15"/>
  <c r="CC29" i="15"/>
  <c r="CC28" i="15"/>
  <c r="CC10" i="15"/>
  <c r="CC16" i="15" s="1"/>
  <c r="CC20" i="15" s="1"/>
  <c r="CC8" i="15"/>
  <c r="AX28" i="15"/>
  <c r="AX449" i="15"/>
  <c r="AX448" i="15"/>
  <c r="AX447" i="15"/>
  <c r="AX446" i="15"/>
  <c r="AX445" i="15"/>
  <c r="AX441" i="15"/>
  <c r="AX431" i="15"/>
  <c r="AX427" i="15"/>
  <c r="AX426" i="15"/>
  <c r="AX425" i="15"/>
  <c r="AX424" i="15"/>
  <c r="AX423" i="15"/>
  <c r="AX412" i="15"/>
  <c r="AX406" i="15"/>
  <c r="AX405" i="15"/>
  <c r="AX404" i="15"/>
  <c r="AX403" i="15"/>
  <c r="AX402" i="15"/>
  <c r="AX398" i="15"/>
  <c r="AX392" i="15"/>
  <c r="AX388" i="15"/>
  <c r="AX378" i="15"/>
  <c r="AX355" i="15"/>
  <c r="AX345" i="15"/>
  <c r="AX336" i="15"/>
  <c r="AX273" i="15"/>
  <c r="AX272" i="15"/>
  <c r="AX271" i="15"/>
  <c r="AX239" i="15"/>
  <c r="AX214" i="15"/>
  <c r="BB215" i="15" s="1"/>
  <c r="AX211" i="15"/>
  <c r="BB212" i="15" s="1"/>
  <c r="AX209" i="15"/>
  <c r="AX208" i="15"/>
  <c r="AX190" i="15"/>
  <c r="AX111" i="15"/>
  <c r="AX110" i="15"/>
  <c r="AX109" i="15"/>
  <c r="AX99" i="15"/>
  <c r="AX87" i="15"/>
  <c r="AX77" i="15"/>
  <c r="AX75" i="15"/>
  <c r="AX73" i="15"/>
  <c r="AX60" i="15"/>
  <c r="AX218" i="15" s="1"/>
  <c r="AX59" i="15"/>
  <c r="AX50" i="15"/>
  <c r="AX42" i="15"/>
  <c r="AX35" i="15"/>
  <c r="AX33" i="15"/>
  <c r="AX31" i="15"/>
  <c r="AX30" i="15"/>
  <c r="AX29" i="15"/>
  <c r="AX10" i="15"/>
  <c r="AX11" i="15" s="1"/>
  <c r="BX53" i="15"/>
  <c r="BY53" i="15" s="1"/>
  <c r="BZ53" i="15" s="1"/>
  <c r="CA53" i="15" s="1"/>
  <c r="CB53" i="15" s="1"/>
  <c r="CC53" i="15" s="1"/>
  <c r="CD53" i="15" s="1"/>
  <c r="CE53" i="15" s="1"/>
  <c r="CF53" i="15" s="1"/>
  <c r="AS53" i="15"/>
  <c r="AT53" i="15" s="1"/>
  <c r="AU53" i="15" s="1"/>
  <c r="AV53" i="15" s="1"/>
  <c r="AW53" i="15" s="1"/>
  <c r="CB50" i="15"/>
  <c r="BZ50" i="15"/>
  <c r="BY50" i="15"/>
  <c r="BY52" i="15" s="1"/>
  <c r="BX50" i="15"/>
  <c r="AW50" i="15"/>
  <c r="BA51" i="15" s="1"/>
  <c r="AU50" i="15"/>
  <c r="AU52" i="15" s="1"/>
  <c r="AT50" i="15"/>
  <c r="AT52" i="15" s="1"/>
  <c r="AS50" i="15"/>
  <c r="M8" i="15"/>
  <c r="AW8" i="15"/>
  <c r="AU8" i="15"/>
  <c r="V111" i="15"/>
  <c r="W111" i="15"/>
  <c r="Z111" i="15"/>
  <c r="AA111" i="15"/>
  <c r="AC111" i="15"/>
  <c r="AD111" i="15"/>
  <c r="AE111" i="15"/>
  <c r="AG111" i="15"/>
  <c r="AH111" i="15"/>
  <c r="AI111" i="15"/>
  <c r="AK111" i="15"/>
  <c r="AL111" i="15"/>
  <c r="AM111" i="15"/>
  <c r="AO111" i="15"/>
  <c r="AP111" i="15"/>
  <c r="AQ111" i="15"/>
  <c r="AS111" i="15"/>
  <c r="AT111" i="15"/>
  <c r="AU111" i="15"/>
  <c r="AW111" i="15"/>
  <c r="V110" i="15"/>
  <c r="W110" i="15"/>
  <c r="Z110" i="15"/>
  <c r="AA110" i="15"/>
  <c r="AC110" i="15"/>
  <c r="AD110" i="15"/>
  <c r="AE110" i="15"/>
  <c r="AG110" i="15"/>
  <c r="AH110" i="15"/>
  <c r="AI110" i="15"/>
  <c r="AK110" i="15"/>
  <c r="AL110" i="15"/>
  <c r="AM110" i="15"/>
  <c r="AO110" i="15"/>
  <c r="AP110" i="15"/>
  <c r="AQ110" i="15"/>
  <c r="AT110" i="15"/>
  <c r="AU110" i="15"/>
  <c r="AW110" i="15"/>
  <c r="V109" i="15"/>
  <c r="W109" i="15"/>
  <c r="Z109" i="15"/>
  <c r="AA109" i="15"/>
  <c r="AC109" i="15"/>
  <c r="AD109" i="15"/>
  <c r="AE109" i="15"/>
  <c r="AG109" i="15"/>
  <c r="AH109" i="15"/>
  <c r="AI109" i="15"/>
  <c r="AK109" i="15"/>
  <c r="AL109" i="15"/>
  <c r="AM109" i="15"/>
  <c r="AO109" i="15"/>
  <c r="AP109" i="15"/>
  <c r="AQ109" i="15"/>
  <c r="AS109" i="15"/>
  <c r="AT109" i="15"/>
  <c r="AU109" i="15"/>
  <c r="AW109" i="15"/>
  <c r="U111" i="15"/>
  <c r="U110" i="15"/>
  <c r="U109" i="15"/>
  <c r="D111" i="15"/>
  <c r="E111" i="15"/>
  <c r="F111" i="15"/>
  <c r="G111" i="15"/>
  <c r="H111" i="15"/>
  <c r="I111" i="15"/>
  <c r="J111" i="15"/>
  <c r="K111" i="15"/>
  <c r="L111" i="15"/>
  <c r="M111" i="15"/>
  <c r="N111" i="15"/>
  <c r="D110" i="15"/>
  <c r="E110" i="15"/>
  <c r="F110" i="15"/>
  <c r="G110" i="15"/>
  <c r="H110" i="15"/>
  <c r="I110" i="15"/>
  <c r="J110" i="15"/>
  <c r="K110" i="15"/>
  <c r="L110" i="15"/>
  <c r="M110" i="15"/>
  <c r="N110" i="15"/>
  <c r="C111" i="15"/>
  <c r="C110" i="15"/>
  <c r="D109" i="15"/>
  <c r="E109" i="15"/>
  <c r="F109" i="15"/>
  <c r="G109" i="15"/>
  <c r="H109" i="15"/>
  <c r="I109" i="15"/>
  <c r="J109" i="15"/>
  <c r="K109" i="15"/>
  <c r="L109" i="15"/>
  <c r="M109" i="15"/>
  <c r="N109" i="15"/>
  <c r="C109" i="15"/>
  <c r="BB289" i="15" l="1"/>
  <c r="BB70" i="15"/>
  <c r="BD390" i="15"/>
  <c r="BD408" i="15" s="1"/>
  <c r="BH389" i="15"/>
  <c r="BD202" i="15"/>
  <c r="BD263" i="15" s="1"/>
  <c r="S241" i="15"/>
  <c r="S348" i="15"/>
  <c r="BD234" i="15"/>
  <c r="BD232" i="15"/>
  <c r="P49" i="15"/>
  <c r="BF202" i="15"/>
  <c r="BF263" i="15" s="1"/>
  <c r="BG342" i="15"/>
  <c r="BG361" i="15" s="1"/>
  <c r="BG202" i="15"/>
  <c r="BD76" i="15"/>
  <c r="BD74" i="15"/>
  <c r="BD67" i="15"/>
  <c r="BD61" i="15"/>
  <c r="BC300" i="15"/>
  <c r="BA241" i="15"/>
  <c r="BA308" i="15" s="1"/>
  <c r="BC292" i="15"/>
  <c r="BC225" i="15"/>
  <c r="BF359" i="15"/>
  <c r="BF369" i="15"/>
  <c r="BF370" i="15"/>
  <c r="BD65" i="15"/>
  <c r="BC277" i="15"/>
  <c r="P90" i="15"/>
  <c r="BC233" i="15"/>
  <c r="P47" i="15"/>
  <c r="BD389" i="15"/>
  <c r="BA348" i="15"/>
  <c r="BA367" i="15" s="1"/>
  <c r="CI45" i="15"/>
  <c r="CI47" i="15" s="1"/>
  <c r="BA408" i="15"/>
  <c r="BE263" i="15"/>
  <c r="BE254" i="15"/>
  <c r="BE350" i="15"/>
  <c r="BE253" i="15"/>
  <c r="BE351" i="15"/>
  <c r="BC178" i="15"/>
  <c r="BC198" i="15" s="1"/>
  <c r="BC204" i="15"/>
  <c r="BC188" i="15"/>
  <c r="BC47" i="15"/>
  <c r="BE340" i="15"/>
  <c r="BC49" i="15"/>
  <c r="BC46" i="15"/>
  <c r="BD95" i="15"/>
  <c r="BD350" i="15"/>
  <c r="BD254" i="15"/>
  <c r="BD40" i="15"/>
  <c r="BD45" i="15"/>
  <c r="BH46" i="15" s="1"/>
  <c r="BD351" i="15"/>
  <c r="BD253" i="15"/>
  <c r="AZ216" i="15"/>
  <c r="BD215" i="15"/>
  <c r="CI60" i="15"/>
  <c r="CI64" i="15" s="1"/>
  <c r="CI51" i="15"/>
  <c r="CI52" i="15"/>
  <c r="CI451" i="15" s="1"/>
  <c r="BD51" i="15"/>
  <c r="S179" i="15"/>
  <c r="S199" i="15" s="1"/>
  <c r="F524" i="17"/>
  <c r="H519" i="17" s="1"/>
  <c r="K490" i="17"/>
  <c r="S187" i="15"/>
  <c r="E519" i="17"/>
  <c r="C528" i="17"/>
  <c r="C529" i="17" s="1"/>
  <c r="E521" i="17"/>
  <c r="F521" i="17"/>
  <c r="S216" i="15"/>
  <c r="CG389" i="15"/>
  <c r="CH389" i="15"/>
  <c r="S218" i="15"/>
  <c r="CG399" i="15"/>
  <c r="CH399" i="15"/>
  <c r="S337" i="15"/>
  <c r="S91" i="15"/>
  <c r="S52" i="15"/>
  <c r="S451" i="15" s="1"/>
  <c r="S188" i="15"/>
  <c r="S204" i="15"/>
  <c r="S244" i="15"/>
  <c r="S93" i="15"/>
  <c r="S341" i="15" s="1"/>
  <c r="S55" i="15"/>
  <c r="BB228" i="15"/>
  <c r="BB235" i="15" s="1"/>
  <c r="S11" i="15"/>
  <c r="S16" i="15"/>
  <c r="CH39" i="15"/>
  <c r="S251" i="15"/>
  <c r="S339" i="15"/>
  <c r="BB91" i="15"/>
  <c r="BB192" i="15" s="1"/>
  <c r="BC91" i="15"/>
  <c r="BB89" i="15"/>
  <c r="BC89" i="15"/>
  <c r="BC64" i="15"/>
  <c r="BC70" i="15" s="1"/>
  <c r="BC286" i="15"/>
  <c r="BC219" i="15"/>
  <c r="BC222" i="15" s="1"/>
  <c r="BC290" i="15"/>
  <c r="BC223" i="15"/>
  <c r="BC39" i="15"/>
  <c r="BC339" i="15"/>
  <c r="BC358" i="15" s="1"/>
  <c r="BC371" i="15" s="1"/>
  <c r="BC251" i="15"/>
  <c r="BC318" i="15" s="1"/>
  <c r="BC327" i="15" s="1"/>
  <c r="BC199" i="15"/>
  <c r="BC298" i="15"/>
  <c r="BC231" i="15"/>
  <c r="C670" i="17"/>
  <c r="K563" i="17"/>
  <c r="F597" i="17"/>
  <c r="E592" i="17"/>
  <c r="BA248" i="15"/>
  <c r="BA315" i="15" s="1"/>
  <c r="AW93" i="15"/>
  <c r="AW341" i="15" s="1"/>
  <c r="AW360" i="15" s="1"/>
  <c r="CG53" i="15"/>
  <c r="CH53" i="15" s="1"/>
  <c r="CI53" i="15" s="1"/>
  <c r="E594" i="17"/>
  <c r="C667" i="17"/>
  <c r="BB187" i="15"/>
  <c r="C665" i="17"/>
  <c r="C672" i="17" s="1"/>
  <c r="C673" i="17" s="1"/>
  <c r="CG22" i="15"/>
  <c r="CG24" i="15" s="1"/>
  <c r="CG36" i="15"/>
  <c r="CE20" i="15"/>
  <c r="CE36" i="15" s="1"/>
  <c r="BB348" i="15"/>
  <c r="BB367" i="15" s="1"/>
  <c r="CE52" i="15"/>
  <c r="CE451" i="15" s="1"/>
  <c r="BA245" i="15"/>
  <c r="BA312" i="15" s="1"/>
  <c r="BB172" i="15"/>
  <c r="BB204" i="15" s="1"/>
  <c r="BA187" i="15"/>
  <c r="BB245" i="15"/>
  <c r="BB312" i="15" s="1"/>
  <c r="F663" i="17"/>
  <c r="F665" i="17" s="1"/>
  <c r="BA91" i="15"/>
  <c r="BA193" i="15" s="1"/>
  <c r="BA254" i="15" s="1"/>
  <c r="AZ245" i="15"/>
  <c r="AZ312" i="15" s="1"/>
  <c r="AZ179" i="15"/>
  <c r="C741" i="17" s="1"/>
  <c r="BB199" i="15"/>
  <c r="BB347" i="15"/>
  <c r="BB366" i="15" s="1"/>
  <c r="BB248" i="15"/>
  <c r="BB315" i="15" s="1"/>
  <c r="BB251" i="15"/>
  <c r="BB339" i="15"/>
  <c r="F668" i="17"/>
  <c r="K636" i="17"/>
  <c r="CB52" i="15"/>
  <c r="CF51" i="15"/>
  <c r="D690" i="17"/>
  <c r="C691" i="17"/>
  <c r="D691" i="17" s="1"/>
  <c r="BB279" i="15"/>
  <c r="E663" i="17"/>
  <c r="C736" i="17"/>
  <c r="C743" i="17" s="1"/>
  <c r="C744" i="17" s="1"/>
  <c r="C750" i="17"/>
  <c r="G734" i="17"/>
  <c r="G736" i="17" s="1"/>
  <c r="F734" i="17"/>
  <c r="F736" i="17" s="1"/>
  <c r="K705" i="17"/>
  <c r="L705" i="17" s="1"/>
  <c r="BA251" i="15"/>
  <c r="BA339" i="15"/>
  <c r="BA199" i="15"/>
  <c r="BA260" i="15" s="1"/>
  <c r="BA188" i="15"/>
  <c r="BA204" i="15"/>
  <c r="BA244" i="15"/>
  <c r="BA311" i="15" s="1"/>
  <c r="BA178" i="15"/>
  <c r="BA279" i="15"/>
  <c r="E734" i="17"/>
  <c r="O172" i="15"/>
  <c r="O178" i="15" s="1"/>
  <c r="CD72" i="15"/>
  <c r="CE72" i="15" s="1"/>
  <c r="CD68" i="15"/>
  <c r="CE68" i="15" s="1"/>
  <c r="CD69" i="15"/>
  <c r="CE69" i="15" s="1"/>
  <c r="CD73" i="15"/>
  <c r="CE73" i="15" s="1"/>
  <c r="CD62" i="15"/>
  <c r="CE62" i="15" s="1"/>
  <c r="CD75" i="15"/>
  <c r="CE75" i="15" s="1"/>
  <c r="K708" i="17"/>
  <c r="M703" i="17" s="1"/>
  <c r="F739" i="17"/>
  <c r="CD63" i="15"/>
  <c r="CE63" i="15" s="1"/>
  <c r="CD77" i="15"/>
  <c r="CE77" i="15" s="1"/>
  <c r="O45" i="15"/>
  <c r="CD66" i="15"/>
  <c r="CE66" i="15" s="1"/>
  <c r="CD79" i="15"/>
  <c r="CE79" i="15" s="1"/>
  <c r="CD67" i="15"/>
  <c r="CE67" i="15" s="1"/>
  <c r="AZ241" i="15"/>
  <c r="AZ308" i="15" s="1"/>
  <c r="AZ188" i="15"/>
  <c r="O187" i="15"/>
  <c r="AZ204" i="15"/>
  <c r="O179" i="15"/>
  <c r="O248" i="15" s="1"/>
  <c r="O315" i="15" s="1"/>
  <c r="AZ348" i="15"/>
  <c r="AZ367" i="15" s="1"/>
  <c r="P254" i="15"/>
  <c r="O241" i="15"/>
  <c r="O308" i="15" s="1"/>
  <c r="O348" i="15"/>
  <c r="O367" i="15" s="1"/>
  <c r="AZ178" i="15"/>
  <c r="AZ247" i="15" s="1"/>
  <c r="AZ314" i="15" s="1"/>
  <c r="O196" i="15"/>
  <c r="O257" i="15" s="1"/>
  <c r="AX399" i="15"/>
  <c r="P245" i="15"/>
  <c r="P312" i="15" s="1"/>
  <c r="P196" i="15"/>
  <c r="P257" i="15" s="1"/>
  <c r="AZ187" i="15"/>
  <c r="O254" i="15"/>
  <c r="AZ91" i="15"/>
  <c r="AZ250" i="15" s="1"/>
  <c r="P248" i="15"/>
  <c r="P315" i="15" s="1"/>
  <c r="P192" i="15"/>
  <c r="P351" i="15" s="1"/>
  <c r="P348" i="15"/>
  <c r="P367" i="15" s="1"/>
  <c r="P241" i="15"/>
  <c r="P308" i="15" s="1"/>
  <c r="O37" i="15"/>
  <c r="O36" i="15"/>
  <c r="O22" i="15"/>
  <c r="O24" i="15" s="1"/>
  <c r="O95" i="15" s="1"/>
  <c r="O262" i="15"/>
  <c r="O351" i="15"/>
  <c r="O253" i="15"/>
  <c r="P199" i="15"/>
  <c r="P260" i="15" s="1"/>
  <c r="P187" i="15"/>
  <c r="AZ218" i="15"/>
  <c r="AZ285" i="15"/>
  <c r="BC317" i="15" s="1"/>
  <c r="AZ52" i="15"/>
  <c r="AZ451" i="15" s="1"/>
  <c r="AZ51" i="15"/>
  <c r="AZ251" i="15"/>
  <c r="AZ339" i="15"/>
  <c r="P263" i="15"/>
  <c r="AZ43" i="15"/>
  <c r="AZ32" i="15"/>
  <c r="AZ20" i="15"/>
  <c r="P262" i="15"/>
  <c r="P178" i="15"/>
  <c r="P188" i="15"/>
  <c r="P195" i="15"/>
  <c r="P256" i="15" s="1"/>
  <c r="P204" i="15"/>
  <c r="P244" i="15"/>
  <c r="P311" i="15" s="1"/>
  <c r="AX306" i="15"/>
  <c r="AY245" i="15"/>
  <c r="AY312" i="15" s="1"/>
  <c r="F798" i="17"/>
  <c r="F800" i="17" s="1"/>
  <c r="AY348" i="15"/>
  <c r="AY367" i="15" s="1"/>
  <c r="AY172" i="15"/>
  <c r="AY178" i="15" s="1"/>
  <c r="C802" i="17"/>
  <c r="AY72" i="15"/>
  <c r="AY77" i="15"/>
  <c r="AY63" i="15"/>
  <c r="AY66" i="15"/>
  <c r="AY73" i="15"/>
  <c r="AY68" i="15"/>
  <c r="AY69" i="15"/>
  <c r="AY79" i="15"/>
  <c r="AY71" i="15"/>
  <c r="AY179" i="15"/>
  <c r="C805" i="17" s="1"/>
  <c r="AY62" i="15"/>
  <c r="AY56" i="15"/>
  <c r="AX65" i="15"/>
  <c r="K836" i="17"/>
  <c r="AY266" i="15"/>
  <c r="H832" i="17"/>
  <c r="L775" i="17"/>
  <c r="BZ52" i="15"/>
  <c r="CD51" i="15"/>
  <c r="CD56" i="15"/>
  <c r="CD44" i="15" s="1"/>
  <c r="AX234" i="15"/>
  <c r="AX232" i="15"/>
  <c r="AY75" i="15"/>
  <c r="AX226" i="15"/>
  <c r="AX224" i="15"/>
  <c r="AX44" i="15"/>
  <c r="CC44" i="15"/>
  <c r="CC40" i="15" s="1"/>
  <c r="AX168" i="15"/>
  <c r="AX34" i="15" s="1"/>
  <c r="AX390" i="15"/>
  <c r="AX389" i="15"/>
  <c r="CC52" i="15"/>
  <c r="CC451" i="15" s="1"/>
  <c r="CC51" i="15"/>
  <c r="AX183" i="15"/>
  <c r="AX442" i="15"/>
  <c r="AU91" i="15"/>
  <c r="AX303" i="15"/>
  <c r="AX53" i="15"/>
  <c r="AU51" i="15"/>
  <c r="AX294" i="15"/>
  <c r="CC11" i="15"/>
  <c r="AX296" i="15"/>
  <c r="AX364" i="15"/>
  <c r="AX158" i="15"/>
  <c r="AX159" i="15" s="1"/>
  <c r="AX51" i="15"/>
  <c r="AX52" i="15"/>
  <c r="AX451" i="15" s="1"/>
  <c r="CC43" i="15"/>
  <c r="CC443" i="15"/>
  <c r="CC390" i="15"/>
  <c r="CC400" i="15"/>
  <c r="CC36" i="15"/>
  <c r="CC37" i="15"/>
  <c r="CC22" i="15"/>
  <c r="CC24" i="15" s="1"/>
  <c r="CC32" i="15"/>
  <c r="AW51" i="15"/>
  <c r="CB51" i="15"/>
  <c r="AX216" i="15"/>
  <c r="AX443" i="15"/>
  <c r="AX297" i="15"/>
  <c r="AX293" i="15"/>
  <c r="AX281" i="15"/>
  <c r="BB282" i="15" s="1"/>
  <c r="AX301" i="15"/>
  <c r="AX285" i="15"/>
  <c r="AX275" i="15"/>
  <c r="BB276" i="15" s="1"/>
  <c r="AX299" i="15"/>
  <c r="AX291" i="15"/>
  <c r="AX287" i="15"/>
  <c r="AX288" i="15"/>
  <c r="AX16" i="15"/>
  <c r="BA89" i="15" s="1"/>
  <c r="AX227" i="15"/>
  <c r="AX236" i="15"/>
  <c r="AX400" i="15"/>
  <c r="AX220" i="15"/>
  <c r="AX221" i="15"/>
  <c r="AX229" i="15"/>
  <c r="AW52" i="15"/>
  <c r="BX52" i="15"/>
  <c r="AS91" i="15"/>
  <c r="AS93" i="15"/>
  <c r="AS341" i="15" s="1"/>
  <c r="AS360" i="15" s="1"/>
  <c r="AT51" i="15"/>
  <c r="AT91" i="15"/>
  <c r="AT93" i="15"/>
  <c r="AT341" i="15" s="1"/>
  <c r="AU93" i="15"/>
  <c r="AU341" i="15" s="1"/>
  <c r="AV93" i="15"/>
  <c r="AV341" i="15" s="1"/>
  <c r="C924" i="17"/>
  <c r="K902" i="17" s="1"/>
  <c r="C922" i="17"/>
  <c r="H895" i="17"/>
  <c r="C915" i="17"/>
  <c r="C920" i="17"/>
  <c r="C919" i="17"/>
  <c r="F919" i="17" s="1"/>
  <c r="C918" i="17"/>
  <c r="F918" i="17" s="1"/>
  <c r="C917" i="17"/>
  <c r="F917" i="17" s="1"/>
  <c r="C916" i="17"/>
  <c r="F916" i="17" s="1"/>
  <c r="C908" i="17"/>
  <c r="F908" i="17" s="1"/>
  <c r="C907" i="17"/>
  <c r="F907" i="17" s="1"/>
  <c r="C905" i="17"/>
  <c r="F905" i="17" s="1"/>
  <c r="C904" i="17"/>
  <c r="F904" i="17" s="1"/>
  <c r="C903" i="17"/>
  <c r="C902" i="17"/>
  <c r="F902" i="17" s="1"/>
  <c r="F914" i="17"/>
  <c r="F913" i="17"/>
  <c r="F912" i="17"/>
  <c r="F911" i="17"/>
  <c r="AW440" i="15"/>
  <c r="AZ440" i="15" s="1"/>
  <c r="S441" i="15" s="1"/>
  <c r="AW397" i="15"/>
  <c r="AZ397" i="15" s="1"/>
  <c r="S398" i="15" s="1"/>
  <c r="AW387" i="15"/>
  <c r="AZ387" i="15" s="1"/>
  <c r="S388" i="15" s="1"/>
  <c r="S390" i="15" s="1"/>
  <c r="CI70" i="15" l="1"/>
  <c r="CI78" i="15" s="1"/>
  <c r="AU338" i="15"/>
  <c r="AU250" i="15"/>
  <c r="BD96" i="15"/>
  <c r="BD343" i="15" s="1"/>
  <c r="BD219" i="15"/>
  <c r="BD222" i="15" s="1"/>
  <c r="BD225" i="15"/>
  <c r="BD231" i="15"/>
  <c r="BD233" i="15"/>
  <c r="BE90" i="15"/>
  <c r="BG90" i="15"/>
  <c r="BC279" i="15"/>
  <c r="BG278" i="15"/>
  <c r="BG263" i="15"/>
  <c r="BF96" i="15"/>
  <c r="BF343" i="15" s="1"/>
  <c r="BF362" i="15" s="1"/>
  <c r="BG96" i="15"/>
  <c r="BD64" i="15"/>
  <c r="BD70" i="15" s="1"/>
  <c r="BF90" i="15"/>
  <c r="BE96" i="15"/>
  <c r="BE201" i="15" s="1"/>
  <c r="BD223" i="15"/>
  <c r="BD39" i="15"/>
  <c r="CI49" i="15"/>
  <c r="BE359" i="15"/>
  <c r="BE370" i="15"/>
  <c r="BE369" i="15"/>
  <c r="BC349" i="15"/>
  <c r="BC368" i="15" s="1"/>
  <c r="BC372" i="15" s="1"/>
  <c r="BC247" i="15"/>
  <c r="BC314" i="15" s="1"/>
  <c r="BC326" i="15" s="1"/>
  <c r="BD90" i="15"/>
  <c r="BD46" i="15"/>
  <c r="BD49" i="15"/>
  <c r="BD47" i="15"/>
  <c r="S347" i="15"/>
  <c r="S248" i="15"/>
  <c r="BB193" i="15"/>
  <c r="BB350" i="15" s="1"/>
  <c r="O90" i="15"/>
  <c r="P46" i="15"/>
  <c r="BB338" i="15"/>
  <c r="BB357" i="15" s="1"/>
  <c r="BB250" i="15"/>
  <c r="BC228" i="15"/>
  <c r="BC235" i="15" s="1"/>
  <c r="BB196" i="15"/>
  <c r="BB257" i="15" s="1"/>
  <c r="M485" i="17"/>
  <c r="M487" i="17"/>
  <c r="H521" i="17"/>
  <c r="S250" i="15"/>
  <c r="S338" i="15"/>
  <c r="S193" i="15"/>
  <c r="S192" i="15"/>
  <c r="S196" i="15"/>
  <c r="S257" i="15" s="1"/>
  <c r="S247" i="15"/>
  <c r="S198" i="15"/>
  <c r="S349" i="15"/>
  <c r="S352" i="15"/>
  <c r="S260" i="15"/>
  <c r="S400" i="15"/>
  <c r="S408" i="15" s="1"/>
  <c r="S20" i="15"/>
  <c r="S32" i="15"/>
  <c r="S89" i="15"/>
  <c r="S43" i="15"/>
  <c r="S195" i="15"/>
  <c r="S256" i="15" s="1"/>
  <c r="BC289" i="15"/>
  <c r="BC250" i="15"/>
  <c r="BC338" i="15"/>
  <c r="BC193" i="15"/>
  <c r="BC196" i="15"/>
  <c r="BC257" i="15" s="1"/>
  <c r="BC192" i="15"/>
  <c r="BC195" i="15"/>
  <c r="BC256" i="15" s="1"/>
  <c r="BC352" i="15"/>
  <c r="BC260" i="15"/>
  <c r="BC259" i="15"/>
  <c r="BC353" i="15"/>
  <c r="AZ77" i="15"/>
  <c r="H592" i="17"/>
  <c r="H594" i="17"/>
  <c r="AZ75" i="15"/>
  <c r="BB356" i="15"/>
  <c r="AZ71" i="15"/>
  <c r="AZ72" i="15"/>
  <c r="M558" i="17"/>
  <c r="M560" i="17"/>
  <c r="AZ79" i="15"/>
  <c r="AZ69" i="15"/>
  <c r="AZ294" i="15" s="1"/>
  <c r="AZ68" i="15"/>
  <c r="AZ73" i="15"/>
  <c r="AZ56" i="15"/>
  <c r="AZ66" i="15"/>
  <c r="AZ291" i="15" s="1"/>
  <c r="E665" i="17"/>
  <c r="BB195" i="15"/>
  <c r="BB256" i="15" s="1"/>
  <c r="BB188" i="15"/>
  <c r="BB244" i="15"/>
  <c r="BB311" i="15" s="1"/>
  <c r="O244" i="15"/>
  <c r="O311" i="15" s="1"/>
  <c r="CE37" i="15"/>
  <c r="BB178" i="15"/>
  <c r="BB349" i="15" s="1"/>
  <c r="BB368" i="15" s="1"/>
  <c r="BA196" i="15"/>
  <c r="BA257" i="15" s="1"/>
  <c r="BA195" i="15"/>
  <c r="BA256" i="15" s="1"/>
  <c r="CE22" i="15"/>
  <c r="CE24" i="15" s="1"/>
  <c r="BA250" i="15"/>
  <c r="BA338" i="15"/>
  <c r="BA340" i="15" s="1"/>
  <c r="BA192" i="15"/>
  <c r="BA351" i="15" s="1"/>
  <c r="H665" i="17"/>
  <c r="BA350" i="15"/>
  <c r="O204" i="15"/>
  <c r="O195" i="15"/>
  <c r="O256" i="15" s="1"/>
  <c r="M633" i="17"/>
  <c r="M631" i="17"/>
  <c r="H663" i="17"/>
  <c r="BB352" i="15"/>
  <c r="BB260" i="15"/>
  <c r="BB351" i="15"/>
  <c r="BB253" i="15"/>
  <c r="AX40" i="15"/>
  <c r="BB358" i="15"/>
  <c r="BB371" i="15" s="1"/>
  <c r="BB318" i="15"/>
  <c r="BB327" i="15" s="1"/>
  <c r="E736" i="17"/>
  <c r="BA352" i="15"/>
  <c r="O49" i="15"/>
  <c r="P266" i="15"/>
  <c r="BA356" i="15"/>
  <c r="H734" i="17"/>
  <c r="O188" i="15"/>
  <c r="BA358" i="15"/>
  <c r="BA371" i="15" s="1"/>
  <c r="BA318" i="15"/>
  <c r="BA327" i="15" s="1"/>
  <c r="AY65" i="15"/>
  <c r="BA198" i="15"/>
  <c r="BA349" i="15"/>
  <c r="BA368" i="15" s="1"/>
  <c r="BA247" i="15"/>
  <c r="BA314" i="15" s="1"/>
  <c r="H736" i="17"/>
  <c r="O47" i="15"/>
  <c r="CE56" i="15"/>
  <c r="M705" i="17"/>
  <c r="AZ199" i="15"/>
  <c r="AZ352" i="15" s="1"/>
  <c r="O347" i="15"/>
  <c r="O366" i="15" s="1"/>
  <c r="O199" i="15"/>
  <c r="O260" i="15" s="1"/>
  <c r="AZ198" i="15"/>
  <c r="AZ353" i="15" s="1"/>
  <c r="AZ349" i="15"/>
  <c r="AZ368" i="15" s="1"/>
  <c r="AZ347" i="15"/>
  <c r="AZ366" i="15" s="1"/>
  <c r="AZ248" i="15"/>
  <c r="AZ315" i="15" s="1"/>
  <c r="AZ195" i="15"/>
  <c r="AZ256" i="15" s="1"/>
  <c r="AZ196" i="15"/>
  <c r="AZ257" i="15" s="1"/>
  <c r="AZ358" i="15"/>
  <c r="P253" i="15"/>
  <c r="AZ192" i="15"/>
  <c r="AZ253" i="15" s="1"/>
  <c r="AZ338" i="15"/>
  <c r="AZ357" i="15" s="1"/>
  <c r="AZ193" i="15"/>
  <c r="AZ350" i="15" s="1"/>
  <c r="P352" i="15"/>
  <c r="O349" i="15"/>
  <c r="O368" i="15" s="1"/>
  <c r="O198" i="15"/>
  <c r="O247" i="15"/>
  <c r="O314" i="15" s="1"/>
  <c r="AZ441" i="15"/>
  <c r="AZ356" i="15"/>
  <c r="AZ318" i="15"/>
  <c r="AZ398" i="15"/>
  <c r="AY220" i="15"/>
  <c r="AZ62" i="15"/>
  <c r="AY221" i="15"/>
  <c r="AZ63" i="15"/>
  <c r="AZ22" i="15"/>
  <c r="AZ24" i="15" s="1"/>
  <c r="AZ37" i="15"/>
  <c r="AZ36" i="15"/>
  <c r="P349" i="15"/>
  <c r="P368" i="15" s="1"/>
  <c r="P247" i="15"/>
  <c r="P314" i="15" s="1"/>
  <c r="P198" i="15"/>
  <c r="AY204" i="15"/>
  <c r="AY244" i="15"/>
  <c r="AY311" i="15" s="1"/>
  <c r="AY188" i="15"/>
  <c r="AY236" i="15"/>
  <c r="AY288" i="15"/>
  <c r="AY347" i="15"/>
  <c r="AY366" i="15" s="1"/>
  <c r="AY248" i="15"/>
  <c r="AY315" i="15" s="1"/>
  <c r="AY227" i="15"/>
  <c r="AY229" i="15"/>
  <c r="AY287" i="15"/>
  <c r="AY44" i="15"/>
  <c r="AY294" i="15"/>
  <c r="AY297" i="15"/>
  <c r="D854" i="17"/>
  <c r="D853" i="17"/>
  <c r="D850" i="17"/>
  <c r="D852" i="17"/>
  <c r="D851" i="17"/>
  <c r="D858" i="17"/>
  <c r="D842" i="17"/>
  <c r="D841" i="17"/>
  <c r="D856" i="17"/>
  <c r="D843" i="17"/>
  <c r="D862" i="17"/>
  <c r="D839" i="17"/>
  <c r="D859" i="17"/>
  <c r="D848" i="17"/>
  <c r="D845" i="17"/>
  <c r="D840" i="17"/>
  <c r="D855" i="17"/>
  <c r="D847" i="17"/>
  <c r="D846" i="17"/>
  <c r="G839" i="17"/>
  <c r="AY285" i="15"/>
  <c r="BB317" i="15" s="1"/>
  <c r="AY275" i="15"/>
  <c r="BC276" i="15" s="1"/>
  <c r="AY296" i="15"/>
  <c r="AY281" i="15"/>
  <c r="BC282" i="15" s="1"/>
  <c r="D835" i="17"/>
  <c r="AY303" i="15"/>
  <c r="D857" i="17"/>
  <c r="CD45" i="15"/>
  <c r="CH46" i="15" s="1"/>
  <c r="CD40" i="15"/>
  <c r="G841" i="17"/>
  <c r="AY232" i="15"/>
  <c r="AY299" i="15"/>
  <c r="D876" i="17"/>
  <c r="AY293" i="15"/>
  <c r="AY226" i="15"/>
  <c r="AY349" i="15"/>
  <c r="AY368" i="15" s="1"/>
  <c r="AY247" i="15"/>
  <c r="AY314" i="15" s="1"/>
  <c r="AX93" i="15"/>
  <c r="AX341" i="15" s="1"/>
  <c r="AX360" i="15" s="1"/>
  <c r="AY53" i="15"/>
  <c r="AZ53" i="15" s="1"/>
  <c r="AY224" i="15"/>
  <c r="AY291" i="15"/>
  <c r="AY234" i="15"/>
  <c r="AY301" i="15"/>
  <c r="D882" i="17"/>
  <c r="C861" i="17"/>
  <c r="F835" i="17"/>
  <c r="C887" i="17"/>
  <c r="D887" i="17" s="1"/>
  <c r="G911" i="17"/>
  <c r="K840" i="17"/>
  <c r="K838" i="17"/>
  <c r="L836" i="17"/>
  <c r="AX408" i="15"/>
  <c r="AX173" i="15"/>
  <c r="AX245" i="15" s="1"/>
  <c r="AX312" i="15" s="1"/>
  <c r="AX167" i="15"/>
  <c r="AX172" i="15" s="1"/>
  <c r="F857" i="17"/>
  <c r="G857" i="17" s="1"/>
  <c r="F856" i="17"/>
  <c r="G856" i="17" s="1"/>
  <c r="CC45" i="15"/>
  <c r="G862" i="17"/>
  <c r="L837" i="17"/>
  <c r="D875" i="17"/>
  <c r="G850" i="17"/>
  <c r="G858" i="17"/>
  <c r="G845" i="17"/>
  <c r="G840" i="17"/>
  <c r="G842" i="17"/>
  <c r="D885" i="17"/>
  <c r="G847" i="17"/>
  <c r="L839" i="17"/>
  <c r="G854" i="17"/>
  <c r="G853" i="17"/>
  <c r="D883" i="17"/>
  <c r="G852" i="17"/>
  <c r="G851" i="17"/>
  <c r="G859" i="17"/>
  <c r="D884" i="17"/>
  <c r="D886" i="17"/>
  <c r="D915" i="17"/>
  <c r="AX346" i="15"/>
  <c r="AX365" i="15" s="1"/>
  <c r="AX242" i="15"/>
  <c r="AX309" i="15" s="1"/>
  <c r="CC408" i="15"/>
  <c r="AX32" i="15"/>
  <c r="AX43" i="15"/>
  <c r="AX45" i="15" s="1"/>
  <c r="AX20" i="15"/>
  <c r="AX283" i="15"/>
  <c r="AS338" i="15"/>
  <c r="AS250" i="15"/>
  <c r="D944" i="17"/>
  <c r="D943" i="17"/>
  <c r="AT338" i="15"/>
  <c r="AT250" i="15"/>
  <c r="D905" i="17"/>
  <c r="D907" i="17"/>
  <c r="D904" i="17"/>
  <c r="D914" i="17"/>
  <c r="D903" i="17"/>
  <c r="G904" i="17"/>
  <c r="D916" i="17"/>
  <c r="D918" i="17"/>
  <c r="D911" i="17"/>
  <c r="D942" i="17"/>
  <c r="D902" i="17"/>
  <c r="D912" i="17"/>
  <c r="D922" i="17"/>
  <c r="G907" i="17"/>
  <c r="D908" i="17"/>
  <c r="D917" i="17"/>
  <c r="D910" i="17"/>
  <c r="D919" i="17"/>
  <c r="D913" i="17"/>
  <c r="K900" i="17"/>
  <c r="L900" i="17" s="1"/>
  <c r="G912" i="17"/>
  <c r="G916" i="17"/>
  <c r="G908" i="17"/>
  <c r="G913" i="17"/>
  <c r="G917" i="17"/>
  <c r="G918" i="17"/>
  <c r="G914" i="17"/>
  <c r="G902" i="17"/>
  <c r="G919" i="17"/>
  <c r="L902" i="17"/>
  <c r="G905" i="17"/>
  <c r="D935" i="17"/>
  <c r="D945" i="17"/>
  <c r="C936" i="17"/>
  <c r="D946" i="17"/>
  <c r="F903" i="17"/>
  <c r="G903" i="17" s="1"/>
  <c r="F922" i="17"/>
  <c r="G922" i="17" s="1"/>
  <c r="G910" i="17"/>
  <c r="AW182" i="15"/>
  <c r="AW181" i="15"/>
  <c r="AW176" i="15"/>
  <c r="C898" i="17" s="1"/>
  <c r="BB321" i="15" l="1"/>
  <c r="BD201" i="15"/>
  <c r="BD262" i="15" s="1"/>
  <c r="BA317" i="15"/>
  <c r="BA323" i="15" s="1"/>
  <c r="BD228" i="15"/>
  <c r="BD235" i="15" s="1"/>
  <c r="BF201" i="15"/>
  <c r="BF262" i="15" s="1"/>
  <c r="BG343" i="15"/>
  <c r="BG362" i="15" s="1"/>
  <c r="BG201" i="15"/>
  <c r="BE343" i="15"/>
  <c r="BE362" i="15" s="1"/>
  <c r="BB340" i="15"/>
  <c r="AZ227" i="15"/>
  <c r="BE262" i="15"/>
  <c r="BB254" i="15"/>
  <c r="BB324" i="15"/>
  <c r="BB323" i="15"/>
  <c r="BB320" i="15"/>
  <c r="AZ224" i="15"/>
  <c r="AZ301" i="15"/>
  <c r="S350" i="15"/>
  <c r="S254" i="15"/>
  <c r="AZ303" i="15"/>
  <c r="S253" i="15"/>
  <c r="S351" i="15"/>
  <c r="AZ229" i="15"/>
  <c r="S340" i="15"/>
  <c r="S234" i="15"/>
  <c r="S353" i="15"/>
  <c r="S259" i="15"/>
  <c r="AZ234" i="15"/>
  <c r="S221" i="15"/>
  <c r="S94" i="15"/>
  <c r="AZ232" i="15"/>
  <c r="AZ297" i="15"/>
  <c r="AZ299" i="15"/>
  <c r="S36" i="15"/>
  <c r="S22" i="15"/>
  <c r="S24" i="15" s="1"/>
  <c r="S95" i="15" s="1"/>
  <c r="S37" i="15"/>
  <c r="BB95" i="15"/>
  <c r="BC95" i="15"/>
  <c r="BA94" i="15"/>
  <c r="BA342" i="15" s="1"/>
  <c r="BA361" i="15" s="1"/>
  <c r="BC94" i="15"/>
  <c r="AZ44" i="15"/>
  <c r="S40" i="15" s="1"/>
  <c r="BC351" i="15"/>
  <c r="BC253" i="15"/>
  <c r="BC254" i="15"/>
  <c r="BC350" i="15"/>
  <c r="BC357" i="15"/>
  <c r="BC340" i="15"/>
  <c r="BC321" i="15"/>
  <c r="BC320" i="15"/>
  <c r="BC324" i="15"/>
  <c r="BC323" i="15"/>
  <c r="AZ293" i="15"/>
  <c r="AZ226" i="15"/>
  <c r="BA253" i="15"/>
  <c r="AZ296" i="15"/>
  <c r="AY39" i="15"/>
  <c r="AZ236" i="15"/>
  <c r="AY40" i="15"/>
  <c r="BB247" i="15"/>
  <c r="BB314" i="15" s="1"/>
  <c r="BB326" i="15" s="1"/>
  <c r="BB198" i="15"/>
  <c r="BB259" i="15" s="1"/>
  <c r="BA372" i="15"/>
  <c r="BA357" i="15"/>
  <c r="BA359" i="15" s="1"/>
  <c r="CD49" i="15"/>
  <c r="CG46" i="15"/>
  <c r="CC47" i="15"/>
  <c r="BB359" i="15"/>
  <c r="BB369" i="15"/>
  <c r="BB370" i="15"/>
  <c r="AY223" i="15"/>
  <c r="BB94" i="15"/>
  <c r="BB372" i="15"/>
  <c r="AY290" i="15"/>
  <c r="AZ65" i="15"/>
  <c r="AZ93" i="15"/>
  <c r="AZ341" i="15" s="1"/>
  <c r="AZ360" i="15" s="1"/>
  <c r="BA53" i="15"/>
  <c r="BA326" i="15"/>
  <c r="BA259" i="15"/>
  <c r="BA353" i="15"/>
  <c r="O352" i="15"/>
  <c r="AZ260" i="15"/>
  <c r="AZ259" i="15"/>
  <c r="AZ327" i="15"/>
  <c r="AZ372" i="15"/>
  <c r="AZ254" i="15"/>
  <c r="AZ340" i="15"/>
  <c r="AZ371" i="15"/>
  <c r="AZ351" i="15"/>
  <c r="O353" i="15"/>
  <c r="O259" i="15"/>
  <c r="AZ288" i="15"/>
  <c r="BC330" i="15" s="1"/>
  <c r="AZ221" i="15"/>
  <c r="AZ94" i="15"/>
  <c r="AZ326" i="15"/>
  <c r="AZ443" i="15"/>
  <c r="AZ287" i="15"/>
  <c r="AZ220" i="15"/>
  <c r="AZ359" i="15"/>
  <c r="AZ369" i="15"/>
  <c r="AZ370" i="15"/>
  <c r="AZ400" i="15"/>
  <c r="P353" i="15"/>
  <c r="P259" i="15"/>
  <c r="AY93" i="15"/>
  <c r="AY341" i="15" s="1"/>
  <c r="AY360" i="15" s="1"/>
  <c r="AY45" i="15"/>
  <c r="CD47" i="15"/>
  <c r="AY283" i="15"/>
  <c r="D877" i="17"/>
  <c r="CC49" i="15"/>
  <c r="AX188" i="15"/>
  <c r="AX178" i="15"/>
  <c r="AX187" i="15"/>
  <c r="AX179" i="15"/>
  <c r="C868" i="17" s="1"/>
  <c r="G835" i="17"/>
  <c r="G861" i="17" s="1"/>
  <c r="G863" i="17" s="1"/>
  <c r="F861" i="17"/>
  <c r="C863" i="17"/>
  <c r="C870" i="17" s="1"/>
  <c r="C865" i="17"/>
  <c r="L838" i="17"/>
  <c r="C888" i="17"/>
  <c r="D888" i="17" s="1"/>
  <c r="AX348" i="15"/>
  <c r="AX367" i="15" s="1"/>
  <c r="AX241" i="15"/>
  <c r="AX308" i="15" s="1"/>
  <c r="AX47" i="15"/>
  <c r="AX46" i="15"/>
  <c r="AX37" i="15"/>
  <c r="AX22" i="15"/>
  <c r="AX24" i="15" s="1"/>
  <c r="BA95" i="15" s="1"/>
  <c r="AX36" i="15"/>
  <c r="AX277" i="15"/>
  <c r="BB278" i="15" s="1"/>
  <c r="AX49" i="15"/>
  <c r="AX204" i="15"/>
  <c r="AX244" i="15"/>
  <c r="AX311" i="15" s="1"/>
  <c r="AS357" i="15"/>
  <c r="F898" i="17"/>
  <c r="C921" i="17"/>
  <c r="C937" i="17"/>
  <c r="D936" i="17"/>
  <c r="D937" i="17" s="1"/>
  <c r="AW115" i="15"/>
  <c r="AW114" i="15"/>
  <c r="AW101" i="15"/>
  <c r="AW76" i="15"/>
  <c r="AW74" i="15"/>
  <c r="AW67" i="15"/>
  <c r="AW61" i="15"/>
  <c r="BV54" i="15"/>
  <c r="CB440" i="15"/>
  <c r="CB397" i="15"/>
  <c r="CB387" i="15"/>
  <c r="CB74" i="15"/>
  <c r="CB76" i="15"/>
  <c r="CB65" i="15"/>
  <c r="CB61" i="15"/>
  <c r="CB451" i="15"/>
  <c r="CB449" i="15"/>
  <c r="CB448" i="15"/>
  <c r="CB447" i="15"/>
  <c r="CB446" i="15"/>
  <c r="CB445" i="15"/>
  <c r="CB439" i="15"/>
  <c r="CB435" i="15"/>
  <c r="CB433" i="15"/>
  <c r="CB431" i="15"/>
  <c r="CB427" i="15"/>
  <c r="CB426" i="15"/>
  <c r="CB425" i="15"/>
  <c r="CB424" i="15"/>
  <c r="CB423" i="15"/>
  <c r="CB420" i="15"/>
  <c r="CB418" i="15"/>
  <c r="CB416" i="15"/>
  <c r="CB414" i="15"/>
  <c r="CB412" i="15"/>
  <c r="CB406" i="15"/>
  <c r="CB405" i="15"/>
  <c r="CB404" i="15"/>
  <c r="CB403" i="15"/>
  <c r="CB402" i="15"/>
  <c r="CB392" i="15"/>
  <c r="CB386" i="15"/>
  <c r="CB384" i="15"/>
  <c r="CB382" i="15"/>
  <c r="CB380" i="15"/>
  <c r="CB378" i="15"/>
  <c r="CB60" i="15"/>
  <c r="CB59" i="15"/>
  <c r="CB44" i="15"/>
  <c r="CB42" i="15"/>
  <c r="CB35" i="15"/>
  <c r="CB31" i="15"/>
  <c r="CB30" i="15"/>
  <c r="CB29" i="15"/>
  <c r="CB28" i="15"/>
  <c r="CB10" i="15"/>
  <c r="CB8" i="15"/>
  <c r="CA438" i="15"/>
  <c r="CF439" i="15" s="1"/>
  <c r="CA436" i="15"/>
  <c r="CF437" i="15" s="1"/>
  <c r="CA434" i="15"/>
  <c r="CF435" i="15" s="1"/>
  <c r="CA432" i="15"/>
  <c r="CF433" i="15" s="1"/>
  <c r="CA419" i="15"/>
  <c r="CF420" i="15" s="1"/>
  <c r="CA417" i="15"/>
  <c r="CF418" i="15" s="1"/>
  <c r="CA415" i="15"/>
  <c r="CF416" i="15" s="1"/>
  <c r="CA413" i="15"/>
  <c r="CF414" i="15" s="1"/>
  <c r="CA396" i="15"/>
  <c r="CA395" i="15"/>
  <c r="CA394" i="15"/>
  <c r="CA393" i="15"/>
  <c r="CA385" i="15"/>
  <c r="CF386" i="15" s="1"/>
  <c r="CA383" i="15"/>
  <c r="CF384" i="15" s="1"/>
  <c r="CA381" i="15"/>
  <c r="CF382" i="15" s="1"/>
  <c r="CA379" i="15"/>
  <c r="CF380" i="15" s="1"/>
  <c r="CA57" i="15"/>
  <c r="CA23" i="15"/>
  <c r="CA21" i="15"/>
  <c r="CA19" i="15"/>
  <c r="CA18" i="15"/>
  <c r="CA17" i="15"/>
  <c r="CA15" i="15"/>
  <c r="CA14" i="15"/>
  <c r="CA13" i="15"/>
  <c r="CA12" i="15"/>
  <c r="BY8" i="15"/>
  <c r="BZ8" i="15"/>
  <c r="CA9" i="15"/>
  <c r="CA7" i="15"/>
  <c r="CE8" i="15" s="1"/>
  <c r="CA445" i="15"/>
  <c r="CA431" i="15"/>
  <c r="CA423" i="15"/>
  <c r="CA412" i="15"/>
  <c r="CA402" i="15"/>
  <c r="CA392" i="15"/>
  <c r="CA378" i="15"/>
  <c r="CA59" i="15"/>
  <c r="CA42" i="15"/>
  <c r="AW451" i="15"/>
  <c r="AW449" i="15"/>
  <c r="AW448" i="15"/>
  <c r="AW447" i="15"/>
  <c r="AW446" i="15"/>
  <c r="AW445" i="15"/>
  <c r="AW441" i="15"/>
  <c r="BA442" i="15" s="1"/>
  <c r="AW431" i="15"/>
  <c r="AW427" i="15"/>
  <c r="AW426" i="15"/>
  <c r="AW425" i="15"/>
  <c r="AW424" i="15"/>
  <c r="AW423" i="15"/>
  <c r="AW412" i="15"/>
  <c r="AW406" i="15"/>
  <c r="AW405" i="15"/>
  <c r="AW404" i="15"/>
  <c r="AW403" i="15"/>
  <c r="AW402" i="15"/>
  <c r="AW398" i="15"/>
  <c r="BA399" i="15" s="1"/>
  <c r="AW392" i="15"/>
  <c r="AW388" i="15"/>
  <c r="AW378" i="15"/>
  <c r="AW355" i="15"/>
  <c r="AW336" i="15"/>
  <c r="AW303" i="15"/>
  <c r="AW301" i="15"/>
  <c r="AW299" i="15"/>
  <c r="AW297" i="15"/>
  <c r="AW296" i="15"/>
  <c r="AW294" i="15"/>
  <c r="AW293" i="15"/>
  <c r="AW291" i="15"/>
  <c r="AW288" i="15"/>
  <c r="AW287" i="15"/>
  <c r="AW281" i="15"/>
  <c r="BA282" i="15" s="1"/>
  <c r="AW273" i="15"/>
  <c r="AW272" i="15"/>
  <c r="AW271" i="15"/>
  <c r="AW236" i="15"/>
  <c r="AW234" i="15"/>
  <c r="AW232" i="15"/>
  <c r="AW229" i="15"/>
  <c r="AW227" i="15"/>
  <c r="AW226" i="15"/>
  <c r="AW224" i="15"/>
  <c r="AW221" i="15"/>
  <c r="AW220" i="15"/>
  <c r="AW214" i="15"/>
  <c r="BA215" i="15" s="1"/>
  <c r="AW209" i="15"/>
  <c r="AW208" i="15"/>
  <c r="AW190" i="15"/>
  <c r="AW345" i="15"/>
  <c r="AW364" i="15" s="1"/>
  <c r="AW158" i="15"/>
  <c r="AW106" i="15"/>
  <c r="AW99" i="15"/>
  <c r="AW87" i="15"/>
  <c r="AW60" i="15"/>
  <c r="AW59" i="15"/>
  <c r="AW44" i="15"/>
  <c r="AW42" i="15"/>
  <c r="AW31" i="15"/>
  <c r="AR438" i="15"/>
  <c r="AR436" i="15"/>
  <c r="AR434" i="15"/>
  <c r="AR432" i="15"/>
  <c r="AR419" i="15"/>
  <c r="AR417" i="15"/>
  <c r="AR415" i="15"/>
  <c r="AR413" i="15"/>
  <c r="AR394" i="15"/>
  <c r="AR395" i="15"/>
  <c r="AR396" i="15"/>
  <c r="AR393" i="15"/>
  <c r="AR385" i="15"/>
  <c r="AR383" i="15"/>
  <c r="AR381" i="15"/>
  <c r="AR379" i="15"/>
  <c r="AR186" i="15"/>
  <c r="AR185" i="15"/>
  <c r="AR170" i="15"/>
  <c r="AR165" i="15"/>
  <c r="AR120" i="15"/>
  <c r="AR121" i="15"/>
  <c r="AR122" i="15"/>
  <c r="AR123" i="15"/>
  <c r="AR124" i="15"/>
  <c r="AR125" i="15"/>
  <c r="AR127" i="15"/>
  <c r="AR129" i="15"/>
  <c r="AR132" i="15"/>
  <c r="AR133" i="15"/>
  <c r="AR137" i="15"/>
  <c r="AR142" i="15"/>
  <c r="AR143" i="15"/>
  <c r="AR144" i="15"/>
  <c r="AR155" i="15"/>
  <c r="AR156" i="15"/>
  <c r="AR157" i="15"/>
  <c r="AR119" i="15"/>
  <c r="AR103" i="15"/>
  <c r="AR104" i="15"/>
  <c r="AR105" i="15"/>
  <c r="AR102" i="15"/>
  <c r="AR23" i="15"/>
  <c r="AR21" i="15"/>
  <c r="AR18" i="15"/>
  <c r="AR19" i="15"/>
  <c r="AR17" i="15"/>
  <c r="AR14" i="15"/>
  <c r="AR15" i="15"/>
  <c r="AR13" i="15"/>
  <c r="AR12" i="15"/>
  <c r="AR9" i="15"/>
  <c r="AR7" i="15"/>
  <c r="M440" i="15"/>
  <c r="M441" i="15" s="1"/>
  <c r="O442" i="15" s="1"/>
  <c r="M397" i="15"/>
  <c r="M398" i="15" s="1"/>
  <c r="O399" i="15" s="1"/>
  <c r="M387" i="15"/>
  <c r="M388" i="15" s="1"/>
  <c r="O389" i="15" s="1"/>
  <c r="M65" i="15"/>
  <c r="M223" i="15" s="1"/>
  <c r="M54" i="15"/>
  <c r="M61" i="15"/>
  <c r="M219" i="15" s="1"/>
  <c r="M56" i="15"/>
  <c r="M44" i="15" s="1"/>
  <c r="M40" i="15" s="1"/>
  <c r="M449" i="15"/>
  <c r="M448" i="15"/>
  <c r="M447" i="15"/>
  <c r="M446" i="15"/>
  <c r="M445" i="15"/>
  <c r="M439" i="15"/>
  <c r="M437" i="15"/>
  <c r="M435" i="15"/>
  <c r="M433" i="15"/>
  <c r="M431" i="15"/>
  <c r="M427" i="15"/>
  <c r="M426" i="15"/>
  <c r="M425" i="15"/>
  <c r="M424" i="15"/>
  <c r="M423" i="15"/>
  <c r="M420" i="15"/>
  <c r="M418" i="15"/>
  <c r="M416" i="15"/>
  <c r="M414" i="15"/>
  <c r="M412" i="15"/>
  <c r="M406" i="15"/>
  <c r="M405" i="15"/>
  <c r="M404" i="15"/>
  <c r="M403" i="15"/>
  <c r="M402" i="15"/>
  <c r="M392" i="15"/>
  <c r="M386" i="15"/>
  <c r="M384" i="15"/>
  <c r="M382" i="15"/>
  <c r="M380" i="15"/>
  <c r="M378" i="15"/>
  <c r="M355" i="15"/>
  <c r="M345" i="15"/>
  <c r="M336" i="15"/>
  <c r="M273" i="15"/>
  <c r="M272" i="15"/>
  <c r="M271" i="15"/>
  <c r="M267" i="15"/>
  <c r="M268" i="15" s="1"/>
  <c r="M239" i="15"/>
  <c r="M236" i="15"/>
  <c r="M234" i="15"/>
  <c r="M232" i="15"/>
  <c r="M229" i="15"/>
  <c r="M227" i="15"/>
  <c r="M226" i="15"/>
  <c r="M224" i="15"/>
  <c r="M221" i="15"/>
  <c r="M220" i="15"/>
  <c r="M218" i="15"/>
  <c r="M214" i="15"/>
  <c r="O215" i="15" s="1"/>
  <c r="M211" i="15"/>
  <c r="O212" i="15" s="1"/>
  <c r="M208" i="15"/>
  <c r="M190" i="15"/>
  <c r="M182" i="15"/>
  <c r="AR182" i="15" s="1"/>
  <c r="M181" i="15"/>
  <c r="M176" i="15"/>
  <c r="AR176" i="15" s="1"/>
  <c r="M158" i="15"/>
  <c r="M115" i="15"/>
  <c r="AR115" i="15" s="1"/>
  <c r="M114" i="15"/>
  <c r="AR114" i="15" s="1"/>
  <c r="M106" i="15"/>
  <c r="M101" i="15"/>
  <c r="AR101" i="15" s="1"/>
  <c r="M99" i="15"/>
  <c r="M94" i="15"/>
  <c r="M342" i="15" s="1"/>
  <c r="M91" i="15"/>
  <c r="M88" i="15"/>
  <c r="M337" i="15" s="1"/>
  <c r="M87" i="15"/>
  <c r="M76" i="15"/>
  <c r="M233" i="15" s="1"/>
  <c r="M74" i="15"/>
  <c r="M67" i="15"/>
  <c r="M225" i="15" s="1"/>
  <c r="M59" i="15"/>
  <c r="M52" i="15"/>
  <c r="M451" i="15" s="1"/>
  <c r="M51" i="15"/>
  <c r="M42" i="15"/>
  <c r="M35" i="15"/>
  <c r="M33" i="15"/>
  <c r="M31" i="15"/>
  <c r="M30" i="15"/>
  <c r="M29" i="15"/>
  <c r="M28" i="15"/>
  <c r="M10" i="15"/>
  <c r="M11" i="15" s="1"/>
  <c r="AV438" i="15"/>
  <c r="AV436" i="15"/>
  <c r="AV434" i="15"/>
  <c r="AV432" i="15"/>
  <c r="AV419" i="15"/>
  <c r="AV417" i="15"/>
  <c r="AV415" i="15"/>
  <c r="AV413" i="15"/>
  <c r="AV395" i="15"/>
  <c r="AV396" i="15"/>
  <c r="AV394" i="15"/>
  <c r="AV393" i="15"/>
  <c r="AV267" i="15"/>
  <c r="AV266" i="15"/>
  <c r="N267" i="15"/>
  <c r="N268" i="15" s="1"/>
  <c r="H955" i="17" l="1"/>
  <c r="G970" i="17" s="1"/>
  <c r="AV268" i="15"/>
  <c r="M92" i="15"/>
  <c r="M60" i="15"/>
  <c r="M64" i="15" s="1"/>
  <c r="BA330" i="15"/>
  <c r="BA320" i="15"/>
  <c r="BA321" i="15"/>
  <c r="BA324" i="15"/>
  <c r="BB330" i="15"/>
  <c r="BG262" i="15"/>
  <c r="AZ40" i="15"/>
  <c r="BA202" i="15"/>
  <c r="BA263" i="15" s="1"/>
  <c r="AZ45" i="15"/>
  <c r="BC90" i="15" s="1"/>
  <c r="S227" i="15"/>
  <c r="S223" i="15"/>
  <c r="S39" i="15"/>
  <c r="S96" i="15"/>
  <c r="S229" i="15"/>
  <c r="S232" i="15"/>
  <c r="S226" i="15"/>
  <c r="S220" i="15"/>
  <c r="S224" i="15"/>
  <c r="S45" i="15"/>
  <c r="S342" i="15"/>
  <c r="S202" i="15"/>
  <c r="S236" i="15"/>
  <c r="BC342" i="15"/>
  <c r="BC361" i="15" s="1"/>
  <c r="BC202" i="15"/>
  <c r="AZ96" i="15"/>
  <c r="AZ343" i="15" s="1"/>
  <c r="AZ362" i="15" s="1"/>
  <c r="BC96" i="15"/>
  <c r="BC359" i="15"/>
  <c r="BC369" i="15"/>
  <c r="BC370" i="15"/>
  <c r="BB353" i="15"/>
  <c r="BA370" i="15"/>
  <c r="BA369" i="15"/>
  <c r="BA96" i="15"/>
  <c r="BA201" i="15" s="1"/>
  <c r="BB96" i="15"/>
  <c r="BA93" i="15"/>
  <c r="BA341" i="15" s="1"/>
  <c r="BA360" i="15" s="1"/>
  <c r="BB53" i="15"/>
  <c r="AZ388" i="15"/>
  <c r="AZ390" i="15" s="1"/>
  <c r="AZ408" i="15" s="1"/>
  <c r="BA389" i="15"/>
  <c r="AY46" i="15"/>
  <c r="AZ290" i="15"/>
  <c r="BC329" i="15" s="1"/>
  <c r="BB342" i="15"/>
  <c r="BB361" i="15" s="1"/>
  <c r="BB202" i="15"/>
  <c r="AZ223" i="15"/>
  <c r="AZ39" i="15"/>
  <c r="CB441" i="15"/>
  <c r="AW442" i="15" s="1"/>
  <c r="CE440" i="15"/>
  <c r="CE441" i="15" s="1"/>
  <c r="CC61" i="15"/>
  <c r="CD61" i="15" s="1"/>
  <c r="CD64" i="15" s="1"/>
  <c r="CB398" i="15"/>
  <c r="CE397" i="15"/>
  <c r="CE398" i="15" s="1"/>
  <c r="CC76" i="15"/>
  <c r="CD76" i="15" s="1"/>
  <c r="CC74" i="15"/>
  <c r="CD74" i="15" s="1"/>
  <c r="CB40" i="15"/>
  <c r="CE44" i="15"/>
  <c r="CE40" i="15" s="1"/>
  <c r="CB388" i="15"/>
  <c r="CE387" i="15"/>
  <c r="CE388" i="15" s="1"/>
  <c r="AZ342" i="15"/>
  <c r="AZ361" i="15" s="1"/>
  <c r="AZ202" i="15"/>
  <c r="AY47" i="15"/>
  <c r="AY49" i="15"/>
  <c r="AY277" i="15"/>
  <c r="AX74" i="15"/>
  <c r="AX76" i="15"/>
  <c r="AX67" i="15"/>
  <c r="AV360" i="15"/>
  <c r="AX347" i="15"/>
  <c r="AX366" i="15" s="1"/>
  <c r="AX248" i="15"/>
  <c r="AX315" i="15" s="1"/>
  <c r="F863" i="17"/>
  <c r="AV437" i="15"/>
  <c r="AV439" i="15"/>
  <c r="AV416" i="15"/>
  <c r="AV414" i="15"/>
  <c r="AV420" i="15"/>
  <c r="AV433" i="15"/>
  <c r="AV418" i="15"/>
  <c r="AV435" i="15"/>
  <c r="AX61" i="15"/>
  <c r="CB39" i="15"/>
  <c r="CC65" i="15"/>
  <c r="AW300" i="15"/>
  <c r="AW219" i="15"/>
  <c r="AW290" i="15"/>
  <c r="AW225" i="15"/>
  <c r="AR111" i="15"/>
  <c r="AW298" i="15"/>
  <c r="AX349" i="15"/>
  <c r="AX368" i="15" s="1"/>
  <c r="AX247" i="15"/>
  <c r="AX314" i="15" s="1"/>
  <c r="AX279" i="15"/>
  <c r="AR110" i="15"/>
  <c r="AR109" i="15"/>
  <c r="CB64" i="15"/>
  <c r="AW292" i="15"/>
  <c r="K899" i="17"/>
  <c r="D898" i="17"/>
  <c r="C947" i="17"/>
  <c r="CA54" i="15"/>
  <c r="AW168" i="15"/>
  <c r="CB11" i="15"/>
  <c r="CB16" i="15"/>
  <c r="CB43" i="15" s="1"/>
  <c r="M107" i="15"/>
  <c r="M53" i="15"/>
  <c r="M55" i="15" s="1"/>
  <c r="AW40" i="15"/>
  <c r="AW239" i="15"/>
  <c r="AW306" i="15" s="1"/>
  <c r="AR54" i="15"/>
  <c r="AW64" i="15"/>
  <c r="AW70" i="15" s="1"/>
  <c r="AW390" i="15"/>
  <c r="AW159" i="15"/>
  <c r="AW231" i="15"/>
  <c r="AW286" i="15"/>
  <c r="M183" i="15"/>
  <c r="AW183" i="15"/>
  <c r="AW443" i="15"/>
  <c r="M364" i="15"/>
  <c r="AW35" i="15"/>
  <c r="AW211" i="15"/>
  <c r="BA212" i="15" s="1"/>
  <c r="AW275" i="15"/>
  <c r="BA276" i="15" s="1"/>
  <c r="AW285" i="15"/>
  <c r="AZ317" i="15" s="1"/>
  <c r="AW28" i="15"/>
  <c r="M159" i="15"/>
  <c r="AW29" i="15"/>
  <c r="AW223" i="15"/>
  <c r="M168" i="15"/>
  <c r="M34" i="15" s="1"/>
  <c r="AW10" i="15"/>
  <c r="AW400" i="15" s="1"/>
  <c r="AW30" i="15"/>
  <c r="AW39" i="15"/>
  <c r="AW233" i="15"/>
  <c r="AR181" i="15"/>
  <c r="AW218" i="15"/>
  <c r="M306" i="15"/>
  <c r="M222" i="15"/>
  <c r="M228" i="15" s="1"/>
  <c r="M16" i="15"/>
  <c r="M32" i="15" s="1"/>
  <c r="M390" i="15"/>
  <c r="M400" i="15"/>
  <c r="M443" i="15"/>
  <c r="M250" i="15"/>
  <c r="M96" i="15"/>
  <c r="M343" i="15" s="1"/>
  <c r="M338" i="15"/>
  <c r="M39" i="15"/>
  <c r="M231" i="15"/>
  <c r="M216" i="15"/>
  <c r="D1002" i="17"/>
  <c r="D1004" i="17"/>
  <c r="D1001" i="17" l="1"/>
  <c r="D1005" i="17"/>
  <c r="D1003" i="17"/>
  <c r="D970" i="17"/>
  <c r="D972" i="17"/>
  <c r="D971" i="17"/>
  <c r="D974" i="17"/>
  <c r="D973" i="17"/>
  <c r="CB70" i="15"/>
  <c r="CB78" i="15" s="1"/>
  <c r="M70" i="15"/>
  <c r="M97" i="15" s="1"/>
  <c r="M344" i="15" s="1"/>
  <c r="M202" i="15"/>
  <c r="M263" i="15" s="1"/>
  <c r="M339" i="15"/>
  <c r="M251" i="15"/>
  <c r="AZ330" i="15"/>
  <c r="AZ321" i="15"/>
  <c r="AZ324" i="15"/>
  <c r="AZ320" i="15"/>
  <c r="AZ323" i="15"/>
  <c r="BB329" i="15"/>
  <c r="BB90" i="15"/>
  <c r="AZ277" i="15"/>
  <c r="AZ279" i="15" s="1"/>
  <c r="AZ47" i="15"/>
  <c r="AZ49" i="15"/>
  <c r="BA90" i="15"/>
  <c r="S90" i="15"/>
  <c r="S47" i="15"/>
  <c r="S49" i="15"/>
  <c r="S263" i="15"/>
  <c r="S343" i="15"/>
  <c r="S201" i="15"/>
  <c r="AZ201" i="15"/>
  <c r="AY279" i="15"/>
  <c r="BC278" i="15"/>
  <c r="BC343" i="15"/>
  <c r="BC362" i="15" s="1"/>
  <c r="BC201" i="15"/>
  <c r="BB93" i="15"/>
  <c r="BB341" i="15" s="1"/>
  <c r="BB360" i="15" s="1"/>
  <c r="BC53" i="15"/>
  <c r="BC263" i="15"/>
  <c r="BA343" i="15"/>
  <c r="BA362" i="15" s="1"/>
  <c r="AW389" i="15"/>
  <c r="AW399" i="15"/>
  <c r="CB400" i="15"/>
  <c r="AY74" i="15"/>
  <c r="BA262" i="15"/>
  <c r="BB263" i="15"/>
  <c r="AY76" i="15"/>
  <c r="AY61" i="15"/>
  <c r="BB343" i="15"/>
  <c r="BB362" i="15" s="1"/>
  <c r="BB201" i="15"/>
  <c r="AY67" i="15"/>
  <c r="CB443" i="15"/>
  <c r="CC64" i="15"/>
  <c r="CB390" i="15"/>
  <c r="CE390" i="15"/>
  <c r="CE400" i="15"/>
  <c r="AZ399" i="15"/>
  <c r="CE61" i="15"/>
  <c r="CE64" i="15" s="1"/>
  <c r="CE74" i="15"/>
  <c r="CE443" i="15"/>
  <c r="AZ442" i="15"/>
  <c r="CB45" i="15"/>
  <c r="CE43" i="15"/>
  <c r="CE45" i="15" s="1"/>
  <c r="CI46" i="15" s="1"/>
  <c r="AZ389" i="15"/>
  <c r="CE76" i="15"/>
  <c r="AZ263" i="15"/>
  <c r="CD65" i="15"/>
  <c r="CD39" i="15" s="1"/>
  <c r="CA50" i="15"/>
  <c r="CC39" i="15"/>
  <c r="AX292" i="15"/>
  <c r="AX225" i="15"/>
  <c r="AX300" i="15"/>
  <c r="AX233" i="15"/>
  <c r="AX286" i="15"/>
  <c r="AX219" i="15"/>
  <c r="AX222" i="15" s="1"/>
  <c r="AX64" i="15"/>
  <c r="AX70" i="15" s="1"/>
  <c r="AW222" i="15"/>
  <c r="AW228" i="15" s="1"/>
  <c r="AW235" i="15" s="1"/>
  <c r="AX223" i="15"/>
  <c r="AX39" i="15"/>
  <c r="AX290" i="15"/>
  <c r="BA329" i="15" s="1"/>
  <c r="AX231" i="15"/>
  <c r="AX298" i="15"/>
  <c r="AW346" i="15"/>
  <c r="AW365" i="15" s="1"/>
  <c r="AT92" i="15"/>
  <c r="AS92" i="15"/>
  <c r="AU92" i="15"/>
  <c r="M173" i="15"/>
  <c r="M187" i="15" s="1"/>
  <c r="M93" i="15"/>
  <c r="M341" i="15" s="1"/>
  <c r="G898" i="17"/>
  <c r="G921" i="17" s="1"/>
  <c r="G923" i="17" s="1"/>
  <c r="F921" i="17"/>
  <c r="C925" i="17"/>
  <c r="C923" i="17"/>
  <c r="C948" i="17"/>
  <c r="D948" i="17" s="1"/>
  <c r="D947" i="17"/>
  <c r="K903" i="17"/>
  <c r="L899" i="17"/>
  <c r="K901" i="17"/>
  <c r="AW289" i="15"/>
  <c r="AW408" i="15"/>
  <c r="AW167" i="15"/>
  <c r="AW173" i="15"/>
  <c r="AW242" i="15"/>
  <c r="AW309" i="15" s="1"/>
  <c r="CB32" i="15"/>
  <c r="CB20" i="15"/>
  <c r="M346" i="15"/>
  <c r="M365" i="15" s="1"/>
  <c r="AW283" i="15"/>
  <c r="M242" i="15"/>
  <c r="M309" i="15" s="1"/>
  <c r="AW216" i="15"/>
  <c r="M167" i="15"/>
  <c r="M348" i="15" s="1"/>
  <c r="M367" i="15" s="1"/>
  <c r="AW16" i="15"/>
  <c r="AZ89" i="15" s="1"/>
  <c r="AW11" i="15"/>
  <c r="M193" i="15"/>
  <c r="M350" i="15" s="1"/>
  <c r="M20" i="15"/>
  <c r="M36" i="15" s="1"/>
  <c r="M43" i="15"/>
  <c r="M89" i="15"/>
  <c r="M408" i="15"/>
  <c r="M235" i="15"/>
  <c r="M201" i="15"/>
  <c r="M340" i="15"/>
  <c r="AV186" i="15"/>
  <c r="AV185" i="15"/>
  <c r="AV170" i="15"/>
  <c r="C979" i="17" s="1"/>
  <c r="AV165" i="15"/>
  <c r="AV132" i="15"/>
  <c r="AV133" i="15"/>
  <c r="AV137" i="15"/>
  <c r="AV142" i="15"/>
  <c r="AV143" i="15"/>
  <c r="AV144" i="15"/>
  <c r="AV155" i="15"/>
  <c r="AV156" i="15"/>
  <c r="AV157" i="15"/>
  <c r="AV129" i="15"/>
  <c r="AV127" i="15"/>
  <c r="AV125" i="15"/>
  <c r="AV124" i="15"/>
  <c r="AV123" i="15"/>
  <c r="AV122" i="15"/>
  <c r="AV121" i="15"/>
  <c r="AV120" i="15"/>
  <c r="AV119" i="15"/>
  <c r="AV105" i="15"/>
  <c r="AV104" i="15"/>
  <c r="AV103" i="15"/>
  <c r="AV102" i="15"/>
  <c r="AV71" i="15"/>
  <c r="AV23" i="15"/>
  <c r="AV21" i="15"/>
  <c r="AV19" i="15"/>
  <c r="AV18" i="15"/>
  <c r="AV17" i="15"/>
  <c r="AV15" i="15"/>
  <c r="AV14" i="15"/>
  <c r="AV13" i="15"/>
  <c r="AV12" i="15"/>
  <c r="AV9" i="15"/>
  <c r="N54" i="15"/>
  <c r="N92" i="15" s="1"/>
  <c r="N251" i="15" s="1"/>
  <c r="AV385" i="15"/>
  <c r="AV383" i="15"/>
  <c r="AV381" i="15"/>
  <c r="AV379" i="15"/>
  <c r="N440" i="15"/>
  <c r="N397" i="15"/>
  <c r="N387" i="15"/>
  <c r="N182" i="15"/>
  <c r="AV182" i="15" s="1"/>
  <c r="N181" i="15"/>
  <c r="AV181" i="15" s="1"/>
  <c r="N176" i="15"/>
  <c r="AV176" i="15" s="1"/>
  <c r="N115" i="15"/>
  <c r="AV115" i="15" s="1"/>
  <c r="N114" i="15"/>
  <c r="AV114" i="15" s="1"/>
  <c r="N101" i="15"/>
  <c r="AV101" i="15" s="1"/>
  <c r="N76" i="15"/>
  <c r="N74" i="15"/>
  <c r="N67" i="15"/>
  <c r="N225" i="15" s="1"/>
  <c r="N65" i="15"/>
  <c r="N223" i="15" s="1"/>
  <c r="N61" i="15"/>
  <c r="N219" i="15" s="1"/>
  <c r="N56" i="15"/>
  <c r="N44" i="15" s="1"/>
  <c r="AV445" i="15"/>
  <c r="AV431" i="15"/>
  <c r="AV423" i="15"/>
  <c r="AV412" i="15"/>
  <c r="AV402" i="15"/>
  <c r="AV392" i="15"/>
  <c r="AV378" i="15"/>
  <c r="AV355" i="15"/>
  <c r="AV336" i="15"/>
  <c r="AV273" i="15"/>
  <c r="AV272" i="15"/>
  <c r="AV271" i="15"/>
  <c r="AV209" i="15"/>
  <c r="AV208" i="15"/>
  <c r="AV190" i="15"/>
  <c r="AV99" i="15"/>
  <c r="AV59" i="15"/>
  <c r="AV42" i="15"/>
  <c r="N449" i="15"/>
  <c r="N448" i="15"/>
  <c r="N447" i="15"/>
  <c r="N446" i="15"/>
  <c r="N445" i="15"/>
  <c r="N439" i="15"/>
  <c r="N437" i="15"/>
  <c r="N435" i="15"/>
  <c r="N433" i="15"/>
  <c r="N431" i="15"/>
  <c r="N427" i="15"/>
  <c r="N426" i="15"/>
  <c r="N425" i="15"/>
  <c r="N424" i="15"/>
  <c r="N423" i="15"/>
  <c r="N420" i="15"/>
  <c r="N418" i="15"/>
  <c r="N416" i="15"/>
  <c r="N414" i="15"/>
  <c r="N412" i="15"/>
  <c r="N406" i="15"/>
  <c r="N405" i="15"/>
  <c r="N404" i="15"/>
  <c r="N403" i="15"/>
  <c r="N402" i="15"/>
  <c r="N392" i="15"/>
  <c r="N386" i="15"/>
  <c r="N384" i="15"/>
  <c r="N382" i="15"/>
  <c r="N378" i="15"/>
  <c r="N355" i="15"/>
  <c r="N345" i="15"/>
  <c r="N336" i="15"/>
  <c r="N273" i="15"/>
  <c r="N272" i="15"/>
  <c r="N271" i="15"/>
  <c r="N239" i="15"/>
  <c r="N236" i="15"/>
  <c r="N234" i="15"/>
  <c r="N232" i="15"/>
  <c r="N229" i="15"/>
  <c r="N227" i="15"/>
  <c r="N226" i="15"/>
  <c r="N224" i="15"/>
  <c r="N221" i="15"/>
  <c r="N220" i="15"/>
  <c r="N218" i="15"/>
  <c r="N214" i="15"/>
  <c r="N211" i="15"/>
  <c r="N208" i="15"/>
  <c r="N190" i="15"/>
  <c r="N158" i="15"/>
  <c r="N106" i="15"/>
  <c r="N99" i="15"/>
  <c r="N94" i="15"/>
  <c r="N91" i="15"/>
  <c r="N250" i="15" s="1"/>
  <c r="N88" i="15"/>
  <c r="N337" i="15" s="1"/>
  <c r="N87" i="15"/>
  <c r="N59" i="15"/>
  <c r="N52" i="15"/>
  <c r="N451" i="15" s="1"/>
  <c r="N51" i="15"/>
  <c r="N42" i="15"/>
  <c r="N35" i="15"/>
  <c r="N33" i="15"/>
  <c r="N31" i="15"/>
  <c r="N30" i="15"/>
  <c r="N29" i="15"/>
  <c r="N28" i="15"/>
  <c r="N10" i="15"/>
  <c r="N16" i="15" s="1"/>
  <c r="N8" i="15"/>
  <c r="F974" i="17"/>
  <c r="G974" i="17" s="1"/>
  <c r="F973" i="17"/>
  <c r="G973" i="17" s="1"/>
  <c r="F972" i="17"/>
  <c r="G972" i="17" s="1"/>
  <c r="F971" i="17"/>
  <c r="G971" i="17" s="1"/>
  <c r="C1042" i="17"/>
  <c r="K1021" i="17" s="1"/>
  <c r="C1040" i="17"/>
  <c r="K1019" i="17" s="1"/>
  <c r="C1038" i="17"/>
  <c r="C1036" i="17"/>
  <c r="C1037" i="17"/>
  <c r="C1034" i="17"/>
  <c r="C1027" i="17"/>
  <c r="F1027" i="17" s="1"/>
  <c r="C1026" i="17"/>
  <c r="F1026" i="17" s="1"/>
  <c r="C1024" i="17"/>
  <c r="F1024" i="17" s="1"/>
  <c r="C1023" i="17"/>
  <c r="F1023" i="17" s="1"/>
  <c r="C1022" i="17"/>
  <c r="C1021" i="17"/>
  <c r="F1021" i="17" s="1"/>
  <c r="C1020" i="17"/>
  <c r="C1017" i="17"/>
  <c r="F1017" i="17" s="1"/>
  <c r="H1014" i="17"/>
  <c r="F1033" i="17"/>
  <c r="F1032" i="17"/>
  <c r="F1031" i="17"/>
  <c r="F1030" i="17"/>
  <c r="F1019" i="17"/>
  <c r="BZ440" i="15"/>
  <c r="AU440" i="15"/>
  <c r="BZ397" i="15"/>
  <c r="AU397" i="15"/>
  <c r="BZ387" i="15"/>
  <c r="AU387" i="15"/>
  <c r="AU181" i="15"/>
  <c r="AU182" i="15"/>
  <c r="AT181" i="15"/>
  <c r="AU155" i="15"/>
  <c r="C1035" i="17" s="1"/>
  <c r="F1035" i="17" s="1"/>
  <c r="AU115" i="15"/>
  <c r="AU114" i="15"/>
  <c r="C1060" i="17" s="1"/>
  <c r="AU101" i="15"/>
  <c r="BZ451" i="15"/>
  <c r="BZ449" i="15"/>
  <c r="BZ448" i="15"/>
  <c r="BZ447" i="15"/>
  <c r="BZ446" i="15"/>
  <c r="BZ445" i="15"/>
  <c r="BZ439" i="15"/>
  <c r="BZ437" i="15"/>
  <c r="BZ435" i="15"/>
  <c r="BZ433" i="15"/>
  <c r="BZ431" i="15"/>
  <c r="BZ427" i="15"/>
  <c r="BZ426" i="15"/>
  <c r="BZ425" i="15"/>
  <c r="BZ424" i="15"/>
  <c r="BZ423" i="15"/>
  <c r="BZ420" i="15"/>
  <c r="BZ418" i="15"/>
  <c r="BZ416" i="15"/>
  <c r="BZ414" i="15"/>
  <c r="BZ412" i="15"/>
  <c r="BZ406" i="15"/>
  <c r="BZ405" i="15"/>
  <c r="BZ404" i="15"/>
  <c r="BZ403" i="15"/>
  <c r="BZ402" i="15"/>
  <c r="BZ392" i="15"/>
  <c r="BZ386" i="15"/>
  <c r="BZ384" i="15"/>
  <c r="BZ382" i="15"/>
  <c r="BZ380" i="15"/>
  <c r="BZ378" i="15"/>
  <c r="BZ60" i="15"/>
  <c r="BZ59" i="15"/>
  <c r="BZ42" i="15"/>
  <c r="BZ35" i="15"/>
  <c r="BZ31" i="15"/>
  <c r="BZ30" i="15"/>
  <c r="BZ29" i="15"/>
  <c r="BZ28" i="15"/>
  <c r="BZ10" i="15"/>
  <c r="BZ16" i="15" s="1"/>
  <c r="AU451" i="15"/>
  <c r="AU449" i="15"/>
  <c r="AU448" i="15"/>
  <c r="AU447" i="15"/>
  <c r="AU446" i="15"/>
  <c r="AU445" i="15"/>
  <c r="AU431" i="15"/>
  <c r="AU427" i="15"/>
  <c r="AU426" i="15"/>
  <c r="AU425" i="15"/>
  <c r="AU424" i="15"/>
  <c r="AU423" i="15"/>
  <c r="AU412" i="15"/>
  <c r="AU406" i="15"/>
  <c r="AU405" i="15"/>
  <c r="AU404" i="15"/>
  <c r="AU403" i="15"/>
  <c r="AU402" i="15"/>
  <c r="AU392" i="15"/>
  <c r="AU378" i="15"/>
  <c r="AU355" i="15"/>
  <c r="AU345" i="15"/>
  <c r="AU336" i="15"/>
  <c r="AU273" i="15"/>
  <c r="AU272" i="15"/>
  <c r="AU271" i="15"/>
  <c r="AU239" i="15"/>
  <c r="AU214" i="15"/>
  <c r="AY215" i="15" s="1"/>
  <c r="AU211" i="15"/>
  <c r="AY212" i="15" s="1"/>
  <c r="AU209" i="15"/>
  <c r="AU208" i="15"/>
  <c r="AU190" i="15"/>
  <c r="AU106" i="15"/>
  <c r="AU99" i="15"/>
  <c r="AU87" i="15"/>
  <c r="AU60" i="15"/>
  <c r="AU218" i="15" s="1"/>
  <c r="AU59" i="15"/>
  <c r="AU42" i="15"/>
  <c r="AU35" i="15"/>
  <c r="AU33" i="15"/>
  <c r="AU31" i="15"/>
  <c r="AU30" i="15"/>
  <c r="AU29" i="15"/>
  <c r="AU28" i="15"/>
  <c r="AU10" i="15"/>
  <c r="AU16" i="15" s="1"/>
  <c r="AT69" i="15"/>
  <c r="BY62" i="15"/>
  <c r="AT62" i="15"/>
  <c r="BY69" i="15"/>
  <c r="C1101" i="17"/>
  <c r="C1099" i="17"/>
  <c r="C1097" i="17"/>
  <c r="C1096" i="17"/>
  <c r="C1095" i="17"/>
  <c r="C1093" i="17"/>
  <c r="C1086" i="17"/>
  <c r="C1085" i="17"/>
  <c r="C1083" i="17"/>
  <c r="C1082" i="17"/>
  <c r="C1081" i="17"/>
  <c r="C1080" i="17"/>
  <c r="C1079" i="17"/>
  <c r="C1076" i="17"/>
  <c r="M78" i="15" l="1"/>
  <c r="M80" i="15" s="1"/>
  <c r="CB80" i="15"/>
  <c r="CB81" i="15"/>
  <c r="CC70" i="15"/>
  <c r="CC78" i="15" s="1"/>
  <c r="CC80" i="15" s="1"/>
  <c r="CC81" i="15" s="1"/>
  <c r="CD70" i="15"/>
  <c r="AZ329" i="15"/>
  <c r="AZ262" i="15"/>
  <c r="BC93" i="15"/>
  <c r="BC341" i="15" s="1"/>
  <c r="BC360" i="15" s="1"/>
  <c r="BD53" i="15"/>
  <c r="S262" i="15"/>
  <c r="BC262" i="15"/>
  <c r="AY225" i="15"/>
  <c r="AZ74" i="15"/>
  <c r="AZ231" i="15" s="1"/>
  <c r="AZ61" i="15"/>
  <c r="AY233" i="15"/>
  <c r="AY292" i="15"/>
  <c r="AY298" i="15"/>
  <c r="AY231" i="15"/>
  <c r="AZ67" i="15"/>
  <c r="CB408" i="15"/>
  <c r="AY300" i="15"/>
  <c r="AZ76" i="15"/>
  <c r="AY286" i="15"/>
  <c r="AY219" i="15"/>
  <c r="AY222" i="15" s="1"/>
  <c r="CB49" i="15"/>
  <c r="CF46" i="15"/>
  <c r="BB262" i="15"/>
  <c r="AY64" i="15"/>
  <c r="CB47" i="15"/>
  <c r="CE47" i="15"/>
  <c r="CE49" i="15"/>
  <c r="AZ46" i="15"/>
  <c r="CE408" i="15"/>
  <c r="CA52" i="15"/>
  <c r="CE51" i="15"/>
  <c r="CE65" i="15"/>
  <c r="CE39" i="15" s="1"/>
  <c r="CD78" i="15"/>
  <c r="M179" i="15"/>
  <c r="M199" i="15" s="1"/>
  <c r="M245" i="15"/>
  <c r="M312" i="15" s="1"/>
  <c r="AV380" i="15"/>
  <c r="AU388" i="15"/>
  <c r="AU390" i="15" s="1"/>
  <c r="AV382" i="15"/>
  <c r="AU398" i="15"/>
  <c r="AU400" i="15" s="1"/>
  <c r="AV386" i="15"/>
  <c r="CA60" i="15"/>
  <c r="AU441" i="15"/>
  <c r="AU443" i="15" s="1"/>
  <c r="AV384" i="15"/>
  <c r="AX228" i="15"/>
  <c r="AX235" i="15" s="1"/>
  <c r="AX289" i="15"/>
  <c r="AV109" i="15"/>
  <c r="AW179" i="15"/>
  <c r="C928" i="17" s="1"/>
  <c r="AV111" i="15"/>
  <c r="AW348" i="15"/>
  <c r="AW367" i="15" s="1"/>
  <c r="M196" i="15"/>
  <c r="M257" i="15" s="1"/>
  <c r="M192" i="15"/>
  <c r="M351" i="15" s="1"/>
  <c r="L901" i="17"/>
  <c r="C930" i="17"/>
  <c r="M241" i="15"/>
  <c r="M308" i="15" s="1"/>
  <c r="F923" i="17"/>
  <c r="M172" i="15"/>
  <c r="M195" i="15" s="1"/>
  <c r="M256" i="15" s="1"/>
  <c r="AW172" i="15"/>
  <c r="AW187" i="15"/>
  <c r="AW245" i="15"/>
  <c r="AW312" i="15" s="1"/>
  <c r="AW241" i="15"/>
  <c r="AW308" i="15" s="1"/>
  <c r="CB37" i="15"/>
  <c r="CB22" i="15"/>
  <c r="CB24" i="15" s="1"/>
  <c r="CB36" i="15"/>
  <c r="BZ69" i="15"/>
  <c r="CA69" i="15" s="1"/>
  <c r="M45" i="15"/>
  <c r="BZ388" i="15"/>
  <c r="BZ62" i="15"/>
  <c r="CA62" i="15" s="1"/>
  <c r="BZ398" i="15"/>
  <c r="BZ441" i="15"/>
  <c r="CA403" i="15"/>
  <c r="CA424" i="15"/>
  <c r="CA446" i="15"/>
  <c r="CA426" i="15"/>
  <c r="CA405" i="15"/>
  <c r="CA448" i="15"/>
  <c r="CA427" i="15"/>
  <c r="CA406" i="15"/>
  <c r="CA449" i="15"/>
  <c r="CA425" i="15"/>
  <c r="CA404" i="15"/>
  <c r="CA447" i="15"/>
  <c r="M81" i="15"/>
  <c r="M85" i="15"/>
  <c r="AW33" i="15"/>
  <c r="AW34" i="15"/>
  <c r="M254" i="15"/>
  <c r="AW43" i="15"/>
  <c r="AW45" i="15" s="1"/>
  <c r="BA46" i="15" s="1"/>
  <c r="AW20" i="15"/>
  <c r="AW32" i="15"/>
  <c r="M22" i="15"/>
  <c r="M24" i="15" s="1"/>
  <c r="M95" i="15" s="1"/>
  <c r="M37" i="15"/>
  <c r="M262" i="15"/>
  <c r="M237" i="15"/>
  <c r="M238" i="15" s="1"/>
  <c r="N39" i="15"/>
  <c r="N53" i="15"/>
  <c r="C958" i="17"/>
  <c r="N398" i="15"/>
  <c r="C967" i="17"/>
  <c r="D967" i="17" s="1"/>
  <c r="C963" i="17"/>
  <c r="C968" i="17"/>
  <c r="D968" i="17" s="1"/>
  <c r="C965" i="17"/>
  <c r="D965" i="17" s="1"/>
  <c r="C983" i="17"/>
  <c r="K962" i="17" s="1"/>
  <c r="N441" i="15"/>
  <c r="C962" i="17"/>
  <c r="D962" i="17" s="1"/>
  <c r="C978" i="17"/>
  <c r="D978" i="17" s="1"/>
  <c r="C964" i="17"/>
  <c r="D964" i="17" s="1"/>
  <c r="C977" i="17"/>
  <c r="D977" i="17" s="1"/>
  <c r="C981" i="17"/>
  <c r="D981" i="17" s="1"/>
  <c r="AU62" i="15"/>
  <c r="AV54" i="15"/>
  <c r="C976" i="17"/>
  <c r="D976" i="17" s="1"/>
  <c r="AU69" i="15"/>
  <c r="K959" i="17"/>
  <c r="L959" i="17" s="1"/>
  <c r="C975" i="17"/>
  <c r="D975" i="17" s="1"/>
  <c r="N60" i="15"/>
  <c r="N388" i="15"/>
  <c r="N168" i="15"/>
  <c r="N34" i="15" s="1"/>
  <c r="AU158" i="15"/>
  <c r="AU159" i="15" s="1"/>
  <c r="AV404" i="15"/>
  <c r="N306" i="15"/>
  <c r="L1021" i="17"/>
  <c r="AV446" i="15"/>
  <c r="N159" i="15"/>
  <c r="AV403" i="15"/>
  <c r="N233" i="15"/>
  <c r="N40" i="15"/>
  <c r="N216" i="15"/>
  <c r="N11" i="15"/>
  <c r="K1018" i="17"/>
  <c r="L1018" i="17" s="1"/>
  <c r="AV168" i="15"/>
  <c r="AV183" i="15"/>
  <c r="AV405" i="15"/>
  <c r="AV448" i="15"/>
  <c r="N338" i="15"/>
  <c r="N340" i="15" s="1"/>
  <c r="AV427" i="15"/>
  <c r="AV449" i="15"/>
  <c r="AV158" i="15"/>
  <c r="AV159" i="15" s="1"/>
  <c r="AV106" i="15"/>
  <c r="AV424" i="15"/>
  <c r="AV425" i="15"/>
  <c r="AV447" i="15"/>
  <c r="AV406" i="15"/>
  <c r="AV426" i="15"/>
  <c r="G1035" i="17"/>
  <c r="G1030" i="17"/>
  <c r="N107" i="15"/>
  <c r="N339" i="15"/>
  <c r="N364" i="15"/>
  <c r="N222" i="15"/>
  <c r="N228" i="15" s="1"/>
  <c r="D1037" i="17"/>
  <c r="N202" i="15"/>
  <c r="N263" i="15" s="1"/>
  <c r="D1060" i="17"/>
  <c r="G1021" i="17"/>
  <c r="N96" i="15"/>
  <c r="N343" i="15" s="1"/>
  <c r="N183" i="15"/>
  <c r="D1022" i="17"/>
  <c r="G1032" i="17"/>
  <c r="G1023" i="17"/>
  <c r="N43" i="15"/>
  <c r="N45" i="15" s="1"/>
  <c r="N20" i="15"/>
  <c r="N32" i="15"/>
  <c r="N89" i="15"/>
  <c r="N231" i="15"/>
  <c r="N342" i="15"/>
  <c r="G1019" i="17"/>
  <c r="G1024" i="17"/>
  <c r="L1019" i="17"/>
  <c r="G1027" i="17"/>
  <c r="F1037" i="17"/>
  <c r="G1037" i="17" s="1"/>
  <c r="D1027" i="17"/>
  <c r="G1026" i="17"/>
  <c r="G1017" i="17"/>
  <c r="D1034" i="17"/>
  <c r="AU168" i="15"/>
  <c r="G1031" i="17"/>
  <c r="D1020" i="17"/>
  <c r="D1032" i="17"/>
  <c r="G1033" i="17"/>
  <c r="D1036" i="17"/>
  <c r="D994" i="17"/>
  <c r="C1054" i="17"/>
  <c r="D1054" i="17" s="1"/>
  <c r="D1024" i="17"/>
  <c r="D1030" i="17"/>
  <c r="D1065" i="17"/>
  <c r="D1023" i="17"/>
  <c r="D1031" i="17"/>
  <c r="G1029" i="17"/>
  <c r="D1021" i="17"/>
  <c r="D1033" i="17"/>
  <c r="C1053" i="17"/>
  <c r="D1053" i="17" s="1"/>
  <c r="D1061" i="17"/>
  <c r="D1040" i="17"/>
  <c r="D1026" i="17"/>
  <c r="D1035" i="17"/>
  <c r="D1062" i="17"/>
  <c r="D1017" i="17"/>
  <c r="D1063" i="17"/>
  <c r="D1019" i="17"/>
  <c r="D1029" i="17"/>
  <c r="D1064" i="17"/>
  <c r="F1022" i="17"/>
  <c r="G1022" i="17" s="1"/>
  <c r="C1039" i="17"/>
  <c r="C1066" i="17"/>
  <c r="D1066" i="17" s="1"/>
  <c r="F1034" i="17"/>
  <c r="G1034" i="17" s="1"/>
  <c r="F1036" i="17"/>
  <c r="G1036" i="17" s="1"/>
  <c r="F1040" i="17"/>
  <c r="G1040" i="17" s="1"/>
  <c r="F1020" i="17"/>
  <c r="G1020" i="17" s="1"/>
  <c r="AU306" i="15"/>
  <c r="AU183" i="15"/>
  <c r="BZ11" i="15"/>
  <c r="BZ20" i="15"/>
  <c r="BZ32" i="15"/>
  <c r="BZ43" i="15"/>
  <c r="AU216" i="15"/>
  <c r="AU11" i="15"/>
  <c r="AU364" i="15"/>
  <c r="AU32" i="15"/>
  <c r="AU20" i="15"/>
  <c r="AU43" i="15"/>
  <c r="C1125" i="17"/>
  <c r="K1080" i="17"/>
  <c r="K1078" i="17"/>
  <c r="F1096" i="17"/>
  <c r="F1095" i="17"/>
  <c r="F1093" i="17"/>
  <c r="F1092" i="17"/>
  <c r="F1091" i="17"/>
  <c r="F1090" i="17"/>
  <c r="F1089" i="17"/>
  <c r="F1086" i="17"/>
  <c r="F1085" i="17"/>
  <c r="F1083" i="17"/>
  <c r="F1082" i="17"/>
  <c r="F1081" i="17"/>
  <c r="F1079" i="17"/>
  <c r="F1078" i="17"/>
  <c r="F1076" i="17"/>
  <c r="BY440" i="15"/>
  <c r="BY441" i="15" s="1"/>
  <c r="CD442" i="15" s="1"/>
  <c r="AT440" i="15"/>
  <c r="BY397" i="15"/>
  <c r="BY398" i="15" s="1"/>
  <c r="CD399" i="15" s="1"/>
  <c r="AT397" i="15"/>
  <c r="BY387" i="15"/>
  <c r="BY388" i="15" s="1"/>
  <c r="CD389" i="15" s="1"/>
  <c r="AT387" i="15"/>
  <c r="AT267" i="15"/>
  <c r="AT182" i="15"/>
  <c r="AT155" i="15"/>
  <c r="AT115" i="15"/>
  <c r="AT114" i="15"/>
  <c r="AT101" i="15"/>
  <c r="AT79" i="15"/>
  <c r="AT77" i="15"/>
  <c r="AT72" i="15"/>
  <c r="AT227" i="15"/>
  <c r="AT68" i="15"/>
  <c r="AT67" i="15"/>
  <c r="AT66" i="15"/>
  <c r="AT63" i="15"/>
  <c r="AT220" i="15"/>
  <c r="AT8" i="15"/>
  <c r="BY77" i="15"/>
  <c r="BY74" i="15"/>
  <c r="BY72" i="15"/>
  <c r="BY68" i="15"/>
  <c r="BY66" i="15"/>
  <c r="BY63" i="15"/>
  <c r="BY451" i="15"/>
  <c r="BY449" i="15"/>
  <c r="BY448" i="15"/>
  <c r="BY447" i="15"/>
  <c r="BY446" i="15"/>
  <c r="BY445" i="15"/>
  <c r="BY439" i="15"/>
  <c r="BY437" i="15"/>
  <c r="BY435" i="15"/>
  <c r="BY433" i="15"/>
  <c r="BY431" i="15"/>
  <c r="BY427" i="15"/>
  <c r="BY426" i="15"/>
  <c r="BY425" i="15"/>
  <c r="BY424" i="15"/>
  <c r="BY423" i="15"/>
  <c r="BY420" i="15"/>
  <c r="BY418" i="15"/>
  <c r="BY416" i="15"/>
  <c r="BY414" i="15"/>
  <c r="BY412" i="15"/>
  <c r="BY406" i="15"/>
  <c r="BY405" i="15"/>
  <c r="BY404" i="15"/>
  <c r="BY403" i="15"/>
  <c r="BY402" i="15"/>
  <c r="BY392" i="15"/>
  <c r="BY386" i="15"/>
  <c r="BY384" i="15"/>
  <c r="BY382" i="15"/>
  <c r="BY380" i="15"/>
  <c r="BY378" i="15"/>
  <c r="BY75" i="15"/>
  <c r="BY73" i="15"/>
  <c r="BY60" i="15"/>
  <c r="BY59" i="15"/>
  <c r="BY42" i="15"/>
  <c r="BY35" i="15"/>
  <c r="BY31" i="15"/>
  <c r="BY30" i="15"/>
  <c r="BY29" i="15"/>
  <c r="BY28" i="15"/>
  <c r="BY10" i="15"/>
  <c r="BY16" i="15" s="1"/>
  <c r="AT451" i="15"/>
  <c r="AT449" i="15"/>
  <c r="AT448" i="15"/>
  <c r="AT447" i="15"/>
  <c r="AT446" i="15"/>
  <c r="AT445" i="15"/>
  <c r="AT431" i="15"/>
  <c r="AT427" i="15"/>
  <c r="AT426" i="15"/>
  <c r="AT425" i="15"/>
  <c r="AT424" i="15"/>
  <c r="AT423" i="15"/>
  <c r="AT412" i="15"/>
  <c r="AT406" i="15"/>
  <c r="AT405" i="15"/>
  <c r="AT404" i="15"/>
  <c r="AT403" i="15"/>
  <c r="AT402" i="15"/>
  <c r="AT392" i="15"/>
  <c r="AT378" i="15"/>
  <c r="AT355" i="15"/>
  <c r="AT345" i="15"/>
  <c r="AT336" i="15"/>
  <c r="AT273" i="15"/>
  <c r="AT272" i="15"/>
  <c r="AT271" i="15"/>
  <c r="AT239" i="15"/>
  <c r="AT214" i="15"/>
  <c r="AX215" i="15" s="1"/>
  <c r="AT211" i="15"/>
  <c r="AX212" i="15" s="1"/>
  <c r="AT209" i="15"/>
  <c r="AT208" i="15"/>
  <c r="AT190" i="15"/>
  <c r="AT106" i="15"/>
  <c r="AT99" i="15"/>
  <c r="AT87" i="15"/>
  <c r="AT75" i="15"/>
  <c r="AT73" i="15"/>
  <c r="AT60" i="15"/>
  <c r="AT218" i="15" s="1"/>
  <c r="AT59" i="15"/>
  <c r="AT42" i="15"/>
  <c r="AT35" i="15"/>
  <c r="AT33" i="15"/>
  <c r="AT31" i="15"/>
  <c r="AT30" i="15"/>
  <c r="AT29" i="15"/>
  <c r="AT28" i="15"/>
  <c r="AT10" i="15"/>
  <c r="AT16" i="15" s="1"/>
  <c r="H1130" i="17"/>
  <c r="D1146" i="17" s="1"/>
  <c r="C1154" i="17"/>
  <c r="C1153" i="17"/>
  <c r="F1153" i="17" s="1"/>
  <c r="C1152" i="17"/>
  <c r="F1152" i="17" s="1"/>
  <c r="C1151" i="17"/>
  <c r="F1151" i="17" s="1"/>
  <c r="C1150" i="17"/>
  <c r="C1143" i="17"/>
  <c r="F1143" i="17" s="1"/>
  <c r="C1142" i="17"/>
  <c r="F1142" i="17" s="1"/>
  <c r="C1140" i="17"/>
  <c r="F1140" i="17" s="1"/>
  <c r="C1139" i="17"/>
  <c r="C1138" i="17"/>
  <c r="F1138" i="17" s="1"/>
  <c r="C1137" i="17"/>
  <c r="C1136" i="17"/>
  <c r="F1136" i="17" s="1"/>
  <c r="C1133" i="17"/>
  <c r="F1133" i="17" s="1"/>
  <c r="F1149" i="17"/>
  <c r="F1148" i="17"/>
  <c r="F1147" i="17"/>
  <c r="F1146" i="17"/>
  <c r="F1135" i="17"/>
  <c r="CD80" i="15" l="1"/>
  <c r="H1073" i="17"/>
  <c r="D1082" i="17" s="1"/>
  <c r="AT268" i="15"/>
  <c r="CE70" i="15"/>
  <c r="AY289" i="15"/>
  <c r="AY70" i="15"/>
  <c r="BD93" i="15"/>
  <c r="BD341" i="15" s="1"/>
  <c r="BE53" i="15"/>
  <c r="AY228" i="15"/>
  <c r="AY235" i="15" s="1"/>
  <c r="AZ298" i="15"/>
  <c r="AZ219" i="15"/>
  <c r="AZ222" i="15" s="1"/>
  <c r="AZ233" i="15"/>
  <c r="AZ286" i="15"/>
  <c r="S225" i="15"/>
  <c r="AZ64" i="15"/>
  <c r="AZ70" i="15" s="1"/>
  <c r="AZ225" i="15"/>
  <c r="AZ292" i="15"/>
  <c r="AZ300" i="15"/>
  <c r="AZ90" i="15"/>
  <c r="CE78" i="15"/>
  <c r="BZ390" i="15"/>
  <c r="CE389" i="15"/>
  <c r="BZ443" i="15"/>
  <c r="CE442" i="15"/>
  <c r="BZ400" i="15"/>
  <c r="CE399" i="15"/>
  <c r="M47" i="15"/>
  <c r="O46" i="15"/>
  <c r="N443" i="15"/>
  <c r="N400" i="15"/>
  <c r="M347" i="15"/>
  <c r="M366" i="15" s="1"/>
  <c r="M248" i="15"/>
  <c r="M315" i="15" s="1"/>
  <c r="CD81" i="15"/>
  <c r="AY92" i="15"/>
  <c r="C803" i="17" s="1"/>
  <c r="AU442" i="15"/>
  <c r="AV69" i="15"/>
  <c r="AX92" i="15"/>
  <c r="C866" i="17" s="1"/>
  <c r="AU389" i="15"/>
  <c r="BY443" i="15"/>
  <c r="CC442" i="15"/>
  <c r="AU399" i="15"/>
  <c r="M253" i="15"/>
  <c r="AU173" i="15"/>
  <c r="AU193" i="15"/>
  <c r="AV50" i="15"/>
  <c r="AV92" i="15"/>
  <c r="AW46" i="15"/>
  <c r="AW49" i="15"/>
  <c r="AU408" i="15"/>
  <c r="AW347" i="15"/>
  <c r="AW366" i="15" s="1"/>
  <c r="AW188" i="15"/>
  <c r="AV34" i="15"/>
  <c r="AW248" i="15"/>
  <c r="AW315" i="15" s="1"/>
  <c r="M188" i="15"/>
  <c r="M90" i="15"/>
  <c r="M244" i="15"/>
  <c r="M311" i="15" s="1"/>
  <c r="M49" i="15"/>
  <c r="AW178" i="15"/>
  <c r="AW349" i="15" s="1"/>
  <c r="AW368" i="15" s="1"/>
  <c r="M178" i="15"/>
  <c r="M247" i="15" s="1"/>
  <c r="M314" i="15" s="1"/>
  <c r="M204" i="15"/>
  <c r="AT441" i="15"/>
  <c r="AT442" i="15" s="1"/>
  <c r="AT388" i="15"/>
  <c r="AT389" i="15" s="1"/>
  <c r="AW204" i="15"/>
  <c r="AT398" i="15"/>
  <c r="AW244" i="15"/>
  <c r="AW311" i="15" s="1"/>
  <c r="BZ72" i="15"/>
  <c r="CA72" i="15" s="1"/>
  <c r="BZ74" i="15"/>
  <c r="CA74" i="15" s="1"/>
  <c r="BZ73" i="15"/>
  <c r="CA73" i="15" s="1"/>
  <c r="BZ75" i="15"/>
  <c r="CA75" i="15" s="1"/>
  <c r="BZ77" i="15"/>
  <c r="CA77" i="15" s="1"/>
  <c r="BZ63" i="15"/>
  <c r="CA63" i="15" s="1"/>
  <c r="BZ66" i="15"/>
  <c r="CA66" i="15" s="1"/>
  <c r="BZ68" i="15"/>
  <c r="CA68" i="15" s="1"/>
  <c r="AW277" i="15"/>
  <c r="BA278" i="15" s="1"/>
  <c r="AW47" i="15"/>
  <c r="C1006" i="17"/>
  <c r="D958" i="17"/>
  <c r="AW92" i="15"/>
  <c r="C926" i="17" s="1"/>
  <c r="N93" i="15"/>
  <c r="N341" i="15" s="1"/>
  <c r="F964" i="17"/>
  <c r="G964" i="17" s="1"/>
  <c r="F967" i="17"/>
  <c r="G967" i="17" s="1"/>
  <c r="AW22" i="15"/>
  <c r="AW24" i="15" s="1"/>
  <c r="AZ95" i="15" s="1"/>
  <c r="AW37" i="15"/>
  <c r="AW36" i="15"/>
  <c r="M352" i="15"/>
  <c r="M260" i="15"/>
  <c r="N55" i="15"/>
  <c r="F958" i="17"/>
  <c r="G958" i="17" s="1"/>
  <c r="L962" i="17"/>
  <c r="K963" i="17"/>
  <c r="AU227" i="15"/>
  <c r="N390" i="15"/>
  <c r="AU220" i="15"/>
  <c r="AV62" i="15"/>
  <c r="F962" i="17"/>
  <c r="G962" i="17" s="1"/>
  <c r="D963" i="17"/>
  <c r="F963" i="17"/>
  <c r="G963" i="17" s="1"/>
  <c r="K1020" i="17"/>
  <c r="L1020" i="17" s="1"/>
  <c r="K1022" i="17"/>
  <c r="AV173" i="15"/>
  <c r="AV242" i="15"/>
  <c r="AV309" i="15" s="1"/>
  <c r="N64" i="15"/>
  <c r="N70" i="15" s="1"/>
  <c r="N346" i="15"/>
  <c r="N365" i="15" s="1"/>
  <c r="N167" i="15"/>
  <c r="N241" i="15" s="1"/>
  <c r="N308" i="15" s="1"/>
  <c r="N242" i="15"/>
  <c r="N309" i="15" s="1"/>
  <c r="N173" i="15"/>
  <c r="N187" i="15" s="1"/>
  <c r="N193" i="15"/>
  <c r="N254" i="15" s="1"/>
  <c r="AV346" i="15"/>
  <c r="AV365" i="15" s="1"/>
  <c r="AU34" i="15"/>
  <c r="AU167" i="15"/>
  <c r="AU346" i="15"/>
  <c r="AU365" i="15" s="1"/>
  <c r="N235" i="15"/>
  <c r="AT266" i="15"/>
  <c r="AT364" i="15"/>
  <c r="N201" i="15"/>
  <c r="N22" i="15"/>
  <c r="N24" i="15" s="1"/>
  <c r="N95" i="15" s="1"/>
  <c r="N37" i="15"/>
  <c r="N36" i="15"/>
  <c r="N90" i="15"/>
  <c r="N49" i="15"/>
  <c r="N47" i="15"/>
  <c r="AT232" i="15"/>
  <c r="AU75" i="15"/>
  <c r="AU63" i="15"/>
  <c r="AT225" i="15"/>
  <c r="AU67" i="15"/>
  <c r="K1077" i="17"/>
  <c r="L1077" i="17" s="1"/>
  <c r="AT226" i="15"/>
  <c r="AU68" i="15"/>
  <c r="AU242" i="15"/>
  <c r="AU309" i="15" s="1"/>
  <c r="AT221" i="15"/>
  <c r="AT229" i="15"/>
  <c r="AU72" i="15"/>
  <c r="AU73" i="15"/>
  <c r="AT234" i="15"/>
  <c r="AU77" i="15"/>
  <c r="AU266" i="15"/>
  <c r="AU79" i="15"/>
  <c r="F977" i="17"/>
  <c r="G977" i="17" s="1"/>
  <c r="AT224" i="15"/>
  <c r="AU66" i="15"/>
  <c r="C1043" i="17"/>
  <c r="C1055" i="17"/>
  <c r="C1067" i="17"/>
  <c r="D1067" i="17" s="1"/>
  <c r="C1041" i="17"/>
  <c r="D1055" i="17"/>
  <c r="G1039" i="17"/>
  <c r="G1041" i="17" s="1"/>
  <c r="F1039" i="17"/>
  <c r="G1147" i="17"/>
  <c r="G1153" i="17"/>
  <c r="G1138" i="17"/>
  <c r="G1146" i="17"/>
  <c r="D1139" i="17"/>
  <c r="BZ36" i="15"/>
  <c r="BZ22" i="15"/>
  <c r="BZ24" i="15" s="1"/>
  <c r="BZ37" i="15"/>
  <c r="AU22" i="15"/>
  <c r="AU24" i="15" s="1"/>
  <c r="AU37" i="15"/>
  <c r="AU36" i="15"/>
  <c r="D1095" i="17"/>
  <c r="G1090" i="17"/>
  <c r="G1091" i="17"/>
  <c r="AT158" i="15"/>
  <c r="AT159" i="15" s="1"/>
  <c r="C1094" i="17"/>
  <c r="F1094" i="17" s="1"/>
  <c r="G1094" i="17" s="1"/>
  <c r="G1081" i="17"/>
  <c r="D1125" i="17"/>
  <c r="AT168" i="15"/>
  <c r="C1119" i="17"/>
  <c r="D1119" i="17" s="1"/>
  <c r="G1076" i="17"/>
  <c r="L1078" i="17"/>
  <c r="D1178" i="17"/>
  <c r="G1143" i="17"/>
  <c r="D1092" i="17"/>
  <c r="D1124" i="17"/>
  <c r="D1122" i="17"/>
  <c r="D1088" i="17"/>
  <c r="D1121" i="17"/>
  <c r="D1078" i="17"/>
  <c r="D1091" i="17"/>
  <c r="D1081" i="17"/>
  <c r="G1088" i="17"/>
  <c r="D1079" i="17"/>
  <c r="G1133" i="17"/>
  <c r="G1083" i="17"/>
  <c r="D1093" i="17"/>
  <c r="G1151" i="17"/>
  <c r="G1085" i="17"/>
  <c r="D1085" i="17"/>
  <c r="G1149" i="17"/>
  <c r="G1093" i="17"/>
  <c r="D1150" i="17"/>
  <c r="D1137" i="17"/>
  <c r="G1152" i="17"/>
  <c r="G1086" i="17"/>
  <c r="D1099" i="17"/>
  <c r="C1113" i="17"/>
  <c r="D1113" i="17" s="1"/>
  <c r="F1080" i="17"/>
  <c r="G1080" i="17" s="1"/>
  <c r="F1099" i="17"/>
  <c r="G1148" i="17"/>
  <c r="G1142" i="17"/>
  <c r="D1147" i="17"/>
  <c r="AT306" i="15"/>
  <c r="BY20" i="15"/>
  <c r="BY32" i="15"/>
  <c r="BY43" i="15"/>
  <c r="BY390" i="15"/>
  <c r="BY400" i="15"/>
  <c r="BY11" i="15"/>
  <c r="D1142" i="17"/>
  <c r="D1177" i="17"/>
  <c r="D1179" i="17"/>
  <c r="D1180" i="17"/>
  <c r="AT183" i="15"/>
  <c r="AT216" i="15"/>
  <c r="AT43" i="15"/>
  <c r="AT20" i="15"/>
  <c r="AT32" i="15"/>
  <c r="AT11" i="15"/>
  <c r="AT236" i="15"/>
  <c r="F1137" i="17"/>
  <c r="G1137" i="17" s="1"/>
  <c r="G1135" i="17"/>
  <c r="D1181" i="17"/>
  <c r="D1151" i="17"/>
  <c r="F1150" i="17"/>
  <c r="G1150" i="17" s="1"/>
  <c r="G1145" i="17"/>
  <c r="D1133" i="17"/>
  <c r="D1138" i="17"/>
  <c r="D1143" i="17"/>
  <c r="D1148" i="17"/>
  <c r="D1152" i="17"/>
  <c r="G1136" i="17"/>
  <c r="G1140" i="17"/>
  <c r="F1139" i="17"/>
  <c r="G1139" i="17" s="1"/>
  <c r="D1135" i="17"/>
  <c r="D1145" i="17"/>
  <c r="D1149" i="17"/>
  <c r="D1153" i="17"/>
  <c r="C1169" i="17"/>
  <c r="D1169" i="17" s="1"/>
  <c r="D1136" i="17"/>
  <c r="D1140" i="17"/>
  <c r="C1155" i="17"/>
  <c r="C1182" i="17"/>
  <c r="D1182" i="17" s="1"/>
  <c r="BX440" i="15"/>
  <c r="BX441" i="15" s="1"/>
  <c r="AS440" i="15"/>
  <c r="BX397" i="15"/>
  <c r="BX398" i="15" s="1"/>
  <c r="CC399" i="15" s="1"/>
  <c r="AS397" i="15"/>
  <c r="BX387" i="15"/>
  <c r="AS387" i="15"/>
  <c r="AS186" i="15"/>
  <c r="C1158" i="17" s="1"/>
  <c r="K1137" i="17" s="1"/>
  <c r="L1137" i="17" s="1"/>
  <c r="AS182" i="15"/>
  <c r="AS181" i="15"/>
  <c r="AS165" i="15"/>
  <c r="AS115" i="15"/>
  <c r="AS114" i="15"/>
  <c r="C1176" i="17" s="1"/>
  <c r="D1176" i="17" s="1"/>
  <c r="AS101" i="15"/>
  <c r="BX79" i="15"/>
  <c r="BX76" i="15"/>
  <c r="BX67" i="15"/>
  <c r="BX65" i="15"/>
  <c r="BX61" i="15"/>
  <c r="AS76" i="15"/>
  <c r="AS74" i="15"/>
  <c r="AS65" i="15"/>
  <c r="AS61" i="15"/>
  <c r="BX56" i="15"/>
  <c r="AS56" i="15"/>
  <c r="BX451" i="15"/>
  <c r="BX449" i="15"/>
  <c r="BX448" i="15"/>
  <c r="BX447" i="15"/>
  <c r="BX446" i="15"/>
  <c r="BX445" i="15"/>
  <c r="BX439" i="15"/>
  <c r="BX437" i="15"/>
  <c r="BX435" i="15"/>
  <c r="BX433" i="15"/>
  <c r="BX431" i="15"/>
  <c r="BX427" i="15"/>
  <c r="BX426" i="15"/>
  <c r="BX425" i="15"/>
  <c r="BX424" i="15"/>
  <c r="BX423" i="15"/>
  <c r="BX420" i="15"/>
  <c r="BX418" i="15"/>
  <c r="BX416" i="15"/>
  <c r="BX414" i="15"/>
  <c r="BX412" i="15"/>
  <c r="BX406" i="15"/>
  <c r="BX405" i="15"/>
  <c r="BX404" i="15"/>
  <c r="BX403" i="15"/>
  <c r="BX402" i="15"/>
  <c r="BX392" i="15"/>
  <c r="BX386" i="15"/>
  <c r="BX384" i="15"/>
  <c r="BX382" i="15"/>
  <c r="BX380" i="15"/>
  <c r="BX378" i="15"/>
  <c r="BX60" i="15"/>
  <c r="BX59" i="15"/>
  <c r="BX42" i="15"/>
  <c r="BX35" i="15"/>
  <c r="BX31" i="15"/>
  <c r="BX30" i="15"/>
  <c r="BX29" i="15"/>
  <c r="BX28" i="15"/>
  <c r="BX10" i="15"/>
  <c r="BX16" i="15" s="1"/>
  <c r="BX8" i="15"/>
  <c r="AS7" i="15"/>
  <c r="AS449" i="15"/>
  <c r="AS448" i="15"/>
  <c r="AS447" i="15"/>
  <c r="AS446" i="15"/>
  <c r="AS445" i="15"/>
  <c r="AS431" i="15"/>
  <c r="AS427" i="15"/>
  <c r="AS426" i="15"/>
  <c r="AS425" i="15"/>
  <c r="AS424" i="15"/>
  <c r="AS423" i="15"/>
  <c r="AS412" i="15"/>
  <c r="AS406" i="15"/>
  <c r="AS405" i="15"/>
  <c r="AS404" i="15"/>
  <c r="AS403" i="15"/>
  <c r="AS402" i="15"/>
  <c r="AS392" i="15"/>
  <c r="AS378" i="15"/>
  <c r="AS355" i="15"/>
  <c r="AS336" i="15"/>
  <c r="AS303" i="15"/>
  <c r="AS301" i="15"/>
  <c r="AS299" i="15"/>
  <c r="AS297" i="15"/>
  <c r="AS296" i="15"/>
  <c r="AS294" i="15"/>
  <c r="AS293" i="15"/>
  <c r="AS291" i="15"/>
  <c r="AS288" i="15"/>
  <c r="AS287" i="15"/>
  <c r="AS281" i="15"/>
  <c r="AW282" i="15" s="1"/>
  <c r="AS273" i="15"/>
  <c r="AS272" i="15"/>
  <c r="AS271" i="15"/>
  <c r="AS236" i="15"/>
  <c r="AS234" i="15"/>
  <c r="AS232" i="15"/>
  <c r="AS229" i="15"/>
  <c r="AS227" i="15"/>
  <c r="AS226" i="15"/>
  <c r="AS225" i="15"/>
  <c r="AS224" i="15"/>
  <c r="AS221" i="15"/>
  <c r="AS220" i="15"/>
  <c r="AS214" i="15"/>
  <c r="AW215" i="15" s="1"/>
  <c r="AS209" i="15"/>
  <c r="AS208" i="15"/>
  <c r="AS190" i="15"/>
  <c r="AS158" i="15"/>
  <c r="AS106" i="15"/>
  <c r="AS99" i="15"/>
  <c r="AS87" i="15"/>
  <c r="AS292" i="15"/>
  <c r="AS60" i="15"/>
  <c r="AS285" i="15" s="1"/>
  <c r="AS59" i="15"/>
  <c r="AS42" i="15"/>
  <c r="BV438" i="15"/>
  <c r="BV436" i="15"/>
  <c r="BV434" i="15"/>
  <c r="BV432" i="15"/>
  <c r="BV419" i="15"/>
  <c r="BV417" i="15"/>
  <c r="BV415" i="15"/>
  <c r="BV413" i="15"/>
  <c r="BV396" i="15"/>
  <c r="BV395" i="15"/>
  <c r="BV394" i="15"/>
  <c r="BV393" i="15"/>
  <c r="BV385" i="15"/>
  <c r="BV383" i="15"/>
  <c r="BV381" i="15"/>
  <c r="BV379" i="15"/>
  <c r="BV50" i="15"/>
  <c r="AS51" i="15" s="1"/>
  <c r="BV23" i="15"/>
  <c r="BV21" i="15"/>
  <c r="BV19" i="15"/>
  <c r="BV18" i="15"/>
  <c r="BV17" i="15"/>
  <c r="BV15" i="15"/>
  <c r="BV14" i="15"/>
  <c r="BV13" i="15"/>
  <c r="BV12" i="15"/>
  <c r="BV9" i="15"/>
  <c r="BV7" i="15"/>
  <c r="BV445" i="15"/>
  <c r="BV431" i="15"/>
  <c r="BV423" i="15"/>
  <c r="BV412" i="15"/>
  <c r="BV402" i="15"/>
  <c r="BV392" i="15"/>
  <c r="BV378" i="15"/>
  <c r="BV59" i="15"/>
  <c r="BV42" i="15"/>
  <c r="D1083" i="17" l="1"/>
  <c r="G1096" i="17"/>
  <c r="D1076" i="17"/>
  <c r="D1120" i="17"/>
  <c r="D1096" i="17"/>
  <c r="C1112" i="17"/>
  <c r="D1112" i="17" s="1"/>
  <c r="D1114" i="17" s="1"/>
  <c r="G1082" i="17"/>
  <c r="G1079" i="17"/>
  <c r="G1095" i="17"/>
  <c r="D1090" i="17"/>
  <c r="D1080" i="17"/>
  <c r="G1092" i="17"/>
  <c r="G1078" i="17"/>
  <c r="G1099" i="17"/>
  <c r="D1086" i="17"/>
  <c r="D1123" i="17"/>
  <c r="D1089" i="17"/>
  <c r="G1089" i="17"/>
  <c r="L1080" i="17"/>
  <c r="BE93" i="15"/>
  <c r="BE341" i="15" s="1"/>
  <c r="BE360" i="15" s="1"/>
  <c r="BF53" i="15"/>
  <c r="S219" i="15"/>
  <c r="S222" i="15" s="1"/>
  <c r="S228" i="15" s="1"/>
  <c r="S70" i="15"/>
  <c r="S78" i="15" s="1"/>
  <c r="AZ228" i="15"/>
  <c r="AZ235" i="15" s="1"/>
  <c r="S231" i="15"/>
  <c r="S233" i="15"/>
  <c r="AZ289" i="15"/>
  <c r="N408" i="15"/>
  <c r="BZ408" i="15"/>
  <c r="O266" i="15"/>
  <c r="P294" i="15"/>
  <c r="P296" i="15"/>
  <c r="P293" i="15"/>
  <c r="P301" i="15"/>
  <c r="P303" i="15"/>
  <c r="P291" i="15"/>
  <c r="P288" i="15"/>
  <c r="P287" i="15"/>
  <c r="P297" i="15"/>
  <c r="P299" i="15"/>
  <c r="P290" i="15"/>
  <c r="P356" i="15"/>
  <c r="P300" i="15"/>
  <c r="P358" i="15"/>
  <c r="P285" i="15"/>
  <c r="P289" i="15"/>
  <c r="P298" i="15"/>
  <c r="P361" i="15"/>
  <c r="P275" i="15"/>
  <c r="P286" i="15"/>
  <c r="P292" i="15"/>
  <c r="P281" i="15"/>
  <c r="P277" i="15"/>
  <c r="P318" i="15"/>
  <c r="P317" i="15"/>
  <c r="P362" i="15"/>
  <c r="P360" i="15"/>
  <c r="P357" i="15"/>
  <c r="AY198" i="15"/>
  <c r="AY259" i="15" s="1"/>
  <c r="AY199" i="15"/>
  <c r="AY352" i="15" s="1"/>
  <c r="AY339" i="15"/>
  <c r="AY358" i="15" s="1"/>
  <c r="AY371" i="15" s="1"/>
  <c r="AY251" i="15"/>
  <c r="AY318" i="15" s="1"/>
  <c r="AY326" i="15" s="1"/>
  <c r="AV294" i="15"/>
  <c r="K778" i="17"/>
  <c r="F803" i="17"/>
  <c r="E798" i="17"/>
  <c r="C808" i="17"/>
  <c r="E800" i="17"/>
  <c r="AX91" i="15"/>
  <c r="AX196" i="15" s="1"/>
  <c r="AX257" i="15" s="1"/>
  <c r="AY91" i="15"/>
  <c r="AX198" i="15"/>
  <c r="AX259" i="15" s="1"/>
  <c r="AX199" i="15"/>
  <c r="AX352" i="15" s="1"/>
  <c r="AX339" i="15"/>
  <c r="AX358" i="15" s="1"/>
  <c r="AX251" i="15"/>
  <c r="AX318" i="15" s="1"/>
  <c r="AV77" i="15"/>
  <c r="AV227" i="15"/>
  <c r="AV66" i="15"/>
  <c r="AV72" i="15"/>
  <c r="K841" i="17"/>
  <c r="F866" i="17"/>
  <c r="E861" i="17"/>
  <c r="E863" i="17"/>
  <c r="C871" i="17"/>
  <c r="AV67" i="15"/>
  <c r="AV79" i="15"/>
  <c r="AT400" i="15"/>
  <c r="AT399" i="15"/>
  <c r="AV68" i="15"/>
  <c r="AV63" i="15"/>
  <c r="AW247" i="15"/>
  <c r="AW314" i="15" s="1"/>
  <c r="AV179" i="15"/>
  <c r="AV248" i="15" s="1"/>
  <c r="AV315" i="15" s="1"/>
  <c r="AV91" i="15"/>
  <c r="AW91" i="15"/>
  <c r="AV51" i="15"/>
  <c r="CA435" i="15"/>
  <c r="AU275" i="15"/>
  <c r="AY276" i="15" s="1"/>
  <c r="AU357" i="15"/>
  <c r="AU369" i="15" s="1"/>
  <c r="AU360" i="15"/>
  <c r="AT360" i="15"/>
  <c r="AT357" i="15"/>
  <c r="CA437" i="15"/>
  <c r="CA384" i="15"/>
  <c r="AU187" i="15"/>
  <c r="AU196" i="15"/>
  <c r="AU257" i="15" s="1"/>
  <c r="CA439" i="15"/>
  <c r="AT346" i="15"/>
  <c r="AT365" i="15" s="1"/>
  <c r="AT193" i="15"/>
  <c r="AU245" i="15"/>
  <c r="AU312" i="15" s="1"/>
  <c r="AT390" i="15"/>
  <c r="CA380" i="15"/>
  <c r="CA418" i="15"/>
  <c r="CA433" i="15"/>
  <c r="CA414" i="15"/>
  <c r="M198" i="15"/>
  <c r="M353" i="15" s="1"/>
  <c r="AT443" i="15"/>
  <c r="CA382" i="15"/>
  <c r="CA416" i="15"/>
  <c r="AU172" i="15"/>
  <c r="AU195" i="15" s="1"/>
  <c r="AU256" i="15" s="1"/>
  <c r="AU192" i="15"/>
  <c r="AS8" i="15"/>
  <c r="AS110" i="15"/>
  <c r="AS52" i="15"/>
  <c r="AS451" i="15" s="1"/>
  <c r="AU179" i="15"/>
  <c r="AU347" i="15" s="1"/>
  <c r="AU366" i="15" s="1"/>
  <c r="CA386" i="15"/>
  <c r="CA420" i="15"/>
  <c r="AU350" i="15"/>
  <c r="AU254" i="15"/>
  <c r="M349" i="15"/>
  <c r="M368" i="15" s="1"/>
  <c r="AV187" i="15"/>
  <c r="F926" i="17"/>
  <c r="K904" i="17"/>
  <c r="E921" i="17"/>
  <c r="E923" i="17"/>
  <c r="C931" i="17"/>
  <c r="AT297" i="15"/>
  <c r="CA397" i="15"/>
  <c r="BX388" i="15"/>
  <c r="CA387" i="15"/>
  <c r="CA440" i="15"/>
  <c r="BV60" i="15"/>
  <c r="CA51" i="15"/>
  <c r="BY79" i="15"/>
  <c r="BZ79" i="15" s="1"/>
  <c r="CB399" i="15"/>
  <c r="BY61" i="15"/>
  <c r="BY64" i="15" s="1"/>
  <c r="BY65" i="15"/>
  <c r="BZ65" i="15" s="1"/>
  <c r="BZ39" i="15" s="1"/>
  <c r="CB442" i="15"/>
  <c r="BY67" i="15"/>
  <c r="BZ67" i="15" s="1"/>
  <c r="BY76" i="15"/>
  <c r="BZ76" i="15" s="1"/>
  <c r="AW339" i="15"/>
  <c r="AW358" i="15" s="1"/>
  <c r="AW371" i="15" s="1"/>
  <c r="AW251" i="15"/>
  <c r="AW318" i="15" s="1"/>
  <c r="AW327" i="15" s="1"/>
  <c r="AW199" i="15"/>
  <c r="AW198" i="15"/>
  <c r="D1006" i="17"/>
  <c r="C1007" i="17"/>
  <c r="D1007" i="17" s="1"/>
  <c r="AT291" i="15"/>
  <c r="N266" i="15"/>
  <c r="AW279" i="15"/>
  <c r="AT285" i="15"/>
  <c r="AT275" i="15"/>
  <c r="AX276" i="15" s="1"/>
  <c r="N245" i="15"/>
  <c r="N312" i="15" s="1"/>
  <c r="AS219" i="15"/>
  <c r="AV7" i="15"/>
  <c r="AT65" i="15"/>
  <c r="AT299" i="15"/>
  <c r="AV387" i="15"/>
  <c r="AT74" i="15"/>
  <c r="AV397" i="15"/>
  <c r="AU299" i="15"/>
  <c r="AV75" i="15"/>
  <c r="AS300" i="15"/>
  <c r="N196" i="15"/>
  <c r="N257" i="15" s="1"/>
  <c r="N350" i="15"/>
  <c r="AV73" i="15"/>
  <c r="AV440" i="15"/>
  <c r="AV245" i="15"/>
  <c r="AV312" i="15" s="1"/>
  <c r="N179" i="15"/>
  <c r="N199" i="15" s="1"/>
  <c r="N192" i="15"/>
  <c r="N253" i="15" s="1"/>
  <c r="N348" i="15"/>
  <c r="N367" i="15" s="1"/>
  <c r="N172" i="15"/>
  <c r="N204" i="15" s="1"/>
  <c r="AU241" i="15"/>
  <c r="AU308" i="15" s="1"/>
  <c r="AU348" i="15"/>
  <c r="AU367" i="15" s="1"/>
  <c r="AU291" i="15"/>
  <c r="BV424" i="15"/>
  <c r="AU292" i="15"/>
  <c r="AS388" i="15"/>
  <c r="AT296" i="15"/>
  <c r="AT303" i="15"/>
  <c r="AT281" i="15"/>
  <c r="AX282" i="15" s="1"/>
  <c r="AT288" i="15"/>
  <c r="AT292" i="15"/>
  <c r="AT294" i="15"/>
  <c r="AT287" i="15"/>
  <c r="AU234" i="15"/>
  <c r="AU232" i="15"/>
  <c r="K1079" i="17"/>
  <c r="L1079" i="17" s="1"/>
  <c r="AT301" i="15"/>
  <c r="AU224" i="15"/>
  <c r="AU293" i="15"/>
  <c r="BV404" i="15"/>
  <c r="AS398" i="15"/>
  <c r="AS399" i="15" s="1"/>
  <c r="BV426" i="15"/>
  <c r="AS441" i="15"/>
  <c r="AS442" i="15" s="1"/>
  <c r="AT293" i="15"/>
  <c r="AU303" i="15"/>
  <c r="AS275" i="15"/>
  <c r="AS211" i="15"/>
  <c r="AS223" i="15"/>
  <c r="N262" i="15"/>
  <c r="AS64" i="15"/>
  <c r="AS70" i="15" s="1"/>
  <c r="AT242" i="15"/>
  <c r="AT309" i="15" s="1"/>
  <c r="AU294" i="15"/>
  <c r="AU225" i="15"/>
  <c r="AU285" i="15"/>
  <c r="AU301" i="15"/>
  <c r="AT34" i="15"/>
  <c r="K1081" i="17"/>
  <c r="AT173" i="15"/>
  <c r="AU297" i="15"/>
  <c r="AS231" i="15"/>
  <c r="AU281" i="15"/>
  <c r="AY282" i="15" s="1"/>
  <c r="AU288" i="15"/>
  <c r="AU221" i="15"/>
  <c r="AU226" i="15"/>
  <c r="AU236" i="15"/>
  <c r="AU287" i="15"/>
  <c r="AU229" i="15"/>
  <c r="AU296" i="15"/>
  <c r="C1048" i="17"/>
  <c r="F1041" i="17"/>
  <c r="AT167" i="15"/>
  <c r="AS39" i="15"/>
  <c r="BX39" i="15"/>
  <c r="AT56" i="15"/>
  <c r="BX44" i="15"/>
  <c r="BY56" i="15"/>
  <c r="BY44" i="15" s="1"/>
  <c r="BY40" i="15" s="1"/>
  <c r="AT76" i="15"/>
  <c r="AT61" i="15"/>
  <c r="C1126" i="17"/>
  <c r="D1126" i="17" s="1"/>
  <c r="C1098" i="17"/>
  <c r="C1100" i="17" s="1"/>
  <c r="C1107" i="17" s="1"/>
  <c r="D1094" i="17"/>
  <c r="F1098" i="17"/>
  <c r="BY408" i="15"/>
  <c r="BY36" i="15"/>
  <c r="BY22" i="15"/>
  <c r="BY24" i="15" s="1"/>
  <c r="BY37" i="15"/>
  <c r="AS10" i="15"/>
  <c r="AS11" i="15" s="1"/>
  <c r="AS44" i="15"/>
  <c r="AS28" i="15"/>
  <c r="AS29" i="15"/>
  <c r="AS30" i="15"/>
  <c r="AS298" i="15"/>
  <c r="AS31" i="15"/>
  <c r="AS35" i="15"/>
  <c r="BV448" i="15"/>
  <c r="AT36" i="15"/>
  <c r="AT22" i="15"/>
  <c r="AT24" i="15" s="1"/>
  <c r="AT37" i="15"/>
  <c r="K1134" i="17"/>
  <c r="AS345" i="15"/>
  <c r="AS364" i="15" s="1"/>
  <c r="C1156" i="17"/>
  <c r="C1157" i="17" s="1"/>
  <c r="C1164" i="17" s="1"/>
  <c r="C1183" i="17"/>
  <c r="D1183" i="17" s="1"/>
  <c r="AS168" i="15"/>
  <c r="F1155" i="17"/>
  <c r="C1159" i="17"/>
  <c r="AS183" i="15"/>
  <c r="AS239" i="15"/>
  <c r="AS306" i="15" s="1"/>
  <c r="AS159" i="15"/>
  <c r="BX64" i="15"/>
  <c r="BX400" i="15"/>
  <c r="BX20" i="15"/>
  <c r="BX32" i="15"/>
  <c r="BX43" i="15"/>
  <c r="CA43" i="15" s="1"/>
  <c r="BX443" i="15"/>
  <c r="BV405" i="15"/>
  <c r="BX11" i="15"/>
  <c r="BV427" i="15"/>
  <c r="BV449" i="15"/>
  <c r="BV403" i="15"/>
  <c r="BV10" i="15"/>
  <c r="BV11" i="15" s="1"/>
  <c r="BV446" i="15"/>
  <c r="AS218" i="15"/>
  <c r="AS286" i="15"/>
  <c r="AS290" i="15"/>
  <c r="BV425" i="15"/>
  <c r="AS233" i="15"/>
  <c r="BV406" i="15"/>
  <c r="CA55" i="15"/>
  <c r="BV30" i="15"/>
  <c r="BV31" i="15"/>
  <c r="BV29" i="15"/>
  <c r="BV52" i="15"/>
  <c r="BV451" i="15" s="1"/>
  <c r="BV35" i="15"/>
  <c r="BV28" i="15"/>
  <c r="BV447" i="15"/>
  <c r="L181" i="15"/>
  <c r="L182" i="15"/>
  <c r="F1206" i="17"/>
  <c r="F1205" i="17"/>
  <c r="F1204" i="17"/>
  <c r="F1203" i="17"/>
  <c r="F1202" i="17"/>
  <c r="F1191" i="17"/>
  <c r="AQ451" i="15"/>
  <c r="AQ449" i="15"/>
  <c r="AQ448" i="15"/>
  <c r="AQ447" i="15"/>
  <c r="AQ446" i="15"/>
  <c r="AQ445" i="15"/>
  <c r="AQ440" i="15"/>
  <c r="AQ439" i="15"/>
  <c r="AQ437" i="15"/>
  <c r="AQ435" i="15"/>
  <c r="AQ433" i="15"/>
  <c r="AQ431" i="15"/>
  <c r="AQ427" i="15"/>
  <c r="AQ426" i="15"/>
  <c r="AQ425" i="15"/>
  <c r="AQ424" i="15"/>
  <c r="AQ423" i="15"/>
  <c r="AQ420" i="15"/>
  <c r="AQ418" i="15"/>
  <c r="AQ416" i="15"/>
  <c r="AQ414" i="15"/>
  <c r="AQ412" i="15"/>
  <c r="AQ406" i="15"/>
  <c r="AQ405" i="15"/>
  <c r="AQ404" i="15"/>
  <c r="AQ403" i="15"/>
  <c r="AQ402" i="15"/>
  <c r="AQ397" i="15"/>
  <c r="AQ392" i="15"/>
  <c r="AQ387" i="15"/>
  <c r="AQ386" i="15"/>
  <c r="AQ384" i="15"/>
  <c r="AQ382" i="15"/>
  <c r="AQ380" i="15"/>
  <c r="AQ378" i="15"/>
  <c r="AQ355" i="15"/>
  <c r="AQ345" i="15"/>
  <c r="AQ336" i="15"/>
  <c r="AQ273" i="15"/>
  <c r="AQ272" i="15"/>
  <c r="AQ271" i="15"/>
  <c r="AQ239" i="15"/>
  <c r="AQ214" i="15"/>
  <c r="AU215" i="15" s="1"/>
  <c r="AQ211" i="15"/>
  <c r="AU212" i="15" s="1"/>
  <c r="AQ209" i="15"/>
  <c r="AQ208" i="15"/>
  <c r="AQ190" i="15"/>
  <c r="AQ168" i="15"/>
  <c r="AQ346" i="15" s="1"/>
  <c r="AQ158" i="15"/>
  <c r="AQ159" i="15" s="1"/>
  <c r="AQ106" i="15"/>
  <c r="AQ99" i="15"/>
  <c r="AQ87" i="15"/>
  <c r="AQ60" i="15"/>
  <c r="AQ218" i="15" s="1"/>
  <c r="AQ59" i="15"/>
  <c r="AQ42" i="15"/>
  <c r="AQ35" i="15"/>
  <c r="AQ33" i="15"/>
  <c r="AQ31" i="15"/>
  <c r="AQ30" i="15"/>
  <c r="AQ29" i="15"/>
  <c r="AQ28" i="15"/>
  <c r="AS33" i="15"/>
  <c r="AQ10" i="15"/>
  <c r="AQ16" i="15" s="1"/>
  <c r="AQ8" i="15"/>
  <c r="C1214" i="17"/>
  <c r="K1193" i="17" s="1"/>
  <c r="C1212" i="17"/>
  <c r="C1209" i="17"/>
  <c r="F1209" i="17" s="1"/>
  <c r="C1207" i="17"/>
  <c r="C1196" i="17"/>
  <c r="C1195" i="17"/>
  <c r="C1198" i="17"/>
  <c r="C1192" i="17"/>
  <c r="C1193" i="17"/>
  <c r="C1194" i="17"/>
  <c r="L440" i="15"/>
  <c r="L397" i="15"/>
  <c r="L387" i="15"/>
  <c r="L176" i="15"/>
  <c r="C1189" i="17" s="1"/>
  <c r="L115" i="15"/>
  <c r="L114" i="15"/>
  <c r="L101" i="15"/>
  <c r="L76" i="15"/>
  <c r="L74" i="15"/>
  <c r="L67" i="15"/>
  <c r="L65" i="15"/>
  <c r="L61" i="15"/>
  <c r="L56" i="15"/>
  <c r="L8" i="15"/>
  <c r="L449" i="15"/>
  <c r="L448" i="15"/>
  <c r="L447" i="15"/>
  <c r="L446" i="15"/>
  <c r="L445" i="15"/>
  <c r="L439" i="15"/>
  <c r="L437" i="15"/>
  <c r="L435" i="15"/>
  <c r="L433" i="15"/>
  <c r="L431" i="15"/>
  <c r="L427" i="15"/>
  <c r="L426" i="15"/>
  <c r="L425" i="15"/>
  <c r="L424" i="15"/>
  <c r="L423" i="15"/>
  <c r="L420" i="15"/>
  <c r="L418" i="15"/>
  <c r="L416" i="15"/>
  <c r="L414" i="15"/>
  <c r="L412" i="15"/>
  <c r="L406" i="15"/>
  <c r="L405" i="15"/>
  <c r="L404" i="15"/>
  <c r="L403" i="15"/>
  <c r="L402" i="15"/>
  <c r="L392" i="15"/>
  <c r="L386" i="15"/>
  <c r="L384" i="15"/>
  <c r="L382" i="15"/>
  <c r="L380" i="15"/>
  <c r="L378" i="15"/>
  <c r="L355" i="15"/>
  <c r="L345" i="15"/>
  <c r="L336" i="15"/>
  <c r="L273" i="15"/>
  <c r="L272" i="15"/>
  <c r="L271" i="15"/>
  <c r="L267" i="15"/>
  <c r="L268" i="15" s="1"/>
  <c r="L239" i="15"/>
  <c r="L236" i="15"/>
  <c r="L234" i="15"/>
  <c r="L232" i="15"/>
  <c r="L229" i="15"/>
  <c r="L227" i="15"/>
  <c r="L226" i="15"/>
  <c r="L224" i="15"/>
  <c r="L221" i="15"/>
  <c r="L220" i="15"/>
  <c r="L218" i="15"/>
  <c r="L214" i="15"/>
  <c r="L211" i="15"/>
  <c r="L208" i="15"/>
  <c r="L190" i="15"/>
  <c r="L158" i="15"/>
  <c r="L106" i="15"/>
  <c r="L99" i="15"/>
  <c r="L94" i="15"/>
  <c r="L342" i="15" s="1"/>
  <c r="L92" i="15"/>
  <c r="L251" i="15" s="1"/>
  <c r="L91" i="15"/>
  <c r="L250" i="15" s="1"/>
  <c r="L88" i="15"/>
  <c r="L337" i="15" s="1"/>
  <c r="L87" i="15"/>
  <c r="L60" i="15"/>
  <c r="L59" i="15"/>
  <c r="L53" i="15"/>
  <c r="L93" i="15" s="1"/>
  <c r="L341" i="15" s="1"/>
  <c r="L52" i="15"/>
  <c r="L451" i="15" s="1"/>
  <c r="L51" i="15"/>
  <c r="L42" i="15"/>
  <c r="L35" i="15"/>
  <c r="L33" i="15"/>
  <c r="L31" i="15"/>
  <c r="L30" i="15"/>
  <c r="L29" i="15"/>
  <c r="L28" i="15"/>
  <c r="L10" i="15"/>
  <c r="L11" i="15" s="1"/>
  <c r="AR451" i="15"/>
  <c r="AR445" i="15"/>
  <c r="AR431" i="15"/>
  <c r="AR423" i="15"/>
  <c r="AR412" i="15"/>
  <c r="AR402" i="15"/>
  <c r="AR392" i="15"/>
  <c r="AR378" i="15"/>
  <c r="AR355" i="15"/>
  <c r="AR336" i="15"/>
  <c r="AR273" i="15"/>
  <c r="AR272" i="15"/>
  <c r="AR271" i="15"/>
  <c r="AR267" i="15"/>
  <c r="AR209" i="15"/>
  <c r="AR208" i="15"/>
  <c r="AR190" i="15"/>
  <c r="AR99" i="15"/>
  <c r="AR59" i="15"/>
  <c r="AR42" i="15"/>
  <c r="AQ267" i="15"/>
  <c r="AQ268" i="15" s="1"/>
  <c r="G1098" i="17" l="1"/>
  <c r="G1100" i="17" s="1"/>
  <c r="C1114" i="17"/>
  <c r="H1186" i="17"/>
  <c r="D1205" i="17" s="1"/>
  <c r="AR268" i="15"/>
  <c r="BY70" i="15"/>
  <c r="BY78" i="15" s="1"/>
  <c r="BX70" i="15"/>
  <c r="BX78" i="15" s="1"/>
  <c r="P329" i="15"/>
  <c r="P330" i="15"/>
  <c r="BF93" i="15"/>
  <c r="BF341" i="15" s="1"/>
  <c r="BF360" i="15" s="1"/>
  <c r="BG53" i="15"/>
  <c r="L64" i="15"/>
  <c r="L70" i="15" s="1"/>
  <c r="S235" i="15"/>
  <c r="O298" i="15"/>
  <c r="O290" i="15"/>
  <c r="O303" i="15"/>
  <c r="O286" i="15"/>
  <c r="O299" i="15"/>
  <c r="O291" i="15"/>
  <c r="O287" i="15"/>
  <c r="O300" i="15"/>
  <c r="O292" i="15"/>
  <c r="O281" i="15"/>
  <c r="P282" i="15" s="1"/>
  <c r="O317" i="15"/>
  <c r="O294" i="15"/>
  <c r="O356" i="15"/>
  <c r="O288" i="15"/>
  <c r="O275" i="15"/>
  <c r="P276" i="15" s="1"/>
  <c r="O296" i="15"/>
  <c r="O293" i="15"/>
  <c r="O361" i="15"/>
  <c r="O301" i="15"/>
  <c r="O297" i="15"/>
  <c r="O289" i="15"/>
  <c r="O358" i="15"/>
  <c r="O285" i="15"/>
  <c r="O318" i="15"/>
  <c r="O357" i="15"/>
  <c r="O277" i="15"/>
  <c r="P278" i="15" s="1"/>
  <c r="O360" i="15"/>
  <c r="O362" i="15"/>
  <c r="P327" i="15"/>
  <c r="P326" i="15"/>
  <c r="P279" i="15"/>
  <c r="P283" i="15"/>
  <c r="P371" i="15"/>
  <c r="P372" i="15"/>
  <c r="P359" i="15"/>
  <c r="P369" i="15"/>
  <c r="P370" i="15"/>
  <c r="P324" i="15"/>
  <c r="P321" i="15"/>
  <c r="P320" i="15"/>
  <c r="P323" i="15"/>
  <c r="AY327" i="15"/>
  <c r="AY353" i="15"/>
  <c r="AX260" i="15"/>
  <c r="AT369" i="15"/>
  <c r="AY372" i="15"/>
  <c r="AY260" i="15"/>
  <c r="AX250" i="15"/>
  <c r="AX338" i="15"/>
  <c r="AX357" i="15" s="1"/>
  <c r="AX192" i="15"/>
  <c r="AX253" i="15" s="1"/>
  <c r="AX193" i="15"/>
  <c r="AX350" i="15" s="1"/>
  <c r="AX195" i="15"/>
  <c r="AX256" i="15" s="1"/>
  <c r="AX353" i="15"/>
  <c r="H798" i="17"/>
  <c r="H800" i="17"/>
  <c r="AV297" i="15"/>
  <c r="AY88" i="15"/>
  <c r="AY337" i="15" s="1"/>
  <c r="AY356" i="15" s="1"/>
  <c r="AT408" i="15"/>
  <c r="M773" i="17"/>
  <c r="M775" i="17"/>
  <c r="M259" i="15"/>
  <c r="AX94" i="15"/>
  <c r="AX342" i="15" s="1"/>
  <c r="AX361" i="15" s="1"/>
  <c r="AY94" i="15"/>
  <c r="AY250" i="15"/>
  <c r="AY338" i="15"/>
  <c r="AY193" i="15"/>
  <c r="AY192" i="15"/>
  <c r="AY196" i="15"/>
  <c r="AY257" i="15" s="1"/>
  <c r="AY195" i="15"/>
  <c r="AY256" i="15" s="1"/>
  <c r="AX88" i="15"/>
  <c r="H861" i="17"/>
  <c r="H863" i="17"/>
  <c r="AS389" i="15"/>
  <c r="M836" i="17"/>
  <c r="M838" i="17"/>
  <c r="AU283" i="15"/>
  <c r="AV347" i="15"/>
  <c r="AV366" i="15" s="1"/>
  <c r="BX390" i="15"/>
  <c r="BX408" i="15" s="1"/>
  <c r="CC389" i="15"/>
  <c r="AV52" i="15"/>
  <c r="AV451" i="15" s="1"/>
  <c r="AX327" i="15"/>
  <c r="AX326" i="15"/>
  <c r="AW94" i="15"/>
  <c r="AW342" i="15" s="1"/>
  <c r="AW361" i="15" s="1"/>
  <c r="AX371" i="15"/>
  <c r="AX372" i="15"/>
  <c r="AU178" i="15"/>
  <c r="AU198" i="15" s="1"/>
  <c r="AT179" i="15"/>
  <c r="AT248" i="15" s="1"/>
  <c r="AT315" i="15" s="1"/>
  <c r="AT196" i="15"/>
  <c r="AT257" i="15" s="1"/>
  <c r="AU370" i="15"/>
  <c r="AU244" i="15"/>
  <c r="AU311" i="15" s="1"/>
  <c r="AU248" i="15"/>
  <c r="AU315" i="15" s="1"/>
  <c r="AT350" i="15"/>
  <c r="AT254" i="15"/>
  <c r="AU204" i="15"/>
  <c r="AT172" i="15"/>
  <c r="AT195" i="15" s="1"/>
  <c r="AT256" i="15" s="1"/>
  <c r="AT192" i="15"/>
  <c r="C1046" i="17"/>
  <c r="AS167" i="15"/>
  <c r="AS192" i="15" s="1"/>
  <c r="AS193" i="15"/>
  <c r="AU188" i="15"/>
  <c r="AU253" i="15"/>
  <c r="AU351" i="15"/>
  <c r="AW250" i="15"/>
  <c r="AW338" i="15"/>
  <c r="AW193" i="15"/>
  <c r="AW196" i="15"/>
  <c r="AW257" i="15" s="1"/>
  <c r="AW192" i="15"/>
  <c r="AW195" i="15"/>
  <c r="AW256" i="15" s="1"/>
  <c r="AV250" i="15"/>
  <c r="AV338" i="15"/>
  <c r="AV193" i="15"/>
  <c r="AV8" i="15"/>
  <c r="AV110" i="15"/>
  <c r="AV196" i="15"/>
  <c r="AV257" i="15" s="1"/>
  <c r="AW372" i="15"/>
  <c r="AU74" i="15"/>
  <c r="AU298" i="15" s="1"/>
  <c r="BZ61" i="15"/>
  <c r="BZ64" i="15" s="1"/>
  <c r="AT39" i="15"/>
  <c r="M899" i="17"/>
  <c r="M901" i="17"/>
  <c r="BY39" i="15"/>
  <c r="AW88" i="15"/>
  <c r="AW337" i="15" s="1"/>
  <c r="AW356" i="15" s="1"/>
  <c r="H921" i="17"/>
  <c r="H923" i="17"/>
  <c r="AT286" i="15"/>
  <c r="AT283" i="15"/>
  <c r="AS222" i="15"/>
  <c r="AS228" i="15" s="1"/>
  <c r="AS235" i="15" s="1"/>
  <c r="AU65" i="15"/>
  <c r="CA79" i="15"/>
  <c r="CA76" i="15"/>
  <c r="CA65" i="15"/>
  <c r="AW326" i="15"/>
  <c r="BX40" i="15"/>
  <c r="CA67" i="15"/>
  <c r="CB389" i="15"/>
  <c r="N248" i="15"/>
  <c r="N315" i="15" s="1"/>
  <c r="CA388" i="15"/>
  <c r="CF389" i="15" s="1"/>
  <c r="CA441" i="15"/>
  <c r="CF442" i="15" s="1"/>
  <c r="CA398" i="15"/>
  <c r="CF399" i="15" s="1"/>
  <c r="AQ388" i="15"/>
  <c r="AT290" i="15"/>
  <c r="AQ398" i="15"/>
  <c r="AQ400" i="15" s="1"/>
  <c r="AS216" i="15"/>
  <c r="AW212" i="15"/>
  <c r="AW352" i="15"/>
  <c r="AW260" i="15"/>
  <c r="AS283" i="15"/>
  <c r="AW276" i="15"/>
  <c r="N212" i="15"/>
  <c r="M212" i="15"/>
  <c r="N215" i="15"/>
  <c r="M215" i="15"/>
  <c r="AQ441" i="15"/>
  <c r="AQ443" i="15" s="1"/>
  <c r="AS443" i="15"/>
  <c r="AW353" i="15"/>
  <c r="AW259" i="15"/>
  <c r="AT223" i="15"/>
  <c r="N195" i="15"/>
  <c r="N256" i="15" s="1"/>
  <c r="AS40" i="15"/>
  <c r="AS390" i="15"/>
  <c r="AV388" i="15"/>
  <c r="N347" i="15"/>
  <c r="N366" i="15" s="1"/>
  <c r="N244" i="15"/>
  <c r="N311" i="15" s="1"/>
  <c r="N188" i="15"/>
  <c r="N178" i="15"/>
  <c r="N349" i="15" s="1"/>
  <c r="N368" i="15" s="1"/>
  <c r="N351" i="15"/>
  <c r="AV441" i="15"/>
  <c r="AS400" i="15"/>
  <c r="AV398" i="15"/>
  <c r="AS173" i="15"/>
  <c r="AV229" i="15"/>
  <c r="AV296" i="15"/>
  <c r="AV299" i="15"/>
  <c r="AV232" i="15"/>
  <c r="AV293" i="15"/>
  <c r="AV226" i="15"/>
  <c r="AV301" i="15"/>
  <c r="AV234" i="15"/>
  <c r="AV303" i="15"/>
  <c r="AV236" i="15"/>
  <c r="AV291" i="15"/>
  <c r="AV224" i="15"/>
  <c r="AS346" i="15"/>
  <c r="AS365" i="15" s="1"/>
  <c r="AS369" i="15" s="1"/>
  <c r="AS242" i="15"/>
  <c r="AS309" i="15" s="1"/>
  <c r="AT245" i="15"/>
  <c r="AT312" i="15" s="1"/>
  <c r="N352" i="15"/>
  <c r="N260" i="15"/>
  <c r="BZ56" i="15"/>
  <c r="BZ44" i="15" s="1"/>
  <c r="CA44" i="15" s="1"/>
  <c r="AS16" i="15"/>
  <c r="AS32" i="15" s="1"/>
  <c r="AS289" i="15"/>
  <c r="AT187" i="15"/>
  <c r="AT44" i="15"/>
  <c r="AU56" i="15"/>
  <c r="L306" i="15"/>
  <c r="AT88" i="15"/>
  <c r="AT107" i="15" s="1"/>
  <c r="AU88" i="15"/>
  <c r="F975" i="17"/>
  <c r="G975" i="17" s="1"/>
  <c r="F965" i="17"/>
  <c r="G965" i="17" s="1"/>
  <c r="L225" i="15"/>
  <c r="AS34" i="15"/>
  <c r="C995" i="17"/>
  <c r="K960" i="17"/>
  <c r="L960" i="17" s="1"/>
  <c r="F981" i="17"/>
  <c r="G981" i="17" s="1"/>
  <c r="AT64" i="15"/>
  <c r="AT70" i="15" s="1"/>
  <c r="AU61" i="15"/>
  <c r="AU251" i="15"/>
  <c r="C1044" i="17"/>
  <c r="C1049" i="17" s="1"/>
  <c r="AU339" i="15"/>
  <c r="AU199" i="15"/>
  <c r="AT300" i="15"/>
  <c r="AU76" i="15"/>
  <c r="F976" i="17"/>
  <c r="G976" i="17" s="1"/>
  <c r="C1102" i="17"/>
  <c r="AT241" i="15"/>
  <c r="AT308" i="15" s="1"/>
  <c r="BX45" i="15"/>
  <c r="AT348" i="15"/>
  <c r="AT367" i="15" s="1"/>
  <c r="AT370" i="15" s="1"/>
  <c r="AT219" i="15"/>
  <c r="AT222" i="15" s="1"/>
  <c r="AT233" i="15"/>
  <c r="L44" i="15"/>
  <c r="BV16" i="15"/>
  <c r="BV32" i="15" s="1"/>
  <c r="BY45" i="15"/>
  <c r="CC46" i="15" s="1"/>
  <c r="F1100" i="17"/>
  <c r="C1160" i="17"/>
  <c r="E1155" i="17" s="1"/>
  <c r="AT298" i="15"/>
  <c r="AT231" i="15"/>
  <c r="L231" i="15"/>
  <c r="L233" i="15"/>
  <c r="L219" i="15"/>
  <c r="L222" i="15" s="1"/>
  <c r="AS88" i="15"/>
  <c r="AS337" i="15" s="1"/>
  <c r="AS340" i="15" s="1"/>
  <c r="AR8" i="15"/>
  <c r="L388" i="15"/>
  <c r="C1170" i="17"/>
  <c r="K1135" i="17"/>
  <c r="L1135" i="17" s="1"/>
  <c r="F1156" i="17"/>
  <c r="L223" i="15"/>
  <c r="L398" i="15"/>
  <c r="M399" i="15" s="1"/>
  <c r="L441" i="15"/>
  <c r="M442" i="15" s="1"/>
  <c r="L1134" i="17"/>
  <c r="K1138" i="17"/>
  <c r="L364" i="15"/>
  <c r="AQ216" i="15"/>
  <c r="BX37" i="15"/>
  <c r="BX36" i="15"/>
  <c r="BX22" i="15"/>
  <c r="BX24" i="15" s="1"/>
  <c r="AR266" i="15"/>
  <c r="L159" i="15"/>
  <c r="K1190" i="17"/>
  <c r="D1189" i="17"/>
  <c r="G1209" i="17"/>
  <c r="G1191" i="17"/>
  <c r="D1236" i="17"/>
  <c r="D1203" i="17"/>
  <c r="C1232" i="17"/>
  <c r="AR168" i="15"/>
  <c r="AR173" i="15" s="1"/>
  <c r="AR187" i="15" s="1"/>
  <c r="AQ306" i="15"/>
  <c r="AQ365" i="15"/>
  <c r="D1198" i="17"/>
  <c r="AQ34" i="15"/>
  <c r="AQ364" i="15"/>
  <c r="F1196" i="17"/>
  <c r="G1196" i="17" s="1"/>
  <c r="D1196" i="17"/>
  <c r="F1212" i="17"/>
  <c r="G1212" i="17" s="1"/>
  <c r="K1191" i="17"/>
  <c r="C1226" i="17"/>
  <c r="D1226" i="17" s="1"/>
  <c r="F1207" i="17"/>
  <c r="G1207" i="17" s="1"/>
  <c r="F1194" i="17"/>
  <c r="D1194" i="17"/>
  <c r="F1192" i="17"/>
  <c r="G1192" i="17" s="1"/>
  <c r="D1192" i="17"/>
  <c r="F1193" i="17"/>
  <c r="G1193" i="17" s="1"/>
  <c r="AQ167" i="15"/>
  <c r="AQ348" i="15" s="1"/>
  <c r="AQ367" i="15" s="1"/>
  <c r="C1225" i="17"/>
  <c r="D1225" i="17" s="1"/>
  <c r="C1199" i="17"/>
  <c r="D1206" i="17"/>
  <c r="D1202" i="17"/>
  <c r="G1206" i="17"/>
  <c r="C1210" i="17"/>
  <c r="D1235" i="17"/>
  <c r="C1208" i="17"/>
  <c r="D1201" i="17"/>
  <c r="G1205" i="17"/>
  <c r="G1201" i="17"/>
  <c r="D1238" i="17"/>
  <c r="D1234" i="17"/>
  <c r="L55" i="15"/>
  <c r="AQ173" i="15"/>
  <c r="D1204" i="17"/>
  <c r="G1204" i="17"/>
  <c r="D1237" i="17"/>
  <c r="D1233" i="17"/>
  <c r="F1198" i="17"/>
  <c r="G1198" i="17" s="1"/>
  <c r="F1195" i="17"/>
  <c r="G1195" i="17" s="1"/>
  <c r="C1239" i="17"/>
  <c r="D1239" i="17" s="1"/>
  <c r="F1189" i="17"/>
  <c r="G1189" i="17" s="1"/>
  <c r="AQ20" i="15"/>
  <c r="AQ43" i="15"/>
  <c r="AQ32" i="15"/>
  <c r="AQ11" i="15"/>
  <c r="AQ242" i="15"/>
  <c r="AQ309" i="15" s="1"/>
  <c r="L168" i="15"/>
  <c r="L34" i="15" s="1"/>
  <c r="L39" i="15"/>
  <c r="L16" i="15"/>
  <c r="L32" i="15" s="1"/>
  <c r="L216" i="15"/>
  <c r="L107" i="15"/>
  <c r="L183" i="15"/>
  <c r="L338" i="15"/>
  <c r="L339" i="15"/>
  <c r="L96" i="15"/>
  <c r="L343" i="15" s="1"/>
  <c r="L202" i="15"/>
  <c r="AR106" i="15"/>
  <c r="AR158" i="15"/>
  <c r="AR159" i="15" s="1"/>
  <c r="AR183" i="15"/>
  <c r="K1262" i="17"/>
  <c r="C1304" i="17"/>
  <c r="C1286" i="17"/>
  <c r="K1265" i="17" s="1"/>
  <c r="C1347" i="17"/>
  <c r="C1284" i="17"/>
  <c r="C1298" i="17" s="1"/>
  <c r="C1345" i="17"/>
  <c r="C1282" i="17"/>
  <c r="C1343" i="17"/>
  <c r="C1281" i="17"/>
  <c r="F1281" i="17" s="1"/>
  <c r="C1342" i="17"/>
  <c r="C1280" i="17"/>
  <c r="F1280" i="17" s="1"/>
  <c r="C1279" i="17"/>
  <c r="F1279" i="17" s="1"/>
  <c r="C1340" i="17"/>
  <c r="C1271" i="17"/>
  <c r="F1271" i="17" s="1"/>
  <c r="C1270" i="17"/>
  <c r="F1270" i="17" s="1"/>
  <c r="C1332" i="17"/>
  <c r="C1331" i="17"/>
  <c r="C1268" i="17"/>
  <c r="F1268" i="17" s="1"/>
  <c r="C1267" i="17"/>
  <c r="F1267" i="17" s="1"/>
  <c r="C1266" i="17"/>
  <c r="C1329" i="17"/>
  <c r="C1328" i="17"/>
  <c r="C1327" i="17"/>
  <c r="C1265" i="17"/>
  <c r="C1326" i="17"/>
  <c r="C1264" i="17"/>
  <c r="F1264" i="17" s="1"/>
  <c r="C1325" i="17"/>
  <c r="F1278" i="17"/>
  <c r="F1277" i="17"/>
  <c r="F1276" i="17"/>
  <c r="F1275" i="17"/>
  <c r="F1274" i="17"/>
  <c r="F1263" i="17"/>
  <c r="BU397" i="15"/>
  <c r="BU387" i="15"/>
  <c r="BU440" i="15"/>
  <c r="AQ181" i="15"/>
  <c r="AQ183" i="15" s="1"/>
  <c r="AQ176" i="15"/>
  <c r="AQ101" i="15"/>
  <c r="L1193" i="17" l="1"/>
  <c r="D1207" i="17"/>
  <c r="G1203" i="17"/>
  <c r="G1202" i="17"/>
  <c r="D1193" i="17"/>
  <c r="L1191" i="17"/>
  <c r="D1195" i="17"/>
  <c r="D1191" i="17"/>
  <c r="G1194" i="17"/>
  <c r="D1232" i="17"/>
  <c r="D1240" i="17" s="1"/>
  <c r="L1190" i="17"/>
  <c r="BX80" i="15"/>
  <c r="BX81" i="15" s="1"/>
  <c r="BZ70" i="15"/>
  <c r="BZ78" i="15" s="1"/>
  <c r="BG93" i="15"/>
  <c r="BG341" i="15" s="1"/>
  <c r="BG360" i="15" s="1"/>
  <c r="BH53" i="15"/>
  <c r="O329" i="15"/>
  <c r="O330" i="15"/>
  <c r="O371" i="15"/>
  <c r="O372" i="15"/>
  <c r="O327" i="15"/>
  <c r="O326" i="15"/>
  <c r="L390" i="15"/>
  <c r="O279" i="15"/>
  <c r="O321" i="15"/>
  <c r="O320" i="15"/>
  <c r="O324" i="15"/>
  <c r="O323" i="15"/>
  <c r="O283" i="15"/>
  <c r="O359" i="15"/>
  <c r="O370" i="15"/>
  <c r="O369" i="15"/>
  <c r="AX351" i="15"/>
  <c r="AX254" i="15"/>
  <c r="AX202" i="15"/>
  <c r="AY107" i="15"/>
  <c r="C1105" i="17"/>
  <c r="AY342" i="15"/>
  <c r="AY361" i="15" s="1"/>
  <c r="AY202" i="15"/>
  <c r="AY351" i="15"/>
  <c r="AY253" i="15"/>
  <c r="AY254" i="15"/>
  <c r="AY350" i="15"/>
  <c r="AY357" i="15"/>
  <c r="AY340" i="15"/>
  <c r="AW202" i="15"/>
  <c r="AW263" i="15" s="1"/>
  <c r="AV399" i="15"/>
  <c r="AU39" i="15"/>
  <c r="AV61" i="15"/>
  <c r="AV442" i="15"/>
  <c r="AT188" i="15"/>
  <c r="AT289" i="15"/>
  <c r="AV389" i="15"/>
  <c r="AV76" i="15"/>
  <c r="AV74" i="15"/>
  <c r="AS172" i="15"/>
  <c r="AS195" i="15" s="1"/>
  <c r="AS256" i="15" s="1"/>
  <c r="AU231" i="15"/>
  <c r="AT204" i="15"/>
  <c r="AU349" i="15"/>
  <c r="AU368" i="15" s="1"/>
  <c r="AS241" i="15"/>
  <c r="AS308" i="15" s="1"/>
  <c r="AU247" i="15"/>
  <c r="AU314" i="15" s="1"/>
  <c r="AS348" i="15"/>
  <c r="AS367" i="15" s="1"/>
  <c r="AS370" i="15" s="1"/>
  <c r="AX370" i="15"/>
  <c r="AX369" i="15"/>
  <c r="AX337" i="15"/>
  <c r="AX107" i="15"/>
  <c r="AV65" i="15"/>
  <c r="AW351" i="15"/>
  <c r="AW253" i="15"/>
  <c r="AT347" i="15"/>
  <c r="AT366" i="15" s="1"/>
  <c r="AT228" i="15"/>
  <c r="AT235" i="15" s="1"/>
  <c r="AV254" i="15"/>
  <c r="AV350" i="15"/>
  <c r="AW254" i="15"/>
  <c r="AW350" i="15"/>
  <c r="AT178" i="15"/>
  <c r="AT247" i="15" s="1"/>
  <c r="AT314" i="15" s="1"/>
  <c r="BX49" i="15"/>
  <c r="AV357" i="15"/>
  <c r="AW340" i="15"/>
  <c r="AW357" i="15"/>
  <c r="AS350" i="15"/>
  <c r="AS254" i="15"/>
  <c r="AS179" i="15"/>
  <c r="C1162" i="17" s="1"/>
  <c r="AS196" i="15"/>
  <c r="AS257" i="15" s="1"/>
  <c r="BV20" i="15"/>
  <c r="BV36" i="15" s="1"/>
  <c r="AT244" i="15"/>
  <c r="AT311" i="15" s="1"/>
  <c r="BY49" i="15"/>
  <c r="AU290" i="15"/>
  <c r="AU223" i="15"/>
  <c r="CA61" i="15"/>
  <c r="CA64" i="15" s="1"/>
  <c r="CA70" i="15" s="1"/>
  <c r="AS253" i="15"/>
  <c r="AS351" i="15"/>
  <c r="CA443" i="15"/>
  <c r="AT253" i="15"/>
  <c r="AT351" i="15"/>
  <c r="AW107" i="15"/>
  <c r="AS408" i="15"/>
  <c r="BX47" i="15"/>
  <c r="CB46" i="15"/>
  <c r="N247" i="15"/>
  <c r="N314" i="15" s="1"/>
  <c r="CA56" i="15"/>
  <c r="CA390" i="15"/>
  <c r="CA39" i="15"/>
  <c r="AQ390" i="15"/>
  <c r="AQ408" i="15" s="1"/>
  <c r="AR245" i="15"/>
  <c r="AR312" i="15" s="1"/>
  <c r="AS187" i="15"/>
  <c r="N198" i="15"/>
  <c r="N353" i="15" s="1"/>
  <c r="AV56" i="15"/>
  <c r="AQ172" i="15"/>
  <c r="AQ204" i="15" s="1"/>
  <c r="D995" i="17"/>
  <c r="D996" i="17" s="1"/>
  <c r="C996" i="17"/>
  <c r="AS245" i="15"/>
  <c r="AS312" i="15" s="1"/>
  <c r="AR346" i="15"/>
  <c r="AR365" i="15" s="1"/>
  <c r="AT45" i="15"/>
  <c r="AT49" i="15" s="1"/>
  <c r="AT337" i="15"/>
  <c r="AT340" i="15" s="1"/>
  <c r="AS43" i="15"/>
  <c r="AS45" i="15" s="1"/>
  <c r="L400" i="15"/>
  <c r="N399" i="15"/>
  <c r="AT40" i="15"/>
  <c r="AS20" i="15"/>
  <c r="AS37" i="15" s="1"/>
  <c r="L443" i="15"/>
  <c r="N442" i="15"/>
  <c r="AU44" i="15"/>
  <c r="L228" i="15"/>
  <c r="L235" i="15" s="1"/>
  <c r="K961" i="17"/>
  <c r="L961" i="17" s="1"/>
  <c r="AU358" i="15"/>
  <c r="AU371" i="15" s="1"/>
  <c r="AU260" i="15"/>
  <c r="AU352" i="15"/>
  <c r="AS251" i="15"/>
  <c r="AU318" i="15"/>
  <c r="AU327" i="15" s="1"/>
  <c r="AS107" i="15"/>
  <c r="K1023" i="17"/>
  <c r="F1044" i="17"/>
  <c r="E1039" i="17"/>
  <c r="E1041" i="17"/>
  <c r="AU337" i="15"/>
  <c r="AU107" i="15"/>
  <c r="AU219" i="15"/>
  <c r="AU222" i="15" s="1"/>
  <c r="AU64" i="15"/>
  <c r="AU70" i="15" s="1"/>
  <c r="AU286" i="15"/>
  <c r="BZ40" i="15"/>
  <c r="BZ45" i="15"/>
  <c r="CD46" i="15" s="1"/>
  <c r="AU233" i="15"/>
  <c r="AU300" i="15"/>
  <c r="AU259" i="15"/>
  <c r="AU353" i="15"/>
  <c r="AQ241" i="15"/>
  <c r="AQ308" i="15" s="1"/>
  <c r="L40" i="15"/>
  <c r="BY47" i="15"/>
  <c r="AT199" i="15"/>
  <c r="AT260" i="15" s="1"/>
  <c r="C1103" i="17"/>
  <c r="AS339" i="15"/>
  <c r="F1160" i="17"/>
  <c r="H1155" i="17" s="1"/>
  <c r="E1157" i="17"/>
  <c r="C1165" i="17"/>
  <c r="K1139" i="17"/>
  <c r="M1134" i="17" s="1"/>
  <c r="AT251" i="15"/>
  <c r="AT339" i="15"/>
  <c r="K1136" i="17"/>
  <c r="AR242" i="15"/>
  <c r="AR309" i="15" s="1"/>
  <c r="L242" i="15"/>
  <c r="L309" i="15" s="1"/>
  <c r="AR179" i="15"/>
  <c r="AR347" i="15" s="1"/>
  <c r="AR366" i="15" s="1"/>
  <c r="G1156" i="17"/>
  <c r="F1157" i="17"/>
  <c r="D1170" i="17"/>
  <c r="D1171" i="17" s="1"/>
  <c r="C1171" i="17"/>
  <c r="G1155" i="17"/>
  <c r="D1227" i="17"/>
  <c r="C1227" i="17"/>
  <c r="L173" i="15"/>
  <c r="L196" i="15" s="1"/>
  <c r="L257" i="15" s="1"/>
  <c r="K1194" i="17"/>
  <c r="C1211" i="17"/>
  <c r="C1213" i="17" s="1"/>
  <c r="AQ179" i="15"/>
  <c r="AQ347" i="15" s="1"/>
  <c r="AQ366" i="15" s="1"/>
  <c r="L346" i="15"/>
  <c r="L365" i="15" s="1"/>
  <c r="D1199" i="17"/>
  <c r="F1199" i="17"/>
  <c r="G1199" i="17" s="1"/>
  <c r="AQ245" i="15"/>
  <c r="AQ312" i="15" s="1"/>
  <c r="AQ187" i="15"/>
  <c r="L193" i="15"/>
  <c r="L350" i="15" s="1"/>
  <c r="L167" i="15"/>
  <c r="L192" i="15" s="1"/>
  <c r="K1192" i="17"/>
  <c r="L1192" i="17" s="1"/>
  <c r="F1208" i="17"/>
  <c r="G1208" i="17" s="1"/>
  <c r="D1208" i="17"/>
  <c r="C1240" i="17"/>
  <c r="AQ37" i="15"/>
  <c r="AQ22" i="15"/>
  <c r="AQ24" i="15" s="1"/>
  <c r="AQ36" i="15"/>
  <c r="L78" i="15"/>
  <c r="L80" i="15" s="1"/>
  <c r="L97" i="15"/>
  <c r="L344" i="15" s="1"/>
  <c r="L43" i="15"/>
  <c r="L45" i="15" s="1"/>
  <c r="M46" i="15" s="1"/>
  <c r="L20" i="15"/>
  <c r="L36" i="15" s="1"/>
  <c r="L89" i="15"/>
  <c r="L263" i="15"/>
  <c r="L201" i="15"/>
  <c r="L340" i="15"/>
  <c r="K1263" i="17"/>
  <c r="K1264" i="17" s="1"/>
  <c r="C1261" i="17"/>
  <c r="F1261" i="17" s="1"/>
  <c r="H1258" i="17"/>
  <c r="F1265" i="17"/>
  <c r="F1284" i="17"/>
  <c r="F1266" i="17"/>
  <c r="K1266" i="17"/>
  <c r="BT62" i="15"/>
  <c r="BH93" i="15" l="1"/>
  <c r="BH341" i="15" s="1"/>
  <c r="BH360" i="15" s="1"/>
  <c r="BI53" i="15"/>
  <c r="BI93" i="15" s="1"/>
  <c r="BI341" i="15" s="1"/>
  <c r="BI360" i="15" s="1"/>
  <c r="BY80" i="15"/>
  <c r="BY81" i="15" s="1"/>
  <c r="L408" i="15"/>
  <c r="AX263" i="15"/>
  <c r="AW96" i="15"/>
  <c r="AW201" i="15" s="1"/>
  <c r="AW262" i="15" s="1"/>
  <c r="AV298" i="15"/>
  <c r="AS204" i="15"/>
  <c r="AS188" i="15"/>
  <c r="AS244" i="15"/>
  <c r="AS311" i="15" s="1"/>
  <c r="AY263" i="15"/>
  <c r="AX96" i="15"/>
  <c r="AX201" i="15" s="1"/>
  <c r="AY96" i="15"/>
  <c r="AY359" i="15"/>
  <c r="AY369" i="15"/>
  <c r="AY370" i="15"/>
  <c r="AS178" i="15"/>
  <c r="AS198" i="15" s="1"/>
  <c r="AV231" i="15"/>
  <c r="CA78" i="15"/>
  <c r="BV37" i="15"/>
  <c r="BV22" i="15"/>
  <c r="BV24" i="15" s="1"/>
  <c r="AU228" i="15"/>
  <c r="AU235" i="15" s="1"/>
  <c r="AS248" i="15"/>
  <c r="AS315" i="15" s="1"/>
  <c r="AX356" i="15"/>
  <c r="AX359" i="15" s="1"/>
  <c r="AX340" i="15"/>
  <c r="AT198" i="15"/>
  <c r="AT353" i="15" s="1"/>
  <c r="AS199" i="15"/>
  <c r="AS260" i="15" s="1"/>
  <c r="AT349" i="15"/>
  <c r="AT368" i="15" s="1"/>
  <c r="AS347" i="15"/>
  <c r="AS366" i="15" s="1"/>
  <c r="BZ49" i="15"/>
  <c r="AV369" i="15"/>
  <c r="AS49" i="15"/>
  <c r="AU356" i="15"/>
  <c r="AU359" i="15" s="1"/>
  <c r="AU340" i="15"/>
  <c r="AW359" i="15"/>
  <c r="AW369" i="15"/>
  <c r="AW370" i="15"/>
  <c r="AQ178" i="15"/>
  <c r="AQ349" i="15" s="1"/>
  <c r="AQ368" i="15" s="1"/>
  <c r="AQ244" i="15"/>
  <c r="AQ311" i="15" s="1"/>
  <c r="N259" i="15"/>
  <c r="CA10" i="15"/>
  <c r="CA8" i="15"/>
  <c r="CA451" i="15"/>
  <c r="CA29" i="15"/>
  <c r="CA30" i="15"/>
  <c r="CA31" i="15"/>
  <c r="CA35" i="15"/>
  <c r="CA28" i="15"/>
  <c r="AS277" i="15"/>
  <c r="AW278" i="15" s="1"/>
  <c r="AT46" i="15"/>
  <c r="AT47" i="15"/>
  <c r="AT277" i="15"/>
  <c r="AQ188" i="15"/>
  <c r="AV44" i="15"/>
  <c r="AR248" i="15"/>
  <c r="AR315" i="15" s="1"/>
  <c r="AS22" i="15"/>
  <c r="AS24" i="15" s="1"/>
  <c r="AS47" i="15"/>
  <c r="AS36" i="15"/>
  <c r="AU372" i="15"/>
  <c r="L90" i="15"/>
  <c r="N46" i="15"/>
  <c r="AU326" i="15"/>
  <c r="AT352" i="15"/>
  <c r="H1039" i="17"/>
  <c r="H1041" i="17"/>
  <c r="F968" i="17"/>
  <c r="G968" i="17" s="1"/>
  <c r="M1018" i="17"/>
  <c r="M1020" i="17"/>
  <c r="BZ47" i="15"/>
  <c r="AU40" i="15"/>
  <c r="AU45" i="15"/>
  <c r="AU289" i="15"/>
  <c r="H1157" i="17"/>
  <c r="K1082" i="17"/>
  <c r="F1103" i="17"/>
  <c r="E1098" i="17"/>
  <c r="C1108" i="17"/>
  <c r="E1100" i="17"/>
  <c r="L245" i="15"/>
  <c r="L312" i="15" s="1"/>
  <c r="G1157" i="17"/>
  <c r="L1136" i="17"/>
  <c r="M1136" i="17"/>
  <c r="L85" i="15"/>
  <c r="C1215" i="17"/>
  <c r="C1218" i="17"/>
  <c r="L187" i="15"/>
  <c r="L179" i="15"/>
  <c r="L199" i="15" s="1"/>
  <c r="L241" i="15"/>
  <c r="L308" i="15" s="1"/>
  <c r="AQ248" i="15"/>
  <c r="AQ315" i="15" s="1"/>
  <c r="BU62" i="15"/>
  <c r="BV62" i="15" s="1"/>
  <c r="L81" i="15"/>
  <c r="G1211" i="17"/>
  <c r="G1213" i="17" s="1"/>
  <c r="L172" i="15"/>
  <c r="L178" i="15" s="1"/>
  <c r="G1276" i="17"/>
  <c r="D1209" i="17"/>
  <c r="L348" i="15"/>
  <c r="L367" i="15" s="1"/>
  <c r="L254" i="15"/>
  <c r="F1211" i="17"/>
  <c r="F1213" i="17" s="1"/>
  <c r="C1220" i="17"/>
  <c r="C1283" i="17"/>
  <c r="C1287" i="17" s="1"/>
  <c r="C1311" i="17"/>
  <c r="D1311" i="17" s="1"/>
  <c r="D1279" i="17"/>
  <c r="L49" i="15"/>
  <c r="L22" i="15"/>
  <c r="L24" i="15" s="1"/>
  <c r="L95" i="15" s="1"/>
  <c r="L47" i="15"/>
  <c r="L37" i="15"/>
  <c r="L262" i="15"/>
  <c r="L237" i="15"/>
  <c r="L238" i="15" s="1"/>
  <c r="L253" i="15"/>
  <c r="L351" i="15"/>
  <c r="G1284" i="17"/>
  <c r="G1277" i="17"/>
  <c r="G1279" i="17"/>
  <c r="D1265" i="17"/>
  <c r="L1265" i="17"/>
  <c r="G1278" i="17"/>
  <c r="L1262" i="17"/>
  <c r="D1270" i="17"/>
  <c r="D1281" i="17"/>
  <c r="L1263" i="17"/>
  <c r="D1305" i="17"/>
  <c r="G1275" i="17"/>
  <c r="D1269" i="17"/>
  <c r="D1304" i="17"/>
  <c r="D1298" i="17"/>
  <c r="D1268" i="17"/>
  <c r="G1264" i="17"/>
  <c r="C1297" i="17"/>
  <c r="G1271" i="17"/>
  <c r="L1264" i="17"/>
  <c r="G1265" i="17"/>
  <c r="G1281" i="17"/>
  <c r="G1274" i="17"/>
  <c r="D1266" i="17"/>
  <c r="D1306" i="17"/>
  <c r="D1277" i="17"/>
  <c r="G1268" i="17"/>
  <c r="D1261" i="17"/>
  <c r="D1276" i="17"/>
  <c r="D1310" i="17"/>
  <c r="D1274" i="17"/>
  <c r="G1269" i="17"/>
  <c r="D1275" i="17"/>
  <c r="D1262" i="17"/>
  <c r="D1309" i="17"/>
  <c r="D1271" i="17"/>
  <c r="D1308" i="17"/>
  <c r="D1267" i="17"/>
  <c r="G1267" i="17"/>
  <c r="D1307" i="17"/>
  <c r="D1263" i="17"/>
  <c r="G1280" i="17"/>
  <c r="G1270" i="17"/>
  <c r="D1280" i="17"/>
  <c r="D1278" i="17"/>
  <c r="D1264" i="17"/>
  <c r="G1261" i="17"/>
  <c r="G1263" i="17"/>
  <c r="F1283" i="17"/>
  <c r="G1266" i="17"/>
  <c r="BU60" i="15"/>
  <c r="BU451" i="15"/>
  <c r="BU449" i="15"/>
  <c r="BU448" i="15"/>
  <c r="BU447" i="15"/>
  <c r="BU446" i="15"/>
  <c r="BU445" i="15"/>
  <c r="BU441" i="15"/>
  <c r="BU439" i="15"/>
  <c r="BU437" i="15"/>
  <c r="BU435" i="15"/>
  <c r="BU433" i="15"/>
  <c r="BU431" i="15"/>
  <c r="BU427" i="15"/>
  <c r="BU426" i="15"/>
  <c r="BU425" i="15"/>
  <c r="BU424" i="15"/>
  <c r="BU423" i="15"/>
  <c r="BU420" i="15"/>
  <c r="BU418" i="15"/>
  <c r="BU416" i="15"/>
  <c r="BU414" i="15"/>
  <c r="BU412" i="15"/>
  <c r="BU406" i="15"/>
  <c r="BU405" i="15"/>
  <c r="BU404" i="15"/>
  <c r="BU403" i="15"/>
  <c r="BU402" i="15"/>
  <c r="BU398" i="15"/>
  <c r="BU392" i="15"/>
  <c r="BU388" i="15"/>
  <c r="BU386" i="15"/>
  <c r="BU384" i="15"/>
  <c r="BU382" i="15"/>
  <c r="BU380" i="15"/>
  <c r="BU378" i="15"/>
  <c r="BU59" i="15"/>
  <c r="BU42" i="15"/>
  <c r="BU35" i="15"/>
  <c r="BU31" i="15"/>
  <c r="BU30" i="15"/>
  <c r="BU29" i="15"/>
  <c r="BU28" i="15"/>
  <c r="BU10" i="15"/>
  <c r="BU16" i="15" s="1"/>
  <c r="BU8" i="15"/>
  <c r="BZ80" i="15" l="1"/>
  <c r="BZ81" i="15" s="1"/>
  <c r="AX343" i="15"/>
  <c r="AX362" i="15" s="1"/>
  <c r="AW343" i="15"/>
  <c r="AW362" i="15" s="1"/>
  <c r="AS349" i="15"/>
  <c r="AS368" i="15" s="1"/>
  <c r="AS352" i="15"/>
  <c r="AS247" i="15"/>
  <c r="AS314" i="15" s="1"/>
  <c r="AY343" i="15"/>
  <c r="AY362" i="15" s="1"/>
  <c r="AY201" i="15"/>
  <c r="AT259" i="15"/>
  <c r="AQ247" i="15"/>
  <c r="AQ314" i="15" s="1"/>
  <c r="AT279" i="15"/>
  <c r="AX278" i="15"/>
  <c r="AU49" i="15"/>
  <c r="AX262" i="15"/>
  <c r="AS279" i="15"/>
  <c r="CA11" i="15"/>
  <c r="CA16" i="15"/>
  <c r="CA400" i="15"/>
  <c r="CA408" i="15" s="1"/>
  <c r="CA40" i="15"/>
  <c r="AU47" i="15"/>
  <c r="AU277" i="15"/>
  <c r="AY278" i="15" s="1"/>
  <c r="AU46" i="15"/>
  <c r="L204" i="15"/>
  <c r="L188" i="15"/>
  <c r="L195" i="15"/>
  <c r="L256" i="15" s="1"/>
  <c r="H1098" i="17"/>
  <c r="H1100" i="17"/>
  <c r="M1077" i="17"/>
  <c r="M1079" i="17"/>
  <c r="L248" i="15"/>
  <c r="L315" i="15" s="1"/>
  <c r="L347" i="15"/>
  <c r="L366" i="15" s="1"/>
  <c r="L244" i="15"/>
  <c r="L311" i="15" s="1"/>
  <c r="AS353" i="15"/>
  <c r="AS259" i="15"/>
  <c r="C1285" i="17"/>
  <c r="C1292" i="17" s="1"/>
  <c r="C1312" i="17"/>
  <c r="C1314" i="17" s="1"/>
  <c r="L247" i="15"/>
  <c r="L314" i="15" s="1"/>
  <c r="L349" i="15"/>
  <c r="L368" i="15" s="1"/>
  <c r="L198" i="15"/>
  <c r="L352" i="15"/>
  <c r="L260" i="15"/>
  <c r="C1299" i="17"/>
  <c r="D1297" i="17"/>
  <c r="D1299" i="17" s="1"/>
  <c r="F1285" i="17"/>
  <c r="BU390" i="15"/>
  <c r="BU443" i="15"/>
  <c r="BU32" i="15"/>
  <c r="BU43" i="15"/>
  <c r="BU20" i="15"/>
  <c r="BU11" i="15"/>
  <c r="BU400" i="15"/>
  <c r="CA80" i="15" l="1"/>
  <c r="AY262" i="15"/>
  <c r="CA45" i="15"/>
  <c r="CE46" i="15" s="1"/>
  <c r="CA32" i="15"/>
  <c r="CA20" i="15"/>
  <c r="F978" i="17"/>
  <c r="G978" i="17" s="1"/>
  <c r="AU279" i="15"/>
  <c r="L353" i="15"/>
  <c r="L259" i="15"/>
  <c r="BU408" i="15"/>
  <c r="BU22" i="15"/>
  <c r="BU24" i="15" s="1"/>
  <c r="BU37" i="15"/>
  <c r="BU36" i="15"/>
  <c r="AP267" i="15"/>
  <c r="BT79" i="15"/>
  <c r="BT75" i="15"/>
  <c r="BT74" i="15"/>
  <c r="BT73" i="15"/>
  <c r="BT72" i="15"/>
  <c r="BT68" i="15"/>
  <c r="BT66" i="15"/>
  <c r="BT63" i="15"/>
  <c r="BT60" i="15"/>
  <c r="AP33" i="15"/>
  <c r="AO8" i="15"/>
  <c r="AP8" i="15"/>
  <c r="BT8" i="15"/>
  <c r="BT380" i="15"/>
  <c r="BT382" i="15"/>
  <c r="BT384" i="15"/>
  <c r="BT386" i="15"/>
  <c r="BT439" i="15"/>
  <c r="BT437" i="15"/>
  <c r="BT435" i="15"/>
  <c r="BT433" i="15"/>
  <c r="BT420" i="15"/>
  <c r="BT418" i="15"/>
  <c r="BT416" i="15"/>
  <c r="BT414" i="15"/>
  <c r="C1341" i="17"/>
  <c r="AP440" i="15"/>
  <c r="BT440" i="15"/>
  <c r="BT441" i="15" s="1"/>
  <c r="BZ442" i="15" s="1"/>
  <c r="AP397" i="15"/>
  <c r="BT397" i="15"/>
  <c r="AP387" i="15"/>
  <c r="BT387" i="15"/>
  <c r="AP181" i="15"/>
  <c r="AP115" i="15"/>
  <c r="AP114" i="15"/>
  <c r="C1365" i="17" s="1"/>
  <c r="AP176" i="15"/>
  <c r="AP101" i="15"/>
  <c r="AP79" i="15"/>
  <c r="AQ79" i="15" s="1"/>
  <c r="AR79" i="15" s="1"/>
  <c r="AP77" i="15"/>
  <c r="AQ77" i="15" s="1"/>
  <c r="AR77" i="15" s="1"/>
  <c r="AP74" i="15"/>
  <c r="AQ74" i="15" s="1"/>
  <c r="AR74" i="15" s="1"/>
  <c r="AP72" i="15"/>
  <c r="AP69" i="15"/>
  <c r="AQ69" i="15" s="1"/>
  <c r="AR69" i="15" s="1"/>
  <c r="AP68" i="15"/>
  <c r="AQ68" i="15" s="1"/>
  <c r="AR68" i="15" s="1"/>
  <c r="AP66" i="15"/>
  <c r="AQ66" i="15" s="1"/>
  <c r="AR66" i="15" s="1"/>
  <c r="AP63" i="15"/>
  <c r="AP62" i="15"/>
  <c r="AQ62" i="15" s="1"/>
  <c r="AR62" i="15" s="1"/>
  <c r="AP57" i="15"/>
  <c r="AQ57" i="15" s="1"/>
  <c r="AR57" i="15" s="1"/>
  <c r="BT451" i="15"/>
  <c r="BT449" i="15"/>
  <c r="BT448" i="15"/>
  <c r="BT447" i="15"/>
  <c r="BT446" i="15"/>
  <c r="BT445" i="15"/>
  <c r="BT431" i="15"/>
  <c r="BT427" i="15"/>
  <c r="BT426" i="15"/>
  <c r="BT425" i="15"/>
  <c r="BT424" i="15"/>
  <c r="BT423" i="15"/>
  <c r="BT412" i="15"/>
  <c r="BT406" i="15"/>
  <c r="BT405" i="15"/>
  <c r="BT404" i="15"/>
  <c r="BT403" i="15"/>
  <c r="BT402" i="15"/>
  <c r="BT392" i="15"/>
  <c r="BT378" i="15"/>
  <c r="BT59" i="15"/>
  <c r="BT57" i="15"/>
  <c r="BT42" i="15"/>
  <c r="BT35" i="15"/>
  <c r="BT31" i="15"/>
  <c r="BT30" i="15"/>
  <c r="BT29" i="15"/>
  <c r="BT28" i="15"/>
  <c r="BT10" i="15"/>
  <c r="BT16" i="15" s="1"/>
  <c r="BT43" i="15" s="1"/>
  <c r="K1326" i="17"/>
  <c r="K1324" i="17"/>
  <c r="F1342" i="17"/>
  <c r="F1340" i="17"/>
  <c r="F1331" i="17"/>
  <c r="F1328" i="17"/>
  <c r="F1327" i="17"/>
  <c r="F1325" i="17"/>
  <c r="F1339" i="17"/>
  <c r="F1338" i="17"/>
  <c r="F1337" i="17"/>
  <c r="F1336" i="17"/>
  <c r="F1335" i="17"/>
  <c r="F1324" i="17"/>
  <c r="AP451" i="15"/>
  <c r="AP449" i="15"/>
  <c r="AP448" i="15"/>
  <c r="AP447" i="15"/>
  <c r="AP446" i="15"/>
  <c r="AP445" i="15"/>
  <c r="AP439" i="15"/>
  <c r="AP437" i="15"/>
  <c r="AP435" i="15"/>
  <c r="AP433" i="15"/>
  <c r="AP431" i="15"/>
  <c r="AP427" i="15"/>
  <c r="AP426" i="15"/>
  <c r="AP425" i="15"/>
  <c r="AP424" i="15"/>
  <c r="AP423" i="15"/>
  <c r="AP420" i="15"/>
  <c r="AP418" i="15"/>
  <c r="AP416" i="15"/>
  <c r="AP414" i="15"/>
  <c r="AP412" i="15"/>
  <c r="AP406" i="15"/>
  <c r="AP405" i="15"/>
  <c r="AP404" i="15"/>
  <c r="AP403" i="15"/>
  <c r="AP402" i="15"/>
  <c r="AP392" i="15"/>
  <c r="AP386" i="15"/>
  <c r="AP384" i="15"/>
  <c r="AP382" i="15"/>
  <c r="AP380" i="15"/>
  <c r="AP378" i="15"/>
  <c r="AP355" i="15"/>
  <c r="AP345" i="15"/>
  <c r="AP336" i="15"/>
  <c r="AP273" i="15"/>
  <c r="AP272" i="15"/>
  <c r="AP271" i="15"/>
  <c r="AP239" i="15"/>
  <c r="AP214" i="15"/>
  <c r="AT215" i="15" s="1"/>
  <c r="AP211" i="15"/>
  <c r="AT212" i="15" s="1"/>
  <c r="AP209" i="15"/>
  <c r="AP208" i="15"/>
  <c r="AP190" i="15"/>
  <c r="AP158" i="15"/>
  <c r="AP106" i="15"/>
  <c r="AP99" i="15"/>
  <c r="AP87" i="15"/>
  <c r="AP75" i="15"/>
  <c r="AQ75" i="15" s="1"/>
  <c r="AR75" i="15" s="1"/>
  <c r="AP73" i="15"/>
  <c r="AR73" i="15" s="1"/>
  <c r="AP60" i="15"/>
  <c r="AP218" i="15" s="1"/>
  <c r="AP59" i="15"/>
  <c r="AP42" i="15"/>
  <c r="AP35" i="15"/>
  <c r="AP31" i="15"/>
  <c r="AP30" i="15"/>
  <c r="AP29" i="15"/>
  <c r="AP28" i="15"/>
  <c r="AP10" i="15"/>
  <c r="AP11" i="15" s="1"/>
  <c r="C1405" i="17"/>
  <c r="K1385" i="17" s="1"/>
  <c r="C1403" i="17"/>
  <c r="K1383" i="17" s="1"/>
  <c r="C1401" i="17"/>
  <c r="C1400" i="17"/>
  <c r="F1400" i="17" s="1"/>
  <c r="C1399" i="17"/>
  <c r="F1399" i="17" s="1"/>
  <c r="C1391" i="17"/>
  <c r="F1391" i="17" s="1"/>
  <c r="C1390" i="17"/>
  <c r="C1388" i="17"/>
  <c r="F1388" i="17" s="1"/>
  <c r="C1387" i="17"/>
  <c r="F1387" i="17" s="1"/>
  <c r="C1386" i="17"/>
  <c r="F1386" i="17" s="1"/>
  <c r="C1385" i="17"/>
  <c r="C1384" i="17"/>
  <c r="F1384" i="17" s="1"/>
  <c r="H1378" i="17"/>
  <c r="D1397" i="17" s="1"/>
  <c r="F1398" i="17"/>
  <c r="F1397" i="17"/>
  <c r="F1396" i="17"/>
  <c r="F1395" i="17"/>
  <c r="F1394" i="17"/>
  <c r="F1383" i="17"/>
  <c r="BS440" i="15"/>
  <c r="BS441" i="15" s="1"/>
  <c r="BY442" i="15" s="1"/>
  <c r="BS397" i="15"/>
  <c r="BS398" i="15" s="1"/>
  <c r="BS387" i="15"/>
  <c r="BS388" i="15" s="1"/>
  <c r="BS77" i="15"/>
  <c r="BS76" i="15"/>
  <c r="BT76" i="15" s="1"/>
  <c r="BS69" i="15"/>
  <c r="BS67" i="15"/>
  <c r="BT67" i="15" s="1"/>
  <c r="BS65" i="15"/>
  <c r="BS61" i="15"/>
  <c r="BS56" i="15"/>
  <c r="BT56" i="15" s="1"/>
  <c r="BS10" i="15"/>
  <c r="BS11" i="15" s="1"/>
  <c r="BS8" i="15"/>
  <c r="BS451" i="15"/>
  <c r="BS449" i="15"/>
  <c r="BS448" i="15"/>
  <c r="BS447" i="15"/>
  <c r="BS446" i="15"/>
  <c r="BS445" i="15"/>
  <c r="BS439" i="15"/>
  <c r="BS437" i="15"/>
  <c r="BS435" i="15"/>
  <c r="BS433" i="15"/>
  <c r="BS431" i="15"/>
  <c r="BS427" i="15"/>
  <c r="BS426" i="15"/>
  <c r="BS425" i="15"/>
  <c r="BS424" i="15"/>
  <c r="BS423" i="15"/>
  <c r="BS420" i="15"/>
  <c r="BS418" i="15"/>
  <c r="BS416" i="15"/>
  <c r="BS414" i="15"/>
  <c r="BS412" i="15"/>
  <c r="BS406" i="15"/>
  <c r="BS405" i="15"/>
  <c r="BS404" i="15"/>
  <c r="BS403" i="15"/>
  <c r="BS402" i="15"/>
  <c r="BS392" i="15"/>
  <c r="BS386" i="15"/>
  <c r="BS384" i="15"/>
  <c r="BS382" i="15"/>
  <c r="BS380" i="15"/>
  <c r="BS378" i="15"/>
  <c r="BS60" i="15"/>
  <c r="BS59" i="15"/>
  <c r="BS42" i="15"/>
  <c r="BS35" i="15"/>
  <c r="BS31" i="15"/>
  <c r="BS30" i="15"/>
  <c r="BS29" i="15"/>
  <c r="BS28" i="15"/>
  <c r="AO440" i="15"/>
  <c r="AK8" i="15"/>
  <c r="AK10" i="15"/>
  <c r="AK56" i="15"/>
  <c r="AK60" i="15"/>
  <c r="AK218" i="15" s="1"/>
  <c r="AK61" i="15"/>
  <c r="AK65" i="15"/>
  <c r="AK67" i="15"/>
  <c r="AK74" i="15"/>
  <c r="AL74" i="15" s="1"/>
  <c r="AK76" i="15"/>
  <c r="AK101" i="15"/>
  <c r="AO397" i="15"/>
  <c r="AO387" i="15"/>
  <c r="AO182" i="15"/>
  <c r="AO181" i="15"/>
  <c r="AO176" i="15"/>
  <c r="C1381" i="17" s="1"/>
  <c r="AO114" i="15"/>
  <c r="AO115" i="15"/>
  <c r="AO101" i="15"/>
  <c r="AO76" i="15"/>
  <c r="AO233" i="15" s="1"/>
  <c r="AO67" i="15"/>
  <c r="AP67" i="15" s="1"/>
  <c r="AQ67" i="15" s="1"/>
  <c r="AR67" i="15" s="1"/>
  <c r="AO65" i="15"/>
  <c r="AP65" i="15" s="1"/>
  <c r="AO61" i="15"/>
  <c r="AO286" i="15" s="1"/>
  <c r="AO56" i="15"/>
  <c r="AO44" i="15" s="1"/>
  <c r="AO40" i="15" s="1"/>
  <c r="AO451" i="15"/>
  <c r="AO449" i="15"/>
  <c r="AO448" i="15"/>
  <c r="AO447" i="15"/>
  <c r="AO446" i="15"/>
  <c r="AO445" i="15"/>
  <c r="AO439" i="15"/>
  <c r="AO437" i="15"/>
  <c r="AO435" i="15"/>
  <c r="AO433" i="15"/>
  <c r="AO431" i="15"/>
  <c r="AO427" i="15"/>
  <c r="AO426" i="15"/>
  <c r="AO425" i="15"/>
  <c r="AO424" i="15"/>
  <c r="AO423" i="15"/>
  <c r="AO420" i="15"/>
  <c r="AO418" i="15"/>
  <c r="AO416" i="15"/>
  <c r="AO414" i="15"/>
  <c r="AO412" i="15"/>
  <c r="AO406" i="15"/>
  <c r="AO405" i="15"/>
  <c r="AO404" i="15"/>
  <c r="AO403" i="15"/>
  <c r="AO402" i="15"/>
  <c r="AO392" i="15"/>
  <c r="AO386" i="15"/>
  <c r="AO384" i="15"/>
  <c r="AO382" i="15"/>
  <c r="AO380" i="15"/>
  <c r="AO378" i="15"/>
  <c r="AO355" i="15"/>
  <c r="AO345" i="15"/>
  <c r="AO364" i="15" s="1"/>
  <c r="AO336" i="15"/>
  <c r="AO301" i="15"/>
  <c r="AO298" i="15"/>
  <c r="AO281" i="15"/>
  <c r="AS282" i="15" s="1"/>
  <c r="AO273" i="15"/>
  <c r="AO272" i="15"/>
  <c r="AO271" i="15"/>
  <c r="AO239" i="15"/>
  <c r="AO306" i="15" s="1"/>
  <c r="AO236" i="15"/>
  <c r="AO234" i="15"/>
  <c r="AO232" i="15"/>
  <c r="AO229" i="15"/>
  <c r="AO227" i="15"/>
  <c r="AO226" i="15"/>
  <c r="AO224" i="15"/>
  <c r="AO221" i="15"/>
  <c r="AO220" i="15"/>
  <c r="AO214" i="15"/>
  <c r="AS215" i="15" s="1"/>
  <c r="AO211" i="15"/>
  <c r="AS212" i="15" s="1"/>
  <c r="AO209" i="15"/>
  <c r="AO208" i="15"/>
  <c r="AO190" i="15"/>
  <c r="AO158" i="15"/>
  <c r="AO106" i="15"/>
  <c r="AO99" i="15"/>
  <c r="AO87" i="15"/>
  <c r="AO231" i="15"/>
  <c r="AO60" i="15"/>
  <c r="AO218" i="15" s="1"/>
  <c r="AO59" i="15"/>
  <c r="AO42" i="15"/>
  <c r="AO35" i="15"/>
  <c r="AO31" i="15"/>
  <c r="AO30" i="15"/>
  <c r="AO29" i="15"/>
  <c r="AO28" i="15"/>
  <c r="AO10" i="15"/>
  <c r="AO16" i="15" s="1"/>
  <c r="AN7" i="15"/>
  <c r="AQ88" i="15" s="1"/>
  <c r="Y7" i="15"/>
  <c r="Y110" i="15" s="1"/>
  <c r="X7" i="15"/>
  <c r="X8" i="15" s="1"/>
  <c r="AF7" i="15"/>
  <c r="AF88" i="15" s="1"/>
  <c r="AF337" i="15" s="1"/>
  <c r="AF356" i="15" s="1"/>
  <c r="AJ7" i="15"/>
  <c r="AJ211" i="15" s="1"/>
  <c r="BN7" i="15"/>
  <c r="BR7" i="15"/>
  <c r="BV8" i="15" s="1"/>
  <c r="C8" i="15"/>
  <c r="C389" i="15" s="1"/>
  <c r="D8" i="15"/>
  <c r="E8" i="15"/>
  <c r="F8" i="15"/>
  <c r="G8" i="15"/>
  <c r="H8" i="15"/>
  <c r="I8" i="15"/>
  <c r="J8" i="15"/>
  <c r="K8" i="15"/>
  <c r="U8" i="15"/>
  <c r="U212" i="15" s="1"/>
  <c r="V8" i="15"/>
  <c r="V212" i="15" s="1"/>
  <c r="W8" i="15"/>
  <c r="W212" i="15" s="1"/>
  <c r="Z8" i="15"/>
  <c r="AA8" i="15"/>
  <c r="AD8" i="15"/>
  <c r="AE8" i="15"/>
  <c r="AG8" i="15"/>
  <c r="AH8" i="15"/>
  <c r="AI8" i="15"/>
  <c r="AL8" i="15"/>
  <c r="AM8" i="15"/>
  <c r="BL8" i="15"/>
  <c r="BM8" i="15"/>
  <c r="BO8" i="15"/>
  <c r="BP8" i="15"/>
  <c r="AN9" i="15"/>
  <c r="X9" i="15"/>
  <c r="Y9" i="15"/>
  <c r="AF9" i="15"/>
  <c r="AJ9" i="15"/>
  <c r="BN9" i="15"/>
  <c r="BR9" i="15"/>
  <c r="C10" i="15"/>
  <c r="C11" i="15" s="1"/>
  <c r="D10" i="15"/>
  <c r="D16" i="15" s="1"/>
  <c r="D32" i="15" s="1"/>
  <c r="E10" i="15"/>
  <c r="E16" i="15" s="1"/>
  <c r="E89" i="15" s="1"/>
  <c r="X89" i="15" s="1"/>
  <c r="F10" i="15"/>
  <c r="F16" i="15" s="1"/>
  <c r="G10" i="15"/>
  <c r="G11" i="15" s="1"/>
  <c r="H10" i="15"/>
  <c r="I10" i="15"/>
  <c r="I11" i="15" s="1"/>
  <c r="J10" i="15"/>
  <c r="K10" i="15"/>
  <c r="K11" i="15" s="1"/>
  <c r="U10" i="15"/>
  <c r="U16" i="15" s="1"/>
  <c r="U32" i="15" s="1"/>
  <c r="V10" i="15"/>
  <c r="V16" i="15" s="1"/>
  <c r="V32" i="15" s="1"/>
  <c r="W10" i="15"/>
  <c r="W11" i="15" s="1"/>
  <c r="Z10" i="15"/>
  <c r="Z16" i="15" s="1"/>
  <c r="AA10" i="15"/>
  <c r="AA11" i="15" s="1"/>
  <c r="AC10" i="15"/>
  <c r="AC11" i="15" s="1"/>
  <c r="AD10" i="15"/>
  <c r="AD16" i="15" s="1"/>
  <c r="AD32" i="15" s="1"/>
  <c r="AE10" i="15"/>
  <c r="AE11" i="15" s="1"/>
  <c r="AG10" i="15"/>
  <c r="AH10" i="15"/>
  <c r="AH16" i="15" s="1"/>
  <c r="AH43" i="15" s="1"/>
  <c r="AI10" i="15"/>
  <c r="AI11" i="15" s="1"/>
  <c r="AL10" i="15"/>
  <c r="AL16" i="15" s="1"/>
  <c r="AM10" i="15"/>
  <c r="AM11" i="15" s="1"/>
  <c r="BK10" i="15"/>
  <c r="BL10" i="15"/>
  <c r="BL11" i="15" s="1"/>
  <c r="BM10" i="15"/>
  <c r="BM11" i="15" s="1"/>
  <c r="BO10" i="15"/>
  <c r="BO16" i="15" s="1"/>
  <c r="BP10" i="15"/>
  <c r="BP16" i="15" s="1"/>
  <c r="BP20" i="15" s="1"/>
  <c r="BP37" i="15" s="1"/>
  <c r="AN12" i="15"/>
  <c r="X12" i="15"/>
  <c r="Y12" i="15"/>
  <c r="AB12" i="15" s="1"/>
  <c r="AF12" i="15"/>
  <c r="AJ12" i="15"/>
  <c r="BN12" i="15"/>
  <c r="BR12" i="15"/>
  <c r="AN13" i="15"/>
  <c r="X13" i="15"/>
  <c r="Y13" i="15"/>
  <c r="AB13" i="15" s="1"/>
  <c r="AF13" i="15"/>
  <c r="AJ13" i="15"/>
  <c r="BN13" i="15"/>
  <c r="BR13" i="15"/>
  <c r="AN14" i="15"/>
  <c r="X14" i="15"/>
  <c r="Y14" i="15"/>
  <c r="AF14" i="15"/>
  <c r="AJ14" i="15"/>
  <c r="BN14" i="15"/>
  <c r="AN15" i="15"/>
  <c r="X15" i="15"/>
  <c r="Y15" i="15"/>
  <c r="AB15" i="15" s="1"/>
  <c r="AF15" i="15"/>
  <c r="AJ15" i="15"/>
  <c r="BN15" i="15"/>
  <c r="BR15" i="15"/>
  <c r="D17" i="15"/>
  <c r="D33" i="15" s="1"/>
  <c r="AN17" i="15"/>
  <c r="X17" i="15"/>
  <c r="Y17" i="15"/>
  <c r="AB17" i="15" s="1"/>
  <c r="AF17" i="15"/>
  <c r="AI33" i="15" s="1"/>
  <c r="AJ17" i="15"/>
  <c r="AK33" i="15" s="1"/>
  <c r="BN17" i="15"/>
  <c r="BR17" i="15"/>
  <c r="AN18" i="15"/>
  <c r="X18" i="15"/>
  <c r="Y18" i="15"/>
  <c r="AB18" i="15" s="1"/>
  <c r="AF18" i="15"/>
  <c r="AJ18" i="15"/>
  <c r="BN18" i="15"/>
  <c r="BR18" i="15"/>
  <c r="AN19" i="15"/>
  <c r="X19" i="15"/>
  <c r="Y19" i="15"/>
  <c r="AB19" i="15" s="1"/>
  <c r="AF19" i="15"/>
  <c r="AJ19" i="15"/>
  <c r="BN19" i="15"/>
  <c r="BR19" i="15"/>
  <c r="AN21" i="15"/>
  <c r="X21" i="15"/>
  <c r="Y21" i="15"/>
  <c r="AB21" i="15" s="1"/>
  <c r="AF21" i="15"/>
  <c r="AJ21" i="15"/>
  <c r="BN21" i="15"/>
  <c r="BR21" i="15"/>
  <c r="X23" i="15"/>
  <c r="AB23" i="15"/>
  <c r="AF23" i="15"/>
  <c r="AJ23" i="15"/>
  <c r="AN23" i="15"/>
  <c r="BN23" i="15"/>
  <c r="BR23" i="15"/>
  <c r="B28" i="15"/>
  <c r="C28" i="15"/>
  <c r="D28" i="15"/>
  <c r="E28" i="15"/>
  <c r="F28" i="15"/>
  <c r="G28" i="15"/>
  <c r="H28" i="15"/>
  <c r="I28" i="15"/>
  <c r="J28" i="15"/>
  <c r="K28" i="15"/>
  <c r="U28" i="15"/>
  <c r="V28" i="15"/>
  <c r="W28" i="15"/>
  <c r="Z28" i="15"/>
  <c r="AA28" i="15"/>
  <c r="AC28" i="15"/>
  <c r="AD28" i="15"/>
  <c r="AE28" i="15"/>
  <c r="AG28" i="15"/>
  <c r="AH28" i="15"/>
  <c r="AI28" i="15"/>
  <c r="AK28" i="15"/>
  <c r="AL28" i="15"/>
  <c r="AM28" i="15"/>
  <c r="BK28" i="15"/>
  <c r="BL28" i="15"/>
  <c r="BM28" i="15"/>
  <c r="BO28" i="15"/>
  <c r="BP28" i="15"/>
  <c r="C29" i="15"/>
  <c r="D29" i="15"/>
  <c r="E29" i="15"/>
  <c r="F29" i="15"/>
  <c r="G29" i="15"/>
  <c r="H29" i="15"/>
  <c r="I29" i="15"/>
  <c r="J29" i="15"/>
  <c r="K29" i="15"/>
  <c r="U29" i="15"/>
  <c r="V29" i="15"/>
  <c r="W29" i="15"/>
  <c r="Z29" i="15"/>
  <c r="AA29" i="15"/>
  <c r="AC29" i="15"/>
  <c r="AD29" i="15"/>
  <c r="AE29" i="15"/>
  <c r="AG29" i="15"/>
  <c r="AH29" i="15"/>
  <c r="AI29" i="15"/>
  <c r="AK29" i="15"/>
  <c r="AL29" i="15"/>
  <c r="AM29" i="15"/>
  <c r="BK29" i="15"/>
  <c r="BL29" i="15"/>
  <c r="BM29" i="15"/>
  <c r="BO29" i="15"/>
  <c r="BP29" i="15"/>
  <c r="C30" i="15"/>
  <c r="D30" i="15"/>
  <c r="E30" i="15"/>
  <c r="F30" i="15"/>
  <c r="G30" i="15"/>
  <c r="H30" i="15"/>
  <c r="I30" i="15"/>
  <c r="J30" i="15"/>
  <c r="K30" i="15"/>
  <c r="U30" i="15"/>
  <c r="V30" i="15"/>
  <c r="W30" i="15"/>
  <c r="Z30" i="15"/>
  <c r="AA30" i="15"/>
  <c r="AC30" i="15"/>
  <c r="AD30" i="15"/>
  <c r="AE30" i="15"/>
  <c r="AG30" i="15"/>
  <c r="AH30" i="15"/>
  <c r="AI30" i="15"/>
  <c r="AK30" i="15"/>
  <c r="AL30" i="15"/>
  <c r="AM30" i="15"/>
  <c r="BK30" i="15"/>
  <c r="BL30" i="15"/>
  <c r="BM30" i="15"/>
  <c r="BO30" i="15"/>
  <c r="BP30" i="15"/>
  <c r="B31" i="15"/>
  <c r="D31" i="15"/>
  <c r="E31" i="15"/>
  <c r="F31" i="15"/>
  <c r="G31" i="15"/>
  <c r="H31" i="15"/>
  <c r="I31" i="15"/>
  <c r="J31" i="15"/>
  <c r="K31" i="15"/>
  <c r="U31" i="15"/>
  <c r="V31" i="15"/>
  <c r="W31" i="15"/>
  <c r="Z31" i="15"/>
  <c r="AA31" i="15"/>
  <c r="AC31" i="15"/>
  <c r="AD31" i="15"/>
  <c r="AE31" i="15"/>
  <c r="AG31" i="15"/>
  <c r="AH31" i="15"/>
  <c r="AI31" i="15"/>
  <c r="AK31" i="15"/>
  <c r="AL31" i="15"/>
  <c r="AM31" i="15"/>
  <c r="BK31" i="15"/>
  <c r="BL31" i="15"/>
  <c r="BM31" i="15"/>
  <c r="BO31" i="15"/>
  <c r="BP31" i="15"/>
  <c r="B32" i="15"/>
  <c r="C33" i="15"/>
  <c r="E33" i="15"/>
  <c r="F33" i="15"/>
  <c r="G33" i="15"/>
  <c r="H33" i="15"/>
  <c r="I33" i="15"/>
  <c r="J33" i="15"/>
  <c r="K33" i="15"/>
  <c r="AN165" i="15"/>
  <c r="AN239" i="15" s="1"/>
  <c r="X165" i="15"/>
  <c r="X239" i="15" s="1"/>
  <c r="X306" i="15" s="1"/>
  <c r="AB165" i="15"/>
  <c r="AB239" i="15" s="1"/>
  <c r="AB306" i="15" s="1"/>
  <c r="AF165" i="15"/>
  <c r="AG33" i="15"/>
  <c r="AH33" i="15"/>
  <c r="AJ165" i="15"/>
  <c r="AJ345" i="15" s="1"/>
  <c r="AL33" i="15"/>
  <c r="AM33" i="15"/>
  <c r="C168" i="15"/>
  <c r="C34" i="15" s="1"/>
  <c r="D168" i="15"/>
  <c r="D167" i="15" s="1"/>
  <c r="E168" i="15"/>
  <c r="F115" i="15"/>
  <c r="F168" i="15" s="1"/>
  <c r="G115" i="15"/>
  <c r="H114" i="15"/>
  <c r="H115" i="15"/>
  <c r="I114" i="15"/>
  <c r="I115" i="15"/>
  <c r="AJ115" i="15" s="1"/>
  <c r="J114" i="15"/>
  <c r="J115" i="15"/>
  <c r="K114" i="15"/>
  <c r="K115" i="15"/>
  <c r="X114" i="15"/>
  <c r="X115" i="15"/>
  <c r="Y168" i="15"/>
  <c r="Y242" i="15" s="1"/>
  <c r="Y309" i="15" s="1"/>
  <c r="Z168" i="15"/>
  <c r="Z242" i="15" s="1"/>
  <c r="Z309" i="15" s="1"/>
  <c r="AA168" i="15"/>
  <c r="AA167" i="15" s="1"/>
  <c r="AA172" i="15" s="1"/>
  <c r="AA188" i="15" s="1"/>
  <c r="AB114" i="15"/>
  <c r="AC168" i="15"/>
  <c r="AC242" i="15" s="1"/>
  <c r="AC309" i="15" s="1"/>
  <c r="AD115" i="15"/>
  <c r="AD168" i="15" s="1"/>
  <c r="AD346" i="15" s="1"/>
  <c r="AD365" i="15" s="1"/>
  <c r="AE115" i="15"/>
  <c r="AE168" i="15" s="1"/>
  <c r="AE173" i="15" s="1"/>
  <c r="AF114" i="15"/>
  <c r="AG114" i="15"/>
  <c r="AG115" i="15"/>
  <c r="AH114" i="15"/>
  <c r="C1823" i="17" s="1"/>
  <c r="AH115" i="15"/>
  <c r="AI114" i="15"/>
  <c r="C1767" i="17" s="1"/>
  <c r="AI115" i="15"/>
  <c r="AK114" i="15"/>
  <c r="C1655" i="17" s="1"/>
  <c r="AK115" i="15"/>
  <c r="AL114" i="15"/>
  <c r="AL115" i="15"/>
  <c r="AM114" i="15"/>
  <c r="C1537" i="17" s="1"/>
  <c r="AM115" i="15"/>
  <c r="B35" i="15"/>
  <c r="C35" i="15"/>
  <c r="D35" i="15"/>
  <c r="E35" i="15"/>
  <c r="F35" i="15"/>
  <c r="G35" i="15"/>
  <c r="H35" i="15"/>
  <c r="I35" i="15"/>
  <c r="J35" i="15"/>
  <c r="K35" i="15"/>
  <c r="U35" i="15"/>
  <c r="V35" i="15"/>
  <c r="W35" i="15"/>
  <c r="Z35" i="15"/>
  <c r="AA35" i="15"/>
  <c r="AC35" i="15"/>
  <c r="AD35" i="15"/>
  <c r="AE35" i="15"/>
  <c r="AG35" i="15"/>
  <c r="AH35" i="15"/>
  <c r="AI35" i="15"/>
  <c r="AK35" i="15"/>
  <c r="AL35" i="15"/>
  <c r="AM35" i="15"/>
  <c r="BK35" i="15"/>
  <c r="BL35" i="15"/>
  <c r="BM35" i="15"/>
  <c r="BO35" i="15"/>
  <c r="BP35" i="15"/>
  <c r="B36" i="15"/>
  <c r="C39" i="15"/>
  <c r="D39" i="15"/>
  <c r="E39" i="15"/>
  <c r="F39" i="15"/>
  <c r="G39" i="15"/>
  <c r="H65" i="15"/>
  <c r="H223" i="15" s="1"/>
  <c r="I65" i="15"/>
  <c r="J65" i="15"/>
  <c r="J39" i="15" s="1"/>
  <c r="K65" i="15"/>
  <c r="K223" i="15" s="1"/>
  <c r="U39" i="15"/>
  <c r="V65" i="15"/>
  <c r="W65" i="15" s="1"/>
  <c r="Z65" i="15"/>
  <c r="Z39" i="15" s="1"/>
  <c r="AC65" i="15"/>
  <c r="AC223" i="15" s="1"/>
  <c r="AG65" i="15"/>
  <c r="BK65" i="15"/>
  <c r="C40" i="15"/>
  <c r="D44" i="15"/>
  <c r="D40" i="15" s="1"/>
  <c r="E44" i="15"/>
  <c r="E40" i="15" s="1"/>
  <c r="F44" i="15"/>
  <c r="F40" i="15" s="1"/>
  <c r="G44" i="15"/>
  <c r="G40" i="15" s="1"/>
  <c r="H44" i="15"/>
  <c r="H40" i="15" s="1"/>
  <c r="I56" i="15"/>
  <c r="I44" i="15" s="1"/>
  <c r="I40" i="15" s="1"/>
  <c r="J56" i="15"/>
  <c r="J44" i="15" s="1"/>
  <c r="J40" i="15" s="1"/>
  <c r="K56" i="15"/>
  <c r="U44" i="15"/>
  <c r="U40" i="15" s="1"/>
  <c r="V56" i="15"/>
  <c r="W56" i="15" s="1"/>
  <c r="X56" i="15" s="1"/>
  <c r="V57" i="15"/>
  <c r="W57" i="15" s="1"/>
  <c r="Y44" i="15"/>
  <c r="Z56" i="15"/>
  <c r="Z57" i="15"/>
  <c r="AA57" i="15" s="1"/>
  <c r="AB57" i="15" s="1"/>
  <c r="AC44" i="15"/>
  <c r="AC40" i="15" s="1"/>
  <c r="AD56" i="15"/>
  <c r="AE56" i="15" s="1"/>
  <c r="AF56" i="15" s="1"/>
  <c r="AD57" i="15"/>
  <c r="AG56" i="15"/>
  <c r="AH56" i="15" s="1"/>
  <c r="AI56" i="15" s="1"/>
  <c r="AH57" i="15"/>
  <c r="AL57" i="15"/>
  <c r="BK44" i="15"/>
  <c r="BL56" i="15"/>
  <c r="BL57" i="15"/>
  <c r="BM57" i="15" s="1"/>
  <c r="BN57" i="15" s="1"/>
  <c r="BO57" i="15"/>
  <c r="BP57" i="15" s="1"/>
  <c r="C42" i="15"/>
  <c r="D42" i="15"/>
  <c r="E42" i="15"/>
  <c r="F42" i="15"/>
  <c r="G42" i="15"/>
  <c r="H42" i="15"/>
  <c r="I42" i="15"/>
  <c r="J42" i="15"/>
  <c r="K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AI42" i="15"/>
  <c r="AJ42" i="15"/>
  <c r="AK42" i="15"/>
  <c r="AL42" i="15"/>
  <c r="AM42" i="15"/>
  <c r="AN42" i="15"/>
  <c r="BK42" i="15"/>
  <c r="BL42" i="15"/>
  <c r="BM42" i="15"/>
  <c r="BN42" i="15"/>
  <c r="BO42" i="15"/>
  <c r="BP42" i="15"/>
  <c r="BQ42" i="15"/>
  <c r="BR42" i="15"/>
  <c r="Y50" i="15"/>
  <c r="AA50" i="15" s="1"/>
  <c r="W50" i="15"/>
  <c r="AF50" i="15"/>
  <c r="AJ50" i="15"/>
  <c r="BN50" i="15"/>
  <c r="BN60" i="15" s="1"/>
  <c r="BR50" i="15"/>
  <c r="C51" i="15"/>
  <c r="C442" i="15" s="1"/>
  <c r="D51" i="15"/>
  <c r="E51" i="15"/>
  <c r="F51" i="15"/>
  <c r="G51" i="15"/>
  <c r="H51" i="15"/>
  <c r="I51" i="15"/>
  <c r="J51" i="15"/>
  <c r="K51" i="15"/>
  <c r="U51" i="15"/>
  <c r="U215" i="15" s="1"/>
  <c r="V51" i="15"/>
  <c r="V442" i="15" s="1"/>
  <c r="Z51" i="15"/>
  <c r="AD51" i="15"/>
  <c r="AG51" i="15"/>
  <c r="AH51" i="15"/>
  <c r="AI51" i="15"/>
  <c r="BL51" i="15"/>
  <c r="C52" i="15"/>
  <c r="C451" i="15" s="1"/>
  <c r="D52" i="15"/>
  <c r="D451" i="15" s="1"/>
  <c r="E52" i="15"/>
  <c r="E451" i="15" s="1"/>
  <c r="F52" i="15"/>
  <c r="F451" i="15" s="1"/>
  <c r="G52" i="15"/>
  <c r="G451" i="15" s="1"/>
  <c r="H52" i="15"/>
  <c r="H451" i="15" s="1"/>
  <c r="I52" i="15"/>
  <c r="I451" i="15" s="1"/>
  <c r="J52" i="15"/>
  <c r="J451" i="15" s="1"/>
  <c r="K52" i="15"/>
  <c r="K451" i="15" s="1"/>
  <c r="U52" i="15"/>
  <c r="U451" i="15" s="1"/>
  <c r="V52" i="15"/>
  <c r="V451" i="15" s="1"/>
  <c r="Z52" i="15"/>
  <c r="Z451" i="15" s="1"/>
  <c r="AC52" i="15"/>
  <c r="AC451" i="15" s="1"/>
  <c r="AD52" i="15"/>
  <c r="AD451" i="15" s="1"/>
  <c r="AE52" i="15"/>
  <c r="AE451" i="15" s="1"/>
  <c r="AG52" i="15"/>
  <c r="AG451" i="15" s="1"/>
  <c r="AH52" i="15"/>
  <c r="AH451" i="15" s="1"/>
  <c r="AI52" i="15"/>
  <c r="AI451" i="15" s="1"/>
  <c r="BK52" i="15"/>
  <c r="BK451" i="15" s="1"/>
  <c r="BL52" i="15"/>
  <c r="BL451" i="15" s="1"/>
  <c r="BM52" i="15"/>
  <c r="BM451" i="15" s="1"/>
  <c r="H53" i="15"/>
  <c r="H54" i="15" s="1"/>
  <c r="H92" i="15" s="1"/>
  <c r="I53" i="15"/>
  <c r="I93" i="15" s="1"/>
  <c r="I341" i="15" s="1"/>
  <c r="J53" i="15"/>
  <c r="J93" i="15" s="1"/>
  <c r="J341" i="15" s="1"/>
  <c r="K53" i="15"/>
  <c r="K55" i="15" s="1"/>
  <c r="U53" i="15"/>
  <c r="U55" i="15" s="1"/>
  <c r="Y53" i="15"/>
  <c r="AC53" i="15"/>
  <c r="AC55" i="15" s="1"/>
  <c r="AG53" i="15"/>
  <c r="AG55" i="15" s="1"/>
  <c r="AH53" i="15"/>
  <c r="AH55" i="15" s="1"/>
  <c r="AI53" i="15"/>
  <c r="AI55" i="15" s="1"/>
  <c r="AJ54" i="15"/>
  <c r="BV55" i="15" s="1"/>
  <c r="C54" i="15"/>
  <c r="C92" i="15" s="1"/>
  <c r="C251" i="15" s="1"/>
  <c r="C318" i="15" s="1"/>
  <c r="D54" i="15"/>
  <c r="D92" i="15" s="1"/>
  <c r="D251" i="15" s="1"/>
  <c r="D318" i="15" s="1"/>
  <c r="E54" i="15"/>
  <c r="X92" i="15" s="1"/>
  <c r="F54" i="15"/>
  <c r="F92" i="15" s="1"/>
  <c r="G54" i="15"/>
  <c r="G92" i="15" s="1"/>
  <c r="G251" i="15" s="1"/>
  <c r="G318" i="15" s="1"/>
  <c r="AN54" i="15"/>
  <c r="C55" i="15"/>
  <c r="D55" i="15"/>
  <c r="E55" i="15"/>
  <c r="F55" i="15"/>
  <c r="G55" i="15"/>
  <c r="C59" i="15"/>
  <c r="D59" i="15"/>
  <c r="E59" i="15"/>
  <c r="F59" i="15"/>
  <c r="G59" i="15"/>
  <c r="H59" i="15"/>
  <c r="I59" i="15"/>
  <c r="J59" i="15"/>
  <c r="K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M59" i="15"/>
  <c r="AN59" i="15"/>
  <c r="BK59" i="15"/>
  <c r="BL59" i="15"/>
  <c r="BM59" i="15"/>
  <c r="BN59" i="15"/>
  <c r="BO59" i="15"/>
  <c r="BP59" i="15"/>
  <c r="BQ59" i="15"/>
  <c r="BR59" i="15"/>
  <c r="C60" i="15"/>
  <c r="C285" i="15" s="1"/>
  <c r="D60" i="15"/>
  <c r="D285" i="15" s="1"/>
  <c r="E60" i="15"/>
  <c r="E285" i="15" s="1"/>
  <c r="F60" i="15"/>
  <c r="F285" i="15" s="1"/>
  <c r="G60" i="15"/>
  <c r="G285" i="15" s="1"/>
  <c r="H60" i="15"/>
  <c r="H285" i="15" s="1"/>
  <c r="I60" i="15"/>
  <c r="J60" i="15"/>
  <c r="K60" i="15"/>
  <c r="U60" i="15"/>
  <c r="U285" i="15" s="1"/>
  <c r="V60" i="15"/>
  <c r="V285" i="15" s="1"/>
  <c r="Z60" i="15"/>
  <c r="Z285" i="15" s="1"/>
  <c r="AC60" i="15"/>
  <c r="AC285" i="15" s="1"/>
  <c r="AD60" i="15"/>
  <c r="AD285" i="15" s="1"/>
  <c r="AE60" i="15"/>
  <c r="AE285" i="15" s="1"/>
  <c r="AG60" i="15"/>
  <c r="AH60" i="15"/>
  <c r="AH218" i="15" s="1"/>
  <c r="AI60" i="15"/>
  <c r="AL60" i="15"/>
  <c r="AM60" i="15"/>
  <c r="BK60" i="15"/>
  <c r="BL60" i="15"/>
  <c r="BM60" i="15"/>
  <c r="BO60" i="15"/>
  <c r="BP60" i="15"/>
  <c r="C106" i="15"/>
  <c r="C61" i="15" s="1"/>
  <c r="D106" i="15"/>
  <c r="E106" i="15"/>
  <c r="F106" i="15"/>
  <c r="G106" i="15"/>
  <c r="H61" i="15"/>
  <c r="I61" i="15"/>
  <c r="I219" i="15" s="1"/>
  <c r="J61" i="15"/>
  <c r="J219" i="15" s="1"/>
  <c r="K61" i="15"/>
  <c r="X103" i="15"/>
  <c r="X104" i="15"/>
  <c r="X105" i="15"/>
  <c r="Y106" i="15"/>
  <c r="Z106" i="15"/>
  <c r="AA106" i="15"/>
  <c r="U106" i="15"/>
  <c r="V106" i="15"/>
  <c r="W106" i="15"/>
  <c r="AC61" i="15"/>
  <c r="AC219" i="15" s="1"/>
  <c r="AG61" i="15"/>
  <c r="AG286" i="15" s="1"/>
  <c r="BK61" i="15"/>
  <c r="AL62" i="15"/>
  <c r="V62" i="15"/>
  <c r="W62" i="15" s="1"/>
  <c r="Z62" i="15"/>
  <c r="AD62" i="15"/>
  <c r="AE62" i="15" s="1"/>
  <c r="AH62" i="15"/>
  <c r="AH287" i="15" s="1"/>
  <c r="BL62" i="15"/>
  <c r="BO62" i="15"/>
  <c r="BP62" i="15" s="1"/>
  <c r="AL63" i="15"/>
  <c r="V63" i="15"/>
  <c r="V221" i="15" s="1"/>
  <c r="Z63" i="15"/>
  <c r="AD63" i="15"/>
  <c r="AE63" i="15" s="1"/>
  <c r="AF63" i="15" s="1"/>
  <c r="AH63" i="15"/>
  <c r="AH288" i="15" s="1"/>
  <c r="BL63" i="15"/>
  <c r="BO63" i="15"/>
  <c r="BP63" i="15" s="1"/>
  <c r="AL66" i="15"/>
  <c r="V66" i="15"/>
  <c r="W66" i="15" s="1"/>
  <c r="Z66" i="15"/>
  <c r="AA66" i="15" s="1"/>
  <c r="AD66" i="15"/>
  <c r="AE66" i="15" s="1"/>
  <c r="AE291" i="15" s="1"/>
  <c r="AH66" i="15"/>
  <c r="BL66" i="15"/>
  <c r="BO66" i="15"/>
  <c r="BP66" i="15" s="1"/>
  <c r="C67" i="15"/>
  <c r="C225" i="15" s="1"/>
  <c r="D67" i="15"/>
  <c r="D292" i="15" s="1"/>
  <c r="E67" i="15"/>
  <c r="E225" i="15" s="1"/>
  <c r="F67" i="15"/>
  <c r="F292" i="15" s="1"/>
  <c r="G67" i="15"/>
  <c r="H67" i="15"/>
  <c r="H225" i="15" s="1"/>
  <c r="I67" i="15"/>
  <c r="I225" i="15" s="1"/>
  <c r="J67" i="15"/>
  <c r="J225" i="15" s="1"/>
  <c r="K67" i="15"/>
  <c r="Y67" i="15"/>
  <c r="Z67" i="15" s="1"/>
  <c r="U67" i="15"/>
  <c r="U292" i="15" s="1"/>
  <c r="AD67" i="15"/>
  <c r="AH67" i="15"/>
  <c r="BL67" i="15"/>
  <c r="BO67" i="15"/>
  <c r="BP67" i="15" s="1"/>
  <c r="AL68" i="15"/>
  <c r="V68" i="15"/>
  <c r="W68" i="15" s="1"/>
  <c r="W293" i="15" s="1"/>
  <c r="Z68" i="15"/>
  <c r="AD68" i="15"/>
  <c r="AD226" i="15" s="1"/>
  <c r="AH68" i="15"/>
  <c r="AI68" i="15" s="1"/>
  <c r="AJ68" i="15" s="1"/>
  <c r="AJ226" i="15" s="1"/>
  <c r="BL68" i="15"/>
  <c r="BO68" i="15"/>
  <c r="BP68" i="15" s="1"/>
  <c r="AL69" i="15"/>
  <c r="V69" i="15"/>
  <c r="X69" i="15" s="1"/>
  <c r="X227" i="15" s="1"/>
  <c r="Z69" i="15"/>
  <c r="AD69" i="15"/>
  <c r="AE69" i="15" s="1"/>
  <c r="AE227" i="15" s="1"/>
  <c r="AH69" i="15"/>
  <c r="AI69" i="15" s="1"/>
  <c r="AJ69" i="15" s="1"/>
  <c r="AJ227" i="15" s="1"/>
  <c r="BL69" i="15"/>
  <c r="BO69" i="15"/>
  <c r="BP69" i="15" s="1"/>
  <c r="C72" i="15"/>
  <c r="C296" i="15" s="1"/>
  <c r="G72" i="15"/>
  <c r="H72" i="15"/>
  <c r="H229" i="15" s="1"/>
  <c r="AL72" i="15"/>
  <c r="V72" i="15"/>
  <c r="W72" i="15" s="1"/>
  <c r="Z72" i="15"/>
  <c r="Z296" i="15" s="1"/>
  <c r="AD72" i="15"/>
  <c r="AD229" i="15" s="1"/>
  <c r="AH72" i="15"/>
  <c r="AI72" i="15" s="1"/>
  <c r="BL72" i="15"/>
  <c r="BO72" i="15"/>
  <c r="BP72" i="15" s="1"/>
  <c r="AL73" i="15"/>
  <c r="BO73" i="15"/>
  <c r="BP73" i="15" s="1"/>
  <c r="AD73" i="15"/>
  <c r="AD230" i="15" s="1"/>
  <c r="AH73" i="15"/>
  <c r="BL73" i="15"/>
  <c r="H74" i="15"/>
  <c r="H231" i="15" s="1"/>
  <c r="I74" i="15"/>
  <c r="I231" i="15" s="1"/>
  <c r="J74" i="15"/>
  <c r="J231" i="15" s="1"/>
  <c r="K74" i="15"/>
  <c r="V74" i="15"/>
  <c r="V298" i="15" s="1"/>
  <c r="Z74" i="15"/>
  <c r="AD74" i="15"/>
  <c r="AD231" i="15" s="1"/>
  <c r="AH74" i="15"/>
  <c r="BL74" i="15"/>
  <c r="BO74" i="15"/>
  <c r="BP74" i="15" s="1"/>
  <c r="AL75" i="15"/>
  <c r="BO75" i="15"/>
  <c r="BP75" i="15" s="1"/>
  <c r="V75" i="15"/>
  <c r="V299" i="15" s="1"/>
  <c r="Z75" i="15"/>
  <c r="AA75" i="15" s="1"/>
  <c r="BQ75" i="15" s="1"/>
  <c r="AD75" i="15"/>
  <c r="AD232" i="15" s="1"/>
  <c r="AH75" i="15"/>
  <c r="AI75" i="15" s="1"/>
  <c r="BL75" i="15"/>
  <c r="C76" i="15"/>
  <c r="D76" i="15"/>
  <c r="D233" i="15" s="1"/>
  <c r="E76" i="15"/>
  <c r="E233" i="15" s="1"/>
  <c r="F76" i="15"/>
  <c r="G76" i="15"/>
  <c r="H76" i="15"/>
  <c r="I76" i="15"/>
  <c r="I233" i="15" s="1"/>
  <c r="J76" i="15"/>
  <c r="J233" i="15" s="1"/>
  <c r="K76" i="15"/>
  <c r="U76" i="15"/>
  <c r="V76" i="15" s="1"/>
  <c r="W76" i="15" s="1"/>
  <c r="Y76" i="15"/>
  <c r="AC76" i="15"/>
  <c r="AC300" i="15" s="1"/>
  <c r="AG76" i="15"/>
  <c r="BO76" i="15" s="1"/>
  <c r="BP76" i="15" s="1"/>
  <c r="BK76" i="15"/>
  <c r="AL77" i="15"/>
  <c r="V77" i="15"/>
  <c r="V301" i="15" s="1"/>
  <c r="Z77" i="15"/>
  <c r="Z301" i="15" s="1"/>
  <c r="AD77" i="15"/>
  <c r="AD234" i="15" s="1"/>
  <c r="AH77" i="15"/>
  <c r="BL77" i="15"/>
  <c r="BO77" i="15"/>
  <c r="BP77" i="15" s="1"/>
  <c r="AL79" i="15"/>
  <c r="V79" i="15"/>
  <c r="W79" i="15" s="1"/>
  <c r="Z79" i="15"/>
  <c r="Z236" i="15" s="1"/>
  <c r="AD79" i="15"/>
  <c r="AD236" i="15" s="1"/>
  <c r="AH79" i="15"/>
  <c r="AH236" i="15" s="1"/>
  <c r="BL79" i="15"/>
  <c r="BO79" i="15"/>
  <c r="BP79" i="15" s="1"/>
  <c r="C87" i="15"/>
  <c r="D87" i="15"/>
  <c r="E87" i="15"/>
  <c r="F87" i="15"/>
  <c r="G87" i="15"/>
  <c r="H87" i="15"/>
  <c r="I87" i="15"/>
  <c r="J87" i="15"/>
  <c r="K87" i="15"/>
  <c r="U87" i="15"/>
  <c r="V87" i="15"/>
  <c r="W87" i="15"/>
  <c r="X87" i="15"/>
  <c r="Y87" i="15"/>
  <c r="Z87" i="15"/>
  <c r="AA87" i="15"/>
  <c r="AB87" i="15"/>
  <c r="AC87" i="15"/>
  <c r="AD87" i="15"/>
  <c r="AE87" i="15"/>
  <c r="AF87" i="15"/>
  <c r="AG87" i="15"/>
  <c r="AH87" i="15"/>
  <c r="AI87" i="15"/>
  <c r="AJ87" i="15"/>
  <c r="AK87" i="15"/>
  <c r="AL87" i="15"/>
  <c r="AM87" i="15"/>
  <c r="B88" i="15"/>
  <c r="B337" i="15" s="1"/>
  <c r="C88" i="15"/>
  <c r="C337" i="15" s="1"/>
  <c r="C356" i="15" s="1"/>
  <c r="D88" i="15"/>
  <c r="E88" i="15"/>
  <c r="E337" i="15" s="1"/>
  <c r="F88" i="15"/>
  <c r="F337" i="15" s="1"/>
  <c r="F356" i="15" s="1"/>
  <c r="G88" i="15"/>
  <c r="G337" i="15" s="1"/>
  <c r="G356" i="15" s="1"/>
  <c r="H88" i="15"/>
  <c r="H337" i="15" s="1"/>
  <c r="H356" i="15" s="1"/>
  <c r="I88" i="15"/>
  <c r="I337" i="15" s="1"/>
  <c r="J88" i="15"/>
  <c r="J337" i="15" s="1"/>
  <c r="K88" i="15"/>
  <c r="K337" i="15" s="1"/>
  <c r="AG88" i="15"/>
  <c r="AG337" i="15" s="1"/>
  <c r="AG356" i="15" s="1"/>
  <c r="AH88" i="15"/>
  <c r="AH337" i="15" s="1"/>
  <c r="AH356" i="15" s="1"/>
  <c r="AI88" i="15"/>
  <c r="AI337" i="15" s="1"/>
  <c r="AI356" i="15" s="1"/>
  <c r="AL88" i="15"/>
  <c r="AL337" i="15" s="1"/>
  <c r="AM88" i="15"/>
  <c r="AM337" i="15" s="1"/>
  <c r="C91" i="15"/>
  <c r="C250" i="15" s="1"/>
  <c r="C317" i="15" s="1"/>
  <c r="D91" i="15"/>
  <c r="D338" i="15" s="1"/>
  <c r="D357" i="15" s="1"/>
  <c r="E91" i="15"/>
  <c r="E250" i="15" s="1"/>
  <c r="E317" i="15" s="1"/>
  <c r="F91" i="15"/>
  <c r="F338" i="15" s="1"/>
  <c r="G91" i="15"/>
  <c r="G250" i="15" s="1"/>
  <c r="G317" i="15" s="1"/>
  <c r="H91" i="15"/>
  <c r="H338" i="15" s="1"/>
  <c r="I91" i="15"/>
  <c r="I250" i="15" s="1"/>
  <c r="J91" i="15"/>
  <c r="J250" i="15" s="1"/>
  <c r="K91" i="15"/>
  <c r="K338" i="15" s="1"/>
  <c r="AG91" i="15"/>
  <c r="AG338" i="15" s="1"/>
  <c r="AH91" i="15"/>
  <c r="AH338" i="15" s="1"/>
  <c r="AI91" i="15"/>
  <c r="AI338" i="15" s="1"/>
  <c r="I92" i="15"/>
  <c r="I339" i="15" s="1"/>
  <c r="J92" i="15"/>
  <c r="J339" i="15" s="1"/>
  <c r="K92" i="15"/>
  <c r="AL92" i="15"/>
  <c r="AL339" i="15" s="1"/>
  <c r="AM92" i="15"/>
  <c r="AM251" i="15" s="1"/>
  <c r="C93" i="15"/>
  <c r="C341" i="15" s="1"/>
  <c r="C360" i="15" s="1"/>
  <c r="D93" i="15"/>
  <c r="D341" i="15" s="1"/>
  <c r="D360" i="15" s="1"/>
  <c r="E93" i="15"/>
  <c r="E341" i="15" s="1"/>
  <c r="E360" i="15" s="1"/>
  <c r="F93" i="15"/>
  <c r="F341" i="15" s="1"/>
  <c r="F360" i="15" s="1"/>
  <c r="G93" i="15"/>
  <c r="G341" i="15" s="1"/>
  <c r="G360" i="15" s="1"/>
  <c r="X93" i="15"/>
  <c r="X176" i="15" s="1"/>
  <c r="C94" i="15"/>
  <c r="C342" i="15" s="1"/>
  <c r="C361" i="15" s="1"/>
  <c r="D94" i="15"/>
  <c r="E94" i="15"/>
  <c r="F94" i="15"/>
  <c r="F342" i="15" s="1"/>
  <c r="F361" i="15" s="1"/>
  <c r="G94" i="15"/>
  <c r="G342" i="15" s="1"/>
  <c r="G361" i="15" s="1"/>
  <c r="H94" i="15"/>
  <c r="H342" i="15" s="1"/>
  <c r="H361" i="15" s="1"/>
  <c r="I94" i="15"/>
  <c r="J94" i="15"/>
  <c r="J342" i="15" s="1"/>
  <c r="K94" i="15"/>
  <c r="K342" i="15" s="1"/>
  <c r="AG94" i="15"/>
  <c r="AG342" i="15" s="1"/>
  <c r="AG361" i="15" s="1"/>
  <c r="C96" i="15"/>
  <c r="C343" i="15" s="1"/>
  <c r="C362" i="15" s="1"/>
  <c r="D96" i="15"/>
  <c r="D343" i="15" s="1"/>
  <c r="D362" i="15" s="1"/>
  <c r="E96" i="15"/>
  <c r="X96" i="15" s="1"/>
  <c r="X343" i="15" s="1"/>
  <c r="X362" i="15" s="1"/>
  <c r="F96" i="15"/>
  <c r="F343" i="15" s="1"/>
  <c r="F362" i="15" s="1"/>
  <c r="G96" i="15"/>
  <c r="G343" i="15" s="1"/>
  <c r="G362" i="15" s="1"/>
  <c r="C99" i="15"/>
  <c r="D99" i="15"/>
  <c r="E99" i="15"/>
  <c r="F99" i="15"/>
  <c r="G99" i="15"/>
  <c r="H99" i="15"/>
  <c r="I99" i="15"/>
  <c r="J99" i="15"/>
  <c r="K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I101" i="15"/>
  <c r="AJ101" i="15" s="1"/>
  <c r="J101" i="15"/>
  <c r="K101" i="15"/>
  <c r="AN101" i="15" s="1"/>
  <c r="X101" i="15"/>
  <c r="AB101" i="15"/>
  <c r="AF101" i="15"/>
  <c r="AG101" i="15"/>
  <c r="AH101" i="15"/>
  <c r="AI101" i="15"/>
  <c r="AL101" i="15"/>
  <c r="AM101" i="15"/>
  <c r="AN102" i="15"/>
  <c r="X102" i="15"/>
  <c r="AB102" i="15"/>
  <c r="AF102" i="15"/>
  <c r="AJ102" i="15"/>
  <c r="AN103" i="15"/>
  <c r="AB103" i="15"/>
  <c r="AF103" i="15"/>
  <c r="AJ103" i="15"/>
  <c r="AN104" i="15"/>
  <c r="AB104" i="15"/>
  <c r="AF104" i="15"/>
  <c r="AJ104" i="15"/>
  <c r="AN105" i="15"/>
  <c r="AB105" i="15"/>
  <c r="AF105" i="15"/>
  <c r="AJ105" i="15"/>
  <c r="H106" i="15"/>
  <c r="I106" i="15"/>
  <c r="J106" i="15"/>
  <c r="K106" i="15"/>
  <c r="AM106" i="15"/>
  <c r="AC106" i="15"/>
  <c r="AD106" i="15"/>
  <c r="AE106" i="15"/>
  <c r="AG106" i="15"/>
  <c r="AH106" i="15"/>
  <c r="AI106" i="15"/>
  <c r="AK106" i="15"/>
  <c r="AL106" i="15"/>
  <c r="X117" i="15"/>
  <c r="AN119" i="15"/>
  <c r="C1443" i="17" s="1"/>
  <c r="F1443" i="17" s="1"/>
  <c r="X119" i="15"/>
  <c r="AB119" i="15"/>
  <c r="AF119" i="15"/>
  <c r="C1897" i="17" s="1"/>
  <c r="F1897" i="17" s="1"/>
  <c r="AJ119" i="15"/>
  <c r="C1674" i="17" s="1"/>
  <c r="F1674" i="17" s="1"/>
  <c r="AN120" i="15"/>
  <c r="C1442" i="17" s="1"/>
  <c r="F1442" i="17" s="1"/>
  <c r="X120" i="15"/>
  <c r="AB120" i="15"/>
  <c r="AF120" i="15"/>
  <c r="C1896" i="17" s="1"/>
  <c r="F1896" i="17" s="1"/>
  <c r="AJ120" i="15"/>
  <c r="C1673" i="17" s="1"/>
  <c r="F1673" i="17" s="1"/>
  <c r="AN121" i="15"/>
  <c r="C1441" i="17" s="1"/>
  <c r="F1441" i="17" s="1"/>
  <c r="X121" i="15"/>
  <c r="AB121" i="15"/>
  <c r="AF121" i="15"/>
  <c r="C1895" i="17" s="1"/>
  <c r="F1895" i="17" s="1"/>
  <c r="AJ121" i="15"/>
  <c r="C1672" i="17" s="1"/>
  <c r="F1672" i="17" s="1"/>
  <c r="X122" i="15"/>
  <c r="AB122" i="15"/>
  <c r="AF122" i="15"/>
  <c r="C1894" i="17" s="1"/>
  <c r="F1894" i="17" s="1"/>
  <c r="AJ122" i="15"/>
  <c r="C1671" i="17" s="1"/>
  <c r="F1671" i="17" s="1"/>
  <c r="AN122" i="15"/>
  <c r="AN123" i="15"/>
  <c r="X123" i="15"/>
  <c r="AB123" i="15"/>
  <c r="AF123" i="15"/>
  <c r="C1905" i="17" s="1"/>
  <c r="F1905" i="17" s="1"/>
  <c r="AJ123" i="15"/>
  <c r="C1683" i="17" s="1"/>
  <c r="F1683" i="17" s="1"/>
  <c r="AN124" i="15"/>
  <c r="X124" i="15"/>
  <c r="AB124" i="15"/>
  <c r="AF124" i="15"/>
  <c r="C1907" i="17" s="1"/>
  <c r="F1907" i="17" s="1"/>
  <c r="AJ124" i="15"/>
  <c r="C1685" i="17" s="1"/>
  <c r="F1685" i="17" s="1"/>
  <c r="AN125" i="15"/>
  <c r="C1447" i="17" s="1"/>
  <c r="F1447" i="17" s="1"/>
  <c r="X125" i="15"/>
  <c r="AB125" i="15"/>
  <c r="AF125" i="15"/>
  <c r="C1900" i="17" s="1"/>
  <c r="AJ125" i="15"/>
  <c r="C1678" i="17" s="1"/>
  <c r="F1678" i="17" s="1"/>
  <c r="AN127" i="15"/>
  <c r="X127" i="15"/>
  <c r="AB127" i="15"/>
  <c r="AF127" i="15"/>
  <c r="AJ127" i="15"/>
  <c r="AN129" i="15"/>
  <c r="C1448" i="17" s="1"/>
  <c r="F1448" i="17" s="1"/>
  <c r="X129" i="15"/>
  <c r="AB129" i="15"/>
  <c r="AF129" i="15"/>
  <c r="C1901" i="17" s="1"/>
  <c r="F1901" i="17" s="1"/>
  <c r="AJ129" i="15"/>
  <c r="C1679" i="17" s="1"/>
  <c r="F1679" i="17" s="1"/>
  <c r="AN132" i="15"/>
  <c r="C1444" i="17" s="1"/>
  <c r="F1444" i="17" s="1"/>
  <c r="X132" i="15"/>
  <c r="AB132" i="15"/>
  <c r="AF132" i="15"/>
  <c r="C1898" i="17" s="1"/>
  <c r="AJ132" i="15"/>
  <c r="C1675" i="17" s="1"/>
  <c r="F1675" i="17" s="1"/>
  <c r="AN133" i="15"/>
  <c r="C1445" i="17" s="1"/>
  <c r="F1445" i="17" s="1"/>
  <c r="AJ133" i="15"/>
  <c r="C1676" i="17" s="1"/>
  <c r="F1676" i="17" s="1"/>
  <c r="AN137" i="15"/>
  <c r="X137" i="15"/>
  <c r="AB137" i="15"/>
  <c r="AF137" i="15"/>
  <c r="AJ137" i="15"/>
  <c r="AN142" i="15"/>
  <c r="X142" i="15"/>
  <c r="AB142" i="15"/>
  <c r="AF142" i="15"/>
  <c r="AJ142" i="15"/>
  <c r="AN143" i="15"/>
  <c r="X143" i="15"/>
  <c r="AB143" i="15"/>
  <c r="AF143" i="15"/>
  <c r="AJ143" i="15"/>
  <c r="I144" i="15"/>
  <c r="C1686" i="17" s="1"/>
  <c r="F1686" i="17" s="1"/>
  <c r="J144" i="15"/>
  <c r="J158" i="15" s="1"/>
  <c r="AN144" i="15"/>
  <c r="AK144" i="15"/>
  <c r="AK158" i="15" s="1"/>
  <c r="F155" i="15"/>
  <c r="AN155" i="15"/>
  <c r="C1456" i="17" s="1"/>
  <c r="F1456" i="17" s="1"/>
  <c r="X155" i="15"/>
  <c r="AF155" i="15"/>
  <c r="C1908" i="17" s="1"/>
  <c r="F1908" i="17" s="1"/>
  <c r="AJ155" i="15"/>
  <c r="C1687" i="17" s="1"/>
  <c r="F1687" i="17" s="1"/>
  <c r="AN157" i="15"/>
  <c r="C1457" i="17" s="1"/>
  <c r="F1457" i="17" s="1"/>
  <c r="X157" i="15"/>
  <c r="AB157" i="15"/>
  <c r="AF157" i="15"/>
  <c r="C1909" i="17" s="1"/>
  <c r="AJ157" i="15"/>
  <c r="C1688" i="17" s="1"/>
  <c r="F1688" i="17" s="1"/>
  <c r="C158" i="15"/>
  <c r="C159" i="15" s="1"/>
  <c r="D158" i="15"/>
  <c r="D159" i="15" s="1"/>
  <c r="E158" i="15"/>
  <c r="E159" i="15" s="1"/>
  <c r="G158" i="15"/>
  <c r="H158" i="15"/>
  <c r="K158" i="15"/>
  <c r="AA158" i="15"/>
  <c r="AA159" i="15" s="1"/>
  <c r="AC158" i="15"/>
  <c r="AC159" i="15" s="1"/>
  <c r="AD158" i="15"/>
  <c r="AE158" i="15"/>
  <c r="AG158" i="15"/>
  <c r="AH158" i="15"/>
  <c r="AI158" i="15"/>
  <c r="AL158" i="15"/>
  <c r="AM158" i="15"/>
  <c r="U168" i="15"/>
  <c r="U167" i="15" s="1"/>
  <c r="U172" i="15" s="1"/>
  <c r="V168" i="15"/>
  <c r="W168" i="15"/>
  <c r="AN170" i="15"/>
  <c r="AF170" i="15"/>
  <c r="AJ170" i="15"/>
  <c r="C1689" i="17" s="1"/>
  <c r="C176" i="15"/>
  <c r="D176" i="15"/>
  <c r="E176" i="15"/>
  <c r="F176" i="15"/>
  <c r="G176" i="15"/>
  <c r="I176" i="15"/>
  <c r="AJ176" i="15" s="1"/>
  <c r="C1669" i="17" s="1"/>
  <c r="J176" i="15"/>
  <c r="K176" i="15"/>
  <c r="AN176" i="15" s="1"/>
  <c r="C1438" i="17" s="1"/>
  <c r="AG176" i="15"/>
  <c r="C1840" i="17" s="1"/>
  <c r="F1840" i="17" s="1"/>
  <c r="AH176" i="15"/>
  <c r="AI176" i="15"/>
  <c r="C1726" i="17" s="1"/>
  <c r="AK176" i="15"/>
  <c r="C1613" i="17" s="1"/>
  <c r="C1661" i="17" s="1"/>
  <c r="AL176" i="15"/>
  <c r="AM176" i="15"/>
  <c r="C1495" i="17" s="1"/>
  <c r="F1495" i="17" s="1"/>
  <c r="C181" i="15"/>
  <c r="D181" i="15"/>
  <c r="E181" i="15"/>
  <c r="F181" i="15"/>
  <c r="AB181" i="15" s="1"/>
  <c r="G181" i="15"/>
  <c r="H181" i="15"/>
  <c r="I181" i="15"/>
  <c r="AJ181" i="15" s="1"/>
  <c r="J181" i="15"/>
  <c r="K181" i="15"/>
  <c r="U181" i="15"/>
  <c r="V181" i="15"/>
  <c r="W181" i="15"/>
  <c r="Y181" i="15"/>
  <c r="Z181" i="15"/>
  <c r="AA181" i="15"/>
  <c r="AC181" i="15"/>
  <c r="AD181" i="15"/>
  <c r="AE181" i="15"/>
  <c r="AG181" i="15"/>
  <c r="AH181" i="15"/>
  <c r="AI181" i="15"/>
  <c r="AK181" i="15"/>
  <c r="AL181" i="15"/>
  <c r="AM181" i="15"/>
  <c r="C182" i="15"/>
  <c r="D182" i="15"/>
  <c r="E182" i="15"/>
  <c r="X182" i="15" s="1"/>
  <c r="F182" i="15"/>
  <c r="I182" i="15"/>
  <c r="AJ182" i="15" s="1"/>
  <c r="J182" i="15"/>
  <c r="K182" i="15"/>
  <c r="AN182" i="15" s="1"/>
  <c r="U182" i="15"/>
  <c r="V182" i="15"/>
  <c r="W182" i="15"/>
  <c r="Y182" i="15"/>
  <c r="Z182" i="15"/>
  <c r="AA182" i="15"/>
  <c r="AC182" i="15"/>
  <c r="AD182" i="15"/>
  <c r="AE182" i="15"/>
  <c r="AF182" i="15"/>
  <c r="AK182" i="15"/>
  <c r="AL182" i="15"/>
  <c r="AM182" i="15"/>
  <c r="H185" i="15"/>
  <c r="AN185" i="15"/>
  <c r="X185" i="15"/>
  <c r="AB185" i="15"/>
  <c r="AF185" i="15"/>
  <c r="AJ185" i="15"/>
  <c r="AN186" i="15"/>
  <c r="C1462" i="17" s="1"/>
  <c r="K1442" i="17" s="1"/>
  <c r="X186" i="15"/>
  <c r="AB186" i="15"/>
  <c r="AD186" i="15"/>
  <c r="C2023" i="17" s="1"/>
  <c r="AF186" i="15"/>
  <c r="C1914" i="17" s="1"/>
  <c r="K1896" i="17" s="1"/>
  <c r="K1897" i="17" s="1"/>
  <c r="AJ186" i="15"/>
  <c r="C1693" i="17" s="1"/>
  <c r="K1673" i="17" s="1"/>
  <c r="C190" i="15"/>
  <c r="D190" i="15"/>
  <c r="E190" i="15"/>
  <c r="F190" i="15"/>
  <c r="G190" i="15"/>
  <c r="H190" i="15"/>
  <c r="I190" i="15"/>
  <c r="J190" i="15"/>
  <c r="K190" i="15"/>
  <c r="U190" i="15"/>
  <c r="V190" i="15"/>
  <c r="W190" i="15"/>
  <c r="X190" i="15"/>
  <c r="Y190" i="15"/>
  <c r="Z190" i="15"/>
  <c r="AA190" i="15"/>
  <c r="AB190" i="15"/>
  <c r="AC190" i="15"/>
  <c r="AD190" i="15"/>
  <c r="AE190" i="15"/>
  <c r="AF190" i="15"/>
  <c r="AG190" i="15"/>
  <c r="AH190" i="15"/>
  <c r="AI190" i="15"/>
  <c r="AJ190" i="15"/>
  <c r="AK190" i="15"/>
  <c r="AL190" i="15"/>
  <c r="AM190" i="15"/>
  <c r="AN190" i="15"/>
  <c r="BQ204" i="15"/>
  <c r="C208" i="15"/>
  <c r="D208" i="15"/>
  <c r="E208" i="15"/>
  <c r="F208" i="15"/>
  <c r="G208" i="15"/>
  <c r="H208" i="15"/>
  <c r="I208" i="15"/>
  <c r="J208" i="15"/>
  <c r="K208" i="15"/>
  <c r="U208" i="15"/>
  <c r="V208" i="15"/>
  <c r="W208" i="15"/>
  <c r="X208" i="15"/>
  <c r="Y208" i="15"/>
  <c r="Z208" i="15"/>
  <c r="AA208" i="15"/>
  <c r="AB208" i="15"/>
  <c r="AC208" i="15"/>
  <c r="AD208" i="15"/>
  <c r="AE208" i="15"/>
  <c r="AF208" i="15"/>
  <c r="AG208" i="15"/>
  <c r="AH208" i="15"/>
  <c r="AI208" i="15"/>
  <c r="AJ208" i="15"/>
  <c r="AK208" i="15"/>
  <c r="AL208" i="15"/>
  <c r="AM208" i="15"/>
  <c r="AN208" i="15"/>
  <c r="AG209" i="15"/>
  <c r="AH209" i="15"/>
  <c r="AI209" i="15"/>
  <c r="AJ209" i="15"/>
  <c r="AK209" i="15"/>
  <c r="AL209" i="15"/>
  <c r="AM209" i="15"/>
  <c r="AN209" i="15"/>
  <c r="C211" i="15"/>
  <c r="C212" i="15" s="1"/>
  <c r="D211" i="15"/>
  <c r="E211" i="15"/>
  <c r="F211" i="15"/>
  <c r="G211" i="15"/>
  <c r="H211" i="15"/>
  <c r="I211" i="15"/>
  <c r="J211" i="15"/>
  <c r="K211" i="15"/>
  <c r="L212" i="15" s="1"/>
  <c r="U211" i="15"/>
  <c r="V211" i="15"/>
  <c r="W211" i="15"/>
  <c r="Z211" i="15"/>
  <c r="AA211" i="15"/>
  <c r="AC211" i="15"/>
  <c r="AD211" i="15"/>
  <c r="AE211" i="15"/>
  <c r="AG211" i="15"/>
  <c r="AH211" i="15"/>
  <c r="AI211" i="15"/>
  <c r="AK211" i="15"/>
  <c r="AL211" i="15"/>
  <c r="AM211" i="15"/>
  <c r="AQ212" i="15" s="1"/>
  <c r="C214" i="15"/>
  <c r="C215" i="15" s="1"/>
  <c r="D214" i="15"/>
  <c r="E214" i="15"/>
  <c r="F214" i="15"/>
  <c r="G214" i="15"/>
  <c r="H214" i="15"/>
  <c r="I214" i="15"/>
  <c r="J214" i="15"/>
  <c r="K214" i="15"/>
  <c r="L215" i="15" s="1"/>
  <c r="U214" i="15"/>
  <c r="V214" i="15"/>
  <c r="Z214" i="15"/>
  <c r="AC214" i="15"/>
  <c r="AD214" i="15"/>
  <c r="AE214" i="15"/>
  <c r="AG214" i="15"/>
  <c r="AH214" i="15"/>
  <c r="AI214" i="15"/>
  <c r="AK214" i="15"/>
  <c r="AL214" i="15"/>
  <c r="AM214" i="15"/>
  <c r="AQ215" i="15" s="1"/>
  <c r="C218" i="15"/>
  <c r="D218" i="15"/>
  <c r="E218" i="15"/>
  <c r="F218" i="15"/>
  <c r="G218" i="15"/>
  <c r="H218" i="15"/>
  <c r="I218" i="15"/>
  <c r="J218" i="15"/>
  <c r="K218" i="15"/>
  <c r="U218" i="15"/>
  <c r="V218" i="15"/>
  <c r="Z218" i="15"/>
  <c r="AC218" i="15"/>
  <c r="AD218" i="15"/>
  <c r="AE218" i="15"/>
  <c r="C220" i="15"/>
  <c r="D220" i="15"/>
  <c r="E220" i="15"/>
  <c r="F220" i="15"/>
  <c r="G220" i="15"/>
  <c r="H220" i="15"/>
  <c r="I220" i="15"/>
  <c r="J220" i="15"/>
  <c r="K220" i="15"/>
  <c r="U220" i="15"/>
  <c r="Y220" i="15"/>
  <c r="AC220" i="15"/>
  <c r="AG220" i="15"/>
  <c r="AK220" i="15"/>
  <c r="C221" i="15"/>
  <c r="D221" i="15"/>
  <c r="E221" i="15"/>
  <c r="F221" i="15"/>
  <c r="G221" i="15"/>
  <c r="H221" i="15"/>
  <c r="I221" i="15"/>
  <c r="J221" i="15"/>
  <c r="K221" i="15"/>
  <c r="U221" i="15"/>
  <c r="Y221" i="15"/>
  <c r="AC221" i="15"/>
  <c r="AG221" i="15"/>
  <c r="AK221" i="15"/>
  <c r="C223" i="15"/>
  <c r="D223" i="15"/>
  <c r="E223" i="15"/>
  <c r="F223" i="15"/>
  <c r="G223" i="15"/>
  <c r="U223" i="15"/>
  <c r="Y223" i="15"/>
  <c r="C224" i="15"/>
  <c r="D224" i="15"/>
  <c r="E224" i="15"/>
  <c r="F224" i="15"/>
  <c r="G224" i="15"/>
  <c r="H224" i="15"/>
  <c r="I224" i="15"/>
  <c r="J224" i="15"/>
  <c r="K224" i="15"/>
  <c r="U224" i="15"/>
  <c r="Y224" i="15"/>
  <c r="AC224" i="15"/>
  <c r="AG224" i="15"/>
  <c r="AK224" i="15"/>
  <c r="AC225" i="15"/>
  <c r="AG225" i="15"/>
  <c r="C226" i="15"/>
  <c r="D226" i="15"/>
  <c r="E226" i="15"/>
  <c r="F226" i="15"/>
  <c r="G226" i="15"/>
  <c r="H226" i="15"/>
  <c r="I226" i="15"/>
  <c r="J226" i="15"/>
  <c r="K226" i="15"/>
  <c r="U226" i="15"/>
  <c r="Y226" i="15"/>
  <c r="AC226" i="15"/>
  <c r="AG226" i="15"/>
  <c r="AK226" i="15"/>
  <c r="C227" i="15"/>
  <c r="D227" i="15"/>
  <c r="E227" i="15"/>
  <c r="F227" i="15"/>
  <c r="G227" i="15"/>
  <c r="H227" i="15"/>
  <c r="I227" i="15"/>
  <c r="J227" i="15"/>
  <c r="K227" i="15"/>
  <c r="U227" i="15"/>
  <c r="W227" i="15"/>
  <c r="Y227" i="15"/>
  <c r="AA227" i="15"/>
  <c r="AC227" i="15"/>
  <c r="AG227" i="15"/>
  <c r="AK227" i="15"/>
  <c r="D229" i="15"/>
  <c r="E229" i="15"/>
  <c r="F229" i="15"/>
  <c r="I229" i="15"/>
  <c r="J229" i="15"/>
  <c r="K229" i="15"/>
  <c r="U229" i="15"/>
  <c r="Y229" i="15"/>
  <c r="AC229" i="15"/>
  <c r="AG229" i="15"/>
  <c r="AK229" i="15"/>
  <c r="C231" i="15"/>
  <c r="D231" i="15"/>
  <c r="E231" i="15"/>
  <c r="F231" i="15"/>
  <c r="G231" i="15"/>
  <c r="U231" i="15"/>
  <c r="Y231" i="15"/>
  <c r="AC231" i="15"/>
  <c r="AG231" i="15"/>
  <c r="C232" i="15"/>
  <c r="D232" i="15"/>
  <c r="E232" i="15"/>
  <c r="F232" i="15"/>
  <c r="G232" i="15"/>
  <c r="H232" i="15"/>
  <c r="I232" i="15"/>
  <c r="J232" i="15"/>
  <c r="K232" i="15"/>
  <c r="U232" i="15"/>
  <c r="Y232" i="15"/>
  <c r="AC232" i="15"/>
  <c r="AG232" i="15"/>
  <c r="AK232" i="15"/>
  <c r="C234" i="15"/>
  <c r="D234" i="15"/>
  <c r="E234" i="15"/>
  <c r="F234" i="15"/>
  <c r="G234" i="15"/>
  <c r="H234" i="15"/>
  <c r="I234" i="15"/>
  <c r="J234" i="15"/>
  <c r="K234" i="15"/>
  <c r="U234" i="15"/>
  <c r="Y234" i="15"/>
  <c r="AC234" i="15"/>
  <c r="AG234" i="15"/>
  <c r="AK234" i="15"/>
  <c r="C236" i="15"/>
  <c r="D236" i="15"/>
  <c r="E236" i="15"/>
  <c r="F236" i="15"/>
  <c r="G236" i="15"/>
  <c r="H236" i="15"/>
  <c r="I236" i="15"/>
  <c r="J236" i="15"/>
  <c r="K236" i="15"/>
  <c r="U236" i="15"/>
  <c r="Y236" i="15"/>
  <c r="AC236" i="15"/>
  <c r="AG236" i="15"/>
  <c r="AK236" i="15"/>
  <c r="C239" i="15"/>
  <c r="C306" i="15" s="1"/>
  <c r="D239" i="15"/>
  <c r="D306" i="15" s="1"/>
  <c r="E239" i="15"/>
  <c r="E306" i="15" s="1"/>
  <c r="F239" i="15"/>
  <c r="F306" i="15" s="1"/>
  <c r="G239" i="15"/>
  <c r="G306" i="15" s="1"/>
  <c r="H239" i="15"/>
  <c r="H306" i="15" s="1"/>
  <c r="I239" i="15"/>
  <c r="J239" i="15"/>
  <c r="K239" i="15"/>
  <c r="U239" i="15"/>
  <c r="U306" i="15" s="1"/>
  <c r="V239" i="15"/>
  <c r="V306" i="15" s="1"/>
  <c r="W239" i="15"/>
  <c r="W306" i="15" s="1"/>
  <c r="Y239" i="15"/>
  <c r="Y306" i="15" s="1"/>
  <c r="Z239" i="15"/>
  <c r="Z306" i="15" s="1"/>
  <c r="AA239" i="15"/>
  <c r="AA306" i="15" s="1"/>
  <c r="AC239" i="15"/>
  <c r="AC306" i="15" s="1"/>
  <c r="AD239" i="15"/>
  <c r="AD306" i="15" s="1"/>
  <c r="AE239" i="15"/>
  <c r="AE306" i="15" s="1"/>
  <c r="AG239" i="15"/>
  <c r="AG306" i="15" s="1"/>
  <c r="AH239" i="15"/>
  <c r="AH306" i="15" s="1"/>
  <c r="AI239" i="15"/>
  <c r="AI306" i="15" s="1"/>
  <c r="AK239" i="15"/>
  <c r="AL239" i="15"/>
  <c r="AM239" i="15"/>
  <c r="AJ267" i="15"/>
  <c r="AJ268" i="15" s="1"/>
  <c r="AK267" i="15"/>
  <c r="AL267" i="15"/>
  <c r="AL268" i="15" s="1"/>
  <c r="AM267" i="15"/>
  <c r="AN267" i="15"/>
  <c r="AN268" i="15" s="1"/>
  <c r="I267" i="15"/>
  <c r="I268" i="15" s="1"/>
  <c r="J267" i="15"/>
  <c r="J268" i="15" s="1"/>
  <c r="K267" i="15"/>
  <c r="K268" i="15" s="1"/>
  <c r="C271" i="15"/>
  <c r="D271" i="15"/>
  <c r="E271" i="15"/>
  <c r="F271" i="15"/>
  <c r="G271" i="15"/>
  <c r="H271" i="15"/>
  <c r="I271" i="15"/>
  <c r="J271" i="15"/>
  <c r="K271" i="15"/>
  <c r="U271" i="15"/>
  <c r="V271" i="15"/>
  <c r="W271" i="15"/>
  <c r="X271" i="15"/>
  <c r="Y271" i="15"/>
  <c r="Z271" i="15"/>
  <c r="AA271" i="15"/>
  <c r="AB271" i="15"/>
  <c r="AC271" i="15"/>
  <c r="AD271" i="15"/>
  <c r="AE271" i="15"/>
  <c r="AF271" i="15"/>
  <c r="AG271" i="15"/>
  <c r="AH271" i="15"/>
  <c r="AI271" i="15"/>
  <c r="AJ271" i="15"/>
  <c r="AK271" i="15"/>
  <c r="AL271" i="15"/>
  <c r="AM271" i="15"/>
  <c r="AN271" i="15"/>
  <c r="C272" i="15"/>
  <c r="D272" i="15"/>
  <c r="E272" i="15"/>
  <c r="F272" i="15"/>
  <c r="G272" i="15"/>
  <c r="H272" i="15"/>
  <c r="I272" i="15"/>
  <c r="J272" i="15"/>
  <c r="K272" i="15"/>
  <c r="Y272" i="15"/>
  <c r="Z272" i="15"/>
  <c r="AA272" i="15"/>
  <c r="AB272" i="15"/>
  <c r="AC272" i="15"/>
  <c r="AD272" i="15"/>
  <c r="AE272" i="15"/>
  <c r="AF272" i="15"/>
  <c r="AG272" i="15"/>
  <c r="AH272" i="15"/>
  <c r="AI272" i="15"/>
  <c r="AJ272" i="15"/>
  <c r="AK272" i="15"/>
  <c r="AL272" i="15"/>
  <c r="AN272" i="15"/>
  <c r="C273" i="15"/>
  <c r="D273" i="15"/>
  <c r="E273" i="15"/>
  <c r="F273" i="15"/>
  <c r="G273" i="15"/>
  <c r="H273" i="15"/>
  <c r="I273" i="15"/>
  <c r="J273" i="15"/>
  <c r="K273" i="15"/>
  <c r="Y273" i="15"/>
  <c r="Z273" i="15"/>
  <c r="AA273" i="15"/>
  <c r="AB273" i="15"/>
  <c r="AC273" i="15"/>
  <c r="AD273" i="15"/>
  <c r="AE273" i="15"/>
  <c r="AF273" i="15"/>
  <c r="AG273" i="15"/>
  <c r="AH273" i="15"/>
  <c r="AI273" i="15"/>
  <c r="AJ273" i="15"/>
  <c r="AK273" i="15"/>
  <c r="AL273" i="15"/>
  <c r="AN273" i="15"/>
  <c r="B275" i="15"/>
  <c r="C275" i="15"/>
  <c r="C276" i="15" s="1"/>
  <c r="D275" i="15"/>
  <c r="E275" i="15"/>
  <c r="F275" i="15"/>
  <c r="G275" i="15"/>
  <c r="H275" i="15"/>
  <c r="U275" i="15"/>
  <c r="V275" i="15"/>
  <c r="W275" i="15"/>
  <c r="Z275" i="15"/>
  <c r="AA275" i="15"/>
  <c r="AC275" i="15"/>
  <c r="AD275" i="15"/>
  <c r="AE275" i="15"/>
  <c r="AG275" i="15"/>
  <c r="AH275" i="15"/>
  <c r="AI275" i="15"/>
  <c r="B276" i="15"/>
  <c r="B277" i="15"/>
  <c r="B278" i="15"/>
  <c r="B279" i="15"/>
  <c r="B281" i="15"/>
  <c r="C281" i="15"/>
  <c r="D281" i="15"/>
  <c r="E281" i="15"/>
  <c r="F281" i="15"/>
  <c r="G281" i="15"/>
  <c r="H281" i="15"/>
  <c r="U281" i="15"/>
  <c r="V281" i="15"/>
  <c r="Z281" i="15"/>
  <c r="AC281" i="15"/>
  <c r="AD281" i="15"/>
  <c r="AE281" i="15"/>
  <c r="AG281" i="15"/>
  <c r="AH281" i="15"/>
  <c r="AI281" i="15"/>
  <c r="B282" i="15"/>
  <c r="B283" i="15"/>
  <c r="B285" i="15"/>
  <c r="B286" i="15"/>
  <c r="B287" i="15"/>
  <c r="C287" i="15"/>
  <c r="D287" i="15"/>
  <c r="E287" i="15"/>
  <c r="F287" i="15"/>
  <c r="G287" i="15"/>
  <c r="H287" i="15"/>
  <c r="U287" i="15"/>
  <c r="Y287" i="15"/>
  <c r="AC287" i="15"/>
  <c r="AG287" i="15"/>
  <c r="B288" i="15"/>
  <c r="C288" i="15"/>
  <c r="D288" i="15"/>
  <c r="E288" i="15"/>
  <c r="F288" i="15"/>
  <c r="G288" i="15"/>
  <c r="H288" i="15"/>
  <c r="U288" i="15"/>
  <c r="Y288" i="15"/>
  <c r="AC288" i="15"/>
  <c r="AG288" i="15"/>
  <c r="B289" i="15"/>
  <c r="B290" i="15"/>
  <c r="C290" i="15"/>
  <c r="D290" i="15"/>
  <c r="E290" i="15"/>
  <c r="F290" i="15"/>
  <c r="G290" i="15"/>
  <c r="U290" i="15"/>
  <c r="Y290" i="15"/>
  <c r="B291" i="15"/>
  <c r="C291" i="15"/>
  <c r="D291" i="15"/>
  <c r="E291" i="15"/>
  <c r="F291" i="15"/>
  <c r="G291" i="15"/>
  <c r="H291" i="15"/>
  <c r="U291" i="15"/>
  <c r="Y291" i="15"/>
  <c r="AC291" i="15"/>
  <c r="AG291" i="15"/>
  <c r="B292" i="15"/>
  <c r="AC292" i="15"/>
  <c r="AG292" i="15"/>
  <c r="B293" i="15"/>
  <c r="C293" i="15"/>
  <c r="D293" i="15"/>
  <c r="E293" i="15"/>
  <c r="F293" i="15"/>
  <c r="G293" i="15"/>
  <c r="H293" i="15"/>
  <c r="U293" i="15"/>
  <c r="Y293" i="15"/>
  <c r="AC293" i="15"/>
  <c r="AG293" i="15"/>
  <c r="B294" i="15"/>
  <c r="C294" i="15"/>
  <c r="D294" i="15"/>
  <c r="E294" i="15"/>
  <c r="F294" i="15"/>
  <c r="G294" i="15"/>
  <c r="H294" i="15"/>
  <c r="U294" i="15"/>
  <c r="W294" i="15"/>
  <c r="Y294" i="15"/>
  <c r="AA294" i="15"/>
  <c r="AC294" i="15"/>
  <c r="AG294" i="15"/>
  <c r="B295" i="15"/>
  <c r="B296" i="15"/>
  <c r="D296" i="15"/>
  <c r="E296" i="15"/>
  <c r="F296" i="15"/>
  <c r="U296" i="15"/>
  <c r="Y296" i="15"/>
  <c r="AC296" i="15"/>
  <c r="AG296" i="15"/>
  <c r="B297" i="15"/>
  <c r="C297" i="15"/>
  <c r="D297" i="15"/>
  <c r="E297" i="15"/>
  <c r="F297" i="15"/>
  <c r="G297" i="15"/>
  <c r="H297" i="15"/>
  <c r="U297" i="15"/>
  <c r="V297" i="15"/>
  <c r="W297" i="15"/>
  <c r="X297" i="15"/>
  <c r="Y297" i="15"/>
  <c r="Z297" i="15"/>
  <c r="AA297" i="15"/>
  <c r="AB297" i="15"/>
  <c r="AC297" i="15"/>
  <c r="AG297" i="15"/>
  <c r="B298" i="15"/>
  <c r="C298" i="15"/>
  <c r="D298" i="15"/>
  <c r="E298" i="15"/>
  <c r="F298" i="15"/>
  <c r="G298" i="15"/>
  <c r="U298" i="15"/>
  <c r="Y298" i="15"/>
  <c r="AC298" i="15"/>
  <c r="AG298" i="15"/>
  <c r="B299" i="15"/>
  <c r="C299" i="15"/>
  <c r="D299" i="15"/>
  <c r="E299" i="15"/>
  <c r="F299" i="15"/>
  <c r="G299" i="15"/>
  <c r="H299" i="15"/>
  <c r="U299" i="15"/>
  <c r="Y299" i="15"/>
  <c r="AC299" i="15"/>
  <c r="AG299" i="15"/>
  <c r="B300" i="15"/>
  <c r="B301" i="15"/>
  <c r="C301" i="15"/>
  <c r="D301" i="15"/>
  <c r="E301" i="15"/>
  <c r="F301" i="15"/>
  <c r="G301" i="15"/>
  <c r="H301" i="15"/>
  <c r="U301" i="15"/>
  <c r="Y301" i="15"/>
  <c r="AC301" i="15"/>
  <c r="AG301" i="15"/>
  <c r="B302" i="15"/>
  <c r="B303" i="15"/>
  <c r="C303" i="15"/>
  <c r="D303" i="15"/>
  <c r="E303" i="15"/>
  <c r="F303" i="15"/>
  <c r="G303" i="15"/>
  <c r="H303" i="15"/>
  <c r="U303" i="15"/>
  <c r="Y303" i="15"/>
  <c r="AC303" i="15"/>
  <c r="AG303" i="15"/>
  <c r="B304" i="15"/>
  <c r="B305" i="15"/>
  <c r="B320" i="15"/>
  <c r="B321" i="15"/>
  <c r="B323" i="15"/>
  <c r="B324" i="15"/>
  <c r="B326" i="15"/>
  <c r="B327" i="15"/>
  <c r="B329" i="15"/>
  <c r="B330" i="15"/>
  <c r="G336" i="15"/>
  <c r="H336" i="15"/>
  <c r="I336" i="15"/>
  <c r="J336" i="15"/>
  <c r="K336" i="15"/>
  <c r="AE336" i="15"/>
  <c r="AF336" i="15"/>
  <c r="AG336" i="15"/>
  <c r="AH336" i="15"/>
  <c r="AI336" i="15"/>
  <c r="AJ336" i="15"/>
  <c r="AK336" i="15"/>
  <c r="AL336" i="15"/>
  <c r="AM336" i="15"/>
  <c r="AN336" i="15"/>
  <c r="B338" i="15"/>
  <c r="B339" i="15"/>
  <c r="B341" i="15"/>
  <c r="B342" i="15"/>
  <c r="B343" i="15"/>
  <c r="B344" i="15"/>
  <c r="C345" i="15"/>
  <c r="C364" i="15" s="1"/>
  <c r="D345" i="15"/>
  <c r="D364" i="15" s="1"/>
  <c r="E345" i="15"/>
  <c r="E364" i="15" s="1"/>
  <c r="F345" i="15"/>
  <c r="F364" i="15" s="1"/>
  <c r="G345" i="15"/>
  <c r="G364" i="15" s="1"/>
  <c r="H345" i="15"/>
  <c r="H364" i="15" s="1"/>
  <c r="I345" i="15"/>
  <c r="J345" i="15"/>
  <c r="K345" i="15"/>
  <c r="Y345" i="15"/>
  <c r="Y364" i="15" s="1"/>
  <c r="Z345" i="15"/>
  <c r="Z364" i="15" s="1"/>
  <c r="AA345" i="15"/>
  <c r="AA364" i="15" s="1"/>
  <c r="AC345" i="15"/>
  <c r="AC364" i="15" s="1"/>
  <c r="AD345" i="15"/>
  <c r="AD364" i="15" s="1"/>
  <c r="AE345" i="15"/>
  <c r="AE364" i="15" s="1"/>
  <c r="AG345" i="15"/>
  <c r="AG364" i="15" s="1"/>
  <c r="AH345" i="15"/>
  <c r="AH364" i="15" s="1"/>
  <c r="AI345" i="15"/>
  <c r="AI364" i="15" s="1"/>
  <c r="AK345" i="15"/>
  <c r="AL345" i="15"/>
  <c r="AM345" i="15"/>
  <c r="C355" i="15"/>
  <c r="D355" i="15"/>
  <c r="E355" i="15"/>
  <c r="F355" i="15"/>
  <c r="G355" i="15"/>
  <c r="H355" i="15"/>
  <c r="I355" i="15"/>
  <c r="J355" i="15"/>
  <c r="K355" i="15"/>
  <c r="U355" i="15"/>
  <c r="V355" i="15"/>
  <c r="W355" i="15"/>
  <c r="X355" i="15"/>
  <c r="Y355" i="15"/>
  <c r="Z355" i="15"/>
  <c r="AA355" i="15"/>
  <c r="AB355" i="15"/>
  <c r="AC355" i="15"/>
  <c r="AD355" i="15"/>
  <c r="AE355" i="15"/>
  <c r="AF355" i="15"/>
  <c r="AG355" i="15"/>
  <c r="AH355" i="15"/>
  <c r="AI355" i="15"/>
  <c r="AJ355" i="15"/>
  <c r="AK355" i="15"/>
  <c r="AL355" i="15"/>
  <c r="AM355" i="15"/>
  <c r="AN355" i="15"/>
  <c r="C378" i="15"/>
  <c r="D378" i="15"/>
  <c r="E378" i="15"/>
  <c r="F378" i="15"/>
  <c r="G378" i="15"/>
  <c r="H378" i="15"/>
  <c r="I378" i="15"/>
  <c r="J378" i="15"/>
  <c r="K378" i="15"/>
  <c r="AE378" i="15"/>
  <c r="AF378" i="15"/>
  <c r="AG378" i="15"/>
  <c r="AH378" i="15"/>
  <c r="AI378" i="15"/>
  <c r="AJ378" i="15"/>
  <c r="AK378" i="15"/>
  <c r="AL378" i="15"/>
  <c r="AM378" i="15"/>
  <c r="AN378" i="15"/>
  <c r="BK378" i="15"/>
  <c r="BL378" i="15"/>
  <c r="BM378" i="15"/>
  <c r="BN378" i="15"/>
  <c r="BO378" i="15"/>
  <c r="BP378" i="15"/>
  <c r="BR378" i="15"/>
  <c r="AN379" i="15"/>
  <c r="X379" i="15"/>
  <c r="AB379" i="15"/>
  <c r="AF379" i="15"/>
  <c r="AJ379" i="15"/>
  <c r="BV380" i="15" s="1"/>
  <c r="BN379" i="15"/>
  <c r="C380" i="15"/>
  <c r="D380" i="15"/>
  <c r="E380" i="15"/>
  <c r="F380" i="15"/>
  <c r="G380" i="15"/>
  <c r="H380" i="15"/>
  <c r="I380" i="15"/>
  <c r="J380" i="15"/>
  <c r="K380" i="15"/>
  <c r="Y380" i="15"/>
  <c r="Z380" i="15"/>
  <c r="AA380" i="15"/>
  <c r="AC380" i="15"/>
  <c r="AD380" i="15"/>
  <c r="AE380" i="15"/>
  <c r="AG380" i="15"/>
  <c r="AH380" i="15"/>
  <c r="AI380" i="15"/>
  <c r="AK380" i="15"/>
  <c r="AL380" i="15"/>
  <c r="AM380" i="15"/>
  <c r="BK380" i="15"/>
  <c r="BL380" i="15"/>
  <c r="BM380" i="15"/>
  <c r="BO380" i="15"/>
  <c r="BP380" i="15"/>
  <c r="AN381" i="15"/>
  <c r="X381" i="15"/>
  <c r="AB381" i="15"/>
  <c r="AF381" i="15"/>
  <c r="AJ381" i="15"/>
  <c r="BV382" i="15" s="1"/>
  <c r="BN381" i="15"/>
  <c r="C382" i="15"/>
  <c r="D382" i="15"/>
  <c r="E382" i="15"/>
  <c r="F382" i="15"/>
  <c r="G382" i="15"/>
  <c r="H382" i="15"/>
  <c r="I382" i="15"/>
  <c r="J382" i="15"/>
  <c r="K382" i="15"/>
  <c r="Y382" i="15"/>
  <c r="Z382" i="15"/>
  <c r="AA382" i="15"/>
  <c r="AC382" i="15"/>
  <c r="AD382" i="15"/>
  <c r="AE382" i="15"/>
  <c r="AG382" i="15"/>
  <c r="AH382" i="15"/>
  <c r="AI382" i="15"/>
  <c r="AK382" i="15"/>
  <c r="AL382" i="15"/>
  <c r="AM382" i="15"/>
  <c r="BK382" i="15"/>
  <c r="BL382" i="15"/>
  <c r="BM382" i="15"/>
  <c r="BO382" i="15"/>
  <c r="BP382" i="15"/>
  <c r="AN383" i="15"/>
  <c r="X383" i="15"/>
  <c r="Y383" i="15"/>
  <c r="Y387" i="15" s="1"/>
  <c r="AF383" i="15"/>
  <c r="AJ383" i="15"/>
  <c r="BV384" i="15" s="1"/>
  <c r="BN383" i="15"/>
  <c r="C384" i="15"/>
  <c r="D384" i="15"/>
  <c r="E384" i="15"/>
  <c r="F384" i="15"/>
  <c r="G384" i="15"/>
  <c r="H384" i="15"/>
  <c r="I384" i="15"/>
  <c r="J384" i="15"/>
  <c r="K384" i="15"/>
  <c r="Z384" i="15"/>
  <c r="AA384" i="15"/>
  <c r="AD384" i="15"/>
  <c r="AE384" i="15"/>
  <c r="AG384" i="15"/>
  <c r="AH384" i="15"/>
  <c r="AI384" i="15"/>
  <c r="AK384" i="15"/>
  <c r="AL384" i="15"/>
  <c r="AM384" i="15"/>
  <c r="BL384" i="15"/>
  <c r="BM384" i="15"/>
  <c r="BO384" i="15"/>
  <c r="BP384" i="15"/>
  <c r="AN385" i="15"/>
  <c r="X385" i="15"/>
  <c r="AB385" i="15"/>
  <c r="AF385" i="15"/>
  <c r="AJ385" i="15"/>
  <c r="BV386" i="15" s="1"/>
  <c r="BN385" i="15"/>
  <c r="C386" i="15"/>
  <c r="D386" i="15"/>
  <c r="E386" i="15"/>
  <c r="F386" i="15"/>
  <c r="G386" i="15"/>
  <c r="H386" i="15"/>
  <c r="I386" i="15"/>
  <c r="J386" i="15"/>
  <c r="K386" i="15"/>
  <c r="Y386" i="15"/>
  <c r="Z386" i="15"/>
  <c r="AA386" i="15"/>
  <c r="AC386" i="15"/>
  <c r="AD386" i="15"/>
  <c r="AE386" i="15"/>
  <c r="AG386" i="15"/>
  <c r="AH386" i="15"/>
  <c r="AI386" i="15"/>
  <c r="AK386" i="15"/>
  <c r="AL386" i="15"/>
  <c r="AM386" i="15"/>
  <c r="BK386" i="15"/>
  <c r="BL386" i="15"/>
  <c r="BM386" i="15"/>
  <c r="BO386" i="15"/>
  <c r="BP386" i="15"/>
  <c r="E387" i="15"/>
  <c r="F387" i="15"/>
  <c r="F388" i="15" s="1"/>
  <c r="F390" i="15" s="1"/>
  <c r="G387" i="15"/>
  <c r="G388" i="15" s="1"/>
  <c r="H387" i="15"/>
  <c r="H388" i="15" s="1"/>
  <c r="I387" i="15"/>
  <c r="I388" i="15" s="1"/>
  <c r="I390" i="15" s="1"/>
  <c r="J387" i="15"/>
  <c r="J388" i="15" s="1"/>
  <c r="L389" i="15" s="1"/>
  <c r="K387" i="15"/>
  <c r="AK387" i="15"/>
  <c r="AK388" i="15" s="1"/>
  <c r="AK390" i="15" s="1"/>
  <c r="AL387" i="15"/>
  <c r="AL388" i="15" s="1"/>
  <c r="AM387" i="15"/>
  <c r="AM388" i="15" s="1"/>
  <c r="Z387" i="15"/>
  <c r="Z388" i="15" s="1"/>
  <c r="Z390" i="15" s="1"/>
  <c r="AC387" i="15"/>
  <c r="AC388" i="15" s="1"/>
  <c r="AC390" i="15" s="1"/>
  <c r="AD387" i="15"/>
  <c r="AD388" i="15" s="1"/>
  <c r="AE387" i="15"/>
  <c r="AE388" i="15" s="1"/>
  <c r="AG387" i="15"/>
  <c r="AG388" i="15" s="1"/>
  <c r="AH387" i="15"/>
  <c r="AH388" i="15" s="1"/>
  <c r="AI387" i="15"/>
  <c r="AI388" i="15" s="1"/>
  <c r="AI390" i="15" s="1"/>
  <c r="BK387" i="15"/>
  <c r="BL387" i="15"/>
  <c r="BL388" i="15" s="1"/>
  <c r="BL390" i="15" s="1"/>
  <c r="BM387" i="15"/>
  <c r="BM388" i="15" s="1"/>
  <c r="BM390" i="15" s="1"/>
  <c r="BO387" i="15"/>
  <c r="BO388" i="15" s="1"/>
  <c r="BP387" i="15"/>
  <c r="BP388" i="15" s="1"/>
  <c r="BU389" i="15" s="1"/>
  <c r="C388" i="15"/>
  <c r="D388" i="15"/>
  <c r="D390" i="15" s="1"/>
  <c r="U388" i="15"/>
  <c r="U390" i="15" s="1"/>
  <c r="V388" i="15"/>
  <c r="V390" i="15" s="1"/>
  <c r="W388" i="15"/>
  <c r="W390" i="15" s="1"/>
  <c r="AA388" i="15"/>
  <c r="BQ388" i="15"/>
  <c r="C392" i="15"/>
  <c r="D392" i="15"/>
  <c r="E392" i="15"/>
  <c r="F392" i="15"/>
  <c r="G392" i="15"/>
  <c r="H392" i="15"/>
  <c r="I392" i="15"/>
  <c r="J392" i="15"/>
  <c r="K392" i="15"/>
  <c r="U392" i="15"/>
  <c r="V392" i="15"/>
  <c r="W392" i="15"/>
  <c r="X392" i="15"/>
  <c r="Y392" i="15"/>
  <c r="Z392" i="15"/>
  <c r="AA392" i="15"/>
  <c r="AB392" i="15"/>
  <c r="AC392" i="15"/>
  <c r="AD392" i="15"/>
  <c r="AE392" i="15"/>
  <c r="AF392" i="15"/>
  <c r="AG392" i="15"/>
  <c r="AH392" i="15"/>
  <c r="AI392" i="15"/>
  <c r="AJ392" i="15"/>
  <c r="AK392" i="15"/>
  <c r="AL392" i="15"/>
  <c r="AM392" i="15"/>
  <c r="AN392" i="15"/>
  <c r="BK392" i="15"/>
  <c r="BL392" i="15"/>
  <c r="BM392" i="15"/>
  <c r="BN392" i="15"/>
  <c r="BO392" i="15"/>
  <c r="BP392" i="15"/>
  <c r="BQ392" i="15"/>
  <c r="BR392" i="15"/>
  <c r="AN393" i="15"/>
  <c r="X393" i="15"/>
  <c r="Y393" i="15"/>
  <c r="Y403" i="15" s="1"/>
  <c r="AF393" i="15"/>
  <c r="AJ393" i="15"/>
  <c r="BN393" i="15"/>
  <c r="AN394" i="15"/>
  <c r="X394" i="15"/>
  <c r="Y394" i="15"/>
  <c r="AB394" i="15" s="1"/>
  <c r="AF394" i="15"/>
  <c r="AJ394" i="15"/>
  <c r="BN394" i="15"/>
  <c r="AN395" i="15"/>
  <c r="X395" i="15"/>
  <c r="Y395" i="15"/>
  <c r="AB395" i="15" s="1"/>
  <c r="AF395" i="15"/>
  <c r="AJ395" i="15"/>
  <c r="BN395" i="15"/>
  <c r="AN396" i="15"/>
  <c r="X396" i="15"/>
  <c r="Y396" i="15"/>
  <c r="Y406" i="15" s="1"/>
  <c r="AF396" i="15"/>
  <c r="AJ396" i="15"/>
  <c r="BN396" i="15"/>
  <c r="E397" i="15"/>
  <c r="E398" i="15" s="1"/>
  <c r="F397" i="15"/>
  <c r="G397" i="15"/>
  <c r="G398" i="15" s="1"/>
  <c r="H397" i="15"/>
  <c r="H398" i="15" s="1"/>
  <c r="I397" i="15"/>
  <c r="J397" i="15"/>
  <c r="J398" i="15" s="1"/>
  <c r="K397" i="15"/>
  <c r="AK397" i="15"/>
  <c r="AK398" i="15" s="1"/>
  <c r="AL397" i="15"/>
  <c r="AL398" i="15" s="1"/>
  <c r="AM397" i="15"/>
  <c r="AM398" i="15" s="1"/>
  <c r="AC397" i="15"/>
  <c r="AC398" i="15" s="1"/>
  <c r="AD397" i="15"/>
  <c r="AD398" i="15" s="1"/>
  <c r="AE397" i="15"/>
  <c r="AE398" i="15" s="1"/>
  <c r="AG397" i="15"/>
  <c r="AG398" i="15" s="1"/>
  <c r="AH397" i="15"/>
  <c r="AH398" i="15" s="1"/>
  <c r="AI397" i="15"/>
  <c r="AI398" i="15" s="1"/>
  <c r="BK397" i="15"/>
  <c r="BL397" i="15"/>
  <c r="BL398" i="15" s="1"/>
  <c r="BM397" i="15"/>
  <c r="BM398" i="15" s="1"/>
  <c r="BO397" i="15"/>
  <c r="BO398" i="15" s="1"/>
  <c r="BP397" i="15"/>
  <c r="BP398" i="15" s="1"/>
  <c r="BU399" i="15" s="1"/>
  <c r="C398" i="15"/>
  <c r="C399" i="15" s="1"/>
  <c r="D398" i="15"/>
  <c r="U398" i="15"/>
  <c r="V398" i="15"/>
  <c r="V399" i="15" s="1"/>
  <c r="W398" i="15"/>
  <c r="Z398" i="15"/>
  <c r="AA398" i="15"/>
  <c r="BQ398" i="15"/>
  <c r="BQ400" i="15" s="1"/>
  <c r="C402" i="15"/>
  <c r="D402" i="15"/>
  <c r="E402" i="15"/>
  <c r="F402" i="15"/>
  <c r="G402" i="15"/>
  <c r="H402" i="15"/>
  <c r="I402" i="15"/>
  <c r="J402" i="15"/>
  <c r="K402" i="15"/>
  <c r="U402" i="15"/>
  <c r="V402" i="15"/>
  <c r="W402" i="15"/>
  <c r="X402" i="15"/>
  <c r="Y402" i="15"/>
  <c r="Z402" i="15"/>
  <c r="AA402" i="15"/>
  <c r="AB402" i="15"/>
  <c r="AC402" i="15"/>
  <c r="AD402" i="15"/>
  <c r="AE402" i="15"/>
  <c r="AF402" i="15"/>
  <c r="AG402" i="15"/>
  <c r="AH402" i="15"/>
  <c r="AI402" i="15"/>
  <c r="AJ402" i="15"/>
  <c r="AK402" i="15"/>
  <c r="AL402" i="15"/>
  <c r="AM402" i="15"/>
  <c r="AN402" i="15"/>
  <c r="BK402" i="15"/>
  <c r="BL402" i="15"/>
  <c r="BM402" i="15"/>
  <c r="BN402" i="15"/>
  <c r="BO402" i="15"/>
  <c r="BP402" i="15"/>
  <c r="BQ402" i="15"/>
  <c r="BR402" i="15"/>
  <c r="C403" i="15"/>
  <c r="D403" i="15"/>
  <c r="E403" i="15"/>
  <c r="F403" i="15"/>
  <c r="G403" i="15"/>
  <c r="H403" i="15"/>
  <c r="I403" i="15"/>
  <c r="J403" i="15"/>
  <c r="K403" i="15"/>
  <c r="U403" i="15"/>
  <c r="V403" i="15"/>
  <c r="W403" i="15"/>
  <c r="Z403" i="15"/>
  <c r="AA403" i="15"/>
  <c r="AC403" i="15"/>
  <c r="AD403" i="15"/>
  <c r="AE403" i="15"/>
  <c r="AG403" i="15"/>
  <c r="AH403" i="15"/>
  <c r="AI403" i="15"/>
  <c r="AK403" i="15"/>
  <c r="AL403" i="15"/>
  <c r="AM403" i="15"/>
  <c r="BK403" i="15"/>
  <c r="BL403" i="15"/>
  <c r="BM403" i="15"/>
  <c r="BO403" i="15"/>
  <c r="BP403" i="15"/>
  <c r="C404" i="15"/>
  <c r="D404" i="15"/>
  <c r="E404" i="15"/>
  <c r="F404" i="15"/>
  <c r="G404" i="15"/>
  <c r="H404" i="15"/>
  <c r="I404" i="15"/>
  <c r="J404" i="15"/>
  <c r="K404" i="15"/>
  <c r="U404" i="15"/>
  <c r="V404" i="15"/>
  <c r="W404" i="15"/>
  <c r="Z404" i="15"/>
  <c r="AA404" i="15"/>
  <c r="AC404" i="15"/>
  <c r="AD404" i="15"/>
  <c r="AE404" i="15"/>
  <c r="AG404" i="15"/>
  <c r="AH404" i="15"/>
  <c r="AI404" i="15"/>
  <c r="AK404" i="15"/>
  <c r="AL404" i="15"/>
  <c r="AM404" i="15"/>
  <c r="BK404" i="15"/>
  <c r="BL404" i="15"/>
  <c r="BM404" i="15"/>
  <c r="BO404" i="15"/>
  <c r="BP404" i="15"/>
  <c r="C405" i="15"/>
  <c r="D405" i="15"/>
  <c r="E405" i="15"/>
  <c r="F405" i="15"/>
  <c r="G405" i="15"/>
  <c r="H405" i="15"/>
  <c r="I405" i="15"/>
  <c r="J405" i="15"/>
  <c r="K405" i="15"/>
  <c r="U405" i="15"/>
  <c r="V405" i="15"/>
  <c r="W405" i="15"/>
  <c r="Z405" i="15"/>
  <c r="AA405" i="15"/>
  <c r="AC405" i="15"/>
  <c r="AD405" i="15"/>
  <c r="AE405" i="15"/>
  <c r="AG405" i="15"/>
  <c r="AH405" i="15"/>
  <c r="AI405" i="15"/>
  <c r="AK405" i="15"/>
  <c r="AL405" i="15"/>
  <c r="AM405" i="15"/>
  <c r="BK405" i="15"/>
  <c r="BL405" i="15"/>
  <c r="BM405" i="15"/>
  <c r="BO405" i="15"/>
  <c r="BP405" i="15"/>
  <c r="C406" i="15"/>
  <c r="D406" i="15"/>
  <c r="E406" i="15"/>
  <c r="F406" i="15"/>
  <c r="G406" i="15"/>
  <c r="H406" i="15"/>
  <c r="I406" i="15"/>
  <c r="J406" i="15"/>
  <c r="K406" i="15"/>
  <c r="U406" i="15"/>
  <c r="V406" i="15"/>
  <c r="W406" i="15"/>
  <c r="Z406" i="15"/>
  <c r="AA406" i="15"/>
  <c r="AC406" i="15"/>
  <c r="AD406" i="15"/>
  <c r="AE406" i="15"/>
  <c r="AG406" i="15"/>
  <c r="AH406" i="15"/>
  <c r="AI406" i="15"/>
  <c r="AK406" i="15"/>
  <c r="AL406" i="15"/>
  <c r="AM406" i="15"/>
  <c r="BK406" i="15"/>
  <c r="BL406" i="15"/>
  <c r="BM406" i="15"/>
  <c r="BO406" i="15"/>
  <c r="BP406" i="15"/>
  <c r="BQ408" i="15"/>
  <c r="C412" i="15"/>
  <c r="D412" i="15"/>
  <c r="E412" i="15"/>
  <c r="F412" i="15"/>
  <c r="G412" i="15"/>
  <c r="H412" i="15"/>
  <c r="I412" i="15"/>
  <c r="J412" i="15"/>
  <c r="K412" i="15"/>
  <c r="U412" i="15"/>
  <c r="V412" i="15"/>
  <c r="W412" i="15"/>
  <c r="X412" i="15"/>
  <c r="Y412" i="15"/>
  <c r="Z412" i="15"/>
  <c r="AA412" i="15"/>
  <c r="AB412" i="15"/>
  <c r="AC412" i="15"/>
  <c r="AD412" i="15"/>
  <c r="AE412" i="15"/>
  <c r="AF412" i="15"/>
  <c r="AG412" i="15"/>
  <c r="AH412" i="15"/>
  <c r="AI412" i="15"/>
  <c r="AJ412" i="15"/>
  <c r="AK412" i="15"/>
  <c r="AL412" i="15"/>
  <c r="AM412" i="15"/>
  <c r="AN412" i="15"/>
  <c r="BK412" i="15"/>
  <c r="BL412" i="15"/>
  <c r="BM412" i="15"/>
  <c r="BN412" i="15"/>
  <c r="BO412" i="15"/>
  <c r="BP412" i="15"/>
  <c r="BQ412" i="15"/>
  <c r="BR412" i="15"/>
  <c r="AN413" i="15"/>
  <c r="X413" i="15"/>
  <c r="Y413" i="15"/>
  <c r="AF413" i="15"/>
  <c r="AJ413" i="15"/>
  <c r="BV414" i="15" s="1"/>
  <c r="BN413" i="15"/>
  <c r="C414" i="15"/>
  <c r="D414" i="15"/>
  <c r="E414" i="15"/>
  <c r="F414" i="15"/>
  <c r="G414" i="15"/>
  <c r="H414" i="15"/>
  <c r="I414" i="15"/>
  <c r="J414" i="15"/>
  <c r="K414" i="15"/>
  <c r="Z414" i="15"/>
  <c r="AA414" i="15"/>
  <c r="AD414" i="15"/>
  <c r="AE414" i="15"/>
  <c r="AG414" i="15"/>
  <c r="AH414" i="15"/>
  <c r="AI414" i="15"/>
  <c r="AK414" i="15"/>
  <c r="AL414" i="15"/>
  <c r="AM414" i="15"/>
  <c r="BL414" i="15"/>
  <c r="BM414" i="15"/>
  <c r="BO414" i="15"/>
  <c r="BP414" i="15"/>
  <c r="AN415" i="15"/>
  <c r="X415" i="15"/>
  <c r="Y415" i="15"/>
  <c r="Y416" i="15" s="1"/>
  <c r="AF415" i="15"/>
  <c r="AJ415" i="15"/>
  <c r="BV416" i="15" s="1"/>
  <c r="BN415" i="15"/>
  <c r="C416" i="15"/>
  <c r="D416" i="15"/>
  <c r="E416" i="15"/>
  <c r="F416" i="15"/>
  <c r="G416" i="15"/>
  <c r="H416" i="15"/>
  <c r="I416" i="15"/>
  <c r="J416" i="15"/>
  <c r="K416" i="15"/>
  <c r="Z416" i="15"/>
  <c r="AA416" i="15"/>
  <c r="AD416" i="15"/>
  <c r="AE416" i="15"/>
  <c r="AG416" i="15"/>
  <c r="AH416" i="15"/>
  <c r="AI416" i="15"/>
  <c r="AK416" i="15"/>
  <c r="AL416" i="15"/>
  <c r="AM416" i="15"/>
  <c r="BL416" i="15"/>
  <c r="BM416" i="15"/>
  <c r="BO416" i="15"/>
  <c r="BP416" i="15"/>
  <c r="AN417" i="15"/>
  <c r="X417" i="15"/>
  <c r="Y417" i="15"/>
  <c r="AC418" i="15" s="1"/>
  <c r="AF417" i="15"/>
  <c r="AJ417" i="15"/>
  <c r="BN417" i="15"/>
  <c r="C418" i="15"/>
  <c r="D418" i="15"/>
  <c r="E418" i="15"/>
  <c r="F418" i="15"/>
  <c r="G418" i="15"/>
  <c r="H418" i="15"/>
  <c r="I418" i="15"/>
  <c r="J418" i="15"/>
  <c r="K418" i="15"/>
  <c r="Z418" i="15"/>
  <c r="AA418" i="15"/>
  <c r="AD418" i="15"/>
  <c r="AE418" i="15"/>
  <c r="AG418" i="15"/>
  <c r="AH418" i="15"/>
  <c r="AI418" i="15"/>
  <c r="AK418" i="15"/>
  <c r="AL418" i="15"/>
  <c r="AM418" i="15"/>
  <c r="BL418" i="15"/>
  <c r="BM418" i="15"/>
  <c r="BO418" i="15"/>
  <c r="BP418" i="15"/>
  <c r="AN419" i="15"/>
  <c r="X419" i="15"/>
  <c r="Y419" i="15"/>
  <c r="AB419" i="15" s="1"/>
  <c r="AF419" i="15"/>
  <c r="AJ419" i="15"/>
  <c r="BV420" i="15" s="1"/>
  <c r="BN419" i="15"/>
  <c r="C420" i="15"/>
  <c r="D420" i="15"/>
  <c r="E420" i="15"/>
  <c r="F420" i="15"/>
  <c r="G420" i="15"/>
  <c r="H420" i="15"/>
  <c r="I420" i="15"/>
  <c r="J420" i="15"/>
  <c r="K420" i="15"/>
  <c r="Z420" i="15"/>
  <c r="AA420" i="15"/>
  <c r="AD420" i="15"/>
  <c r="AE420" i="15"/>
  <c r="AG420" i="15"/>
  <c r="AH420" i="15"/>
  <c r="AI420" i="15"/>
  <c r="AK420" i="15"/>
  <c r="AL420" i="15"/>
  <c r="AM420" i="15"/>
  <c r="BL420" i="15"/>
  <c r="BM420" i="15"/>
  <c r="BO420" i="15"/>
  <c r="BP420" i="15"/>
  <c r="C423" i="15"/>
  <c r="D423" i="15"/>
  <c r="E423" i="15"/>
  <c r="F423" i="15"/>
  <c r="G423" i="15"/>
  <c r="H423" i="15"/>
  <c r="I423" i="15"/>
  <c r="J423" i="15"/>
  <c r="K423" i="15"/>
  <c r="U423" i="15"/>
  <c r="V423" i="15"/>
  <c r="W423" i="15"/>
  <c r="X423" i="15"/>
  <c r="Y423" i="15"/>
  <c r="Z423" i="15"/>
  <c r="AA423" i="15"/>
  <c r="AB423" i="15"/>
  <c r="AC423" i="15"/>
  <c r="AD423" i="15"/>
  <c r="AE423" i="15"/>
  <c r="AF423" i="15"/>
  <c r="AG423" i="15"/>
  <c r="AH423" i="15"/>
  <c r="AI423" i="15"/>
  <c r="AJ423" i="15"/>
  <c r="AK423" i="15"/>
  <c r="AL423" i="15"/>
  <c r="AM423" i="15"/>
  <c r="AN423" i="15"/>
  <c r="BK423" i="15"/>
  <c r="BL423" i="15"/>
  <c r="BM423" i="15"/>
  <c r="BN423" i="15"/>
  <c r="BO423" i="15"/>
  <c r="BP423" i="15"/>
  <c r="BQ423" i="15"/>
  <c r="BR423" i="15"/>
  <c r="C424" i="15"/>
  <c r="D424" i="15"/>
  <c r="E424" i="15"/>
  <c r="F424" i="15"/>
  <c r="G424" i="15"/>
  <c r="H424" i="15"/>
  <c r="I424" i="15"/>
  <c r="J424" i="15"/>
  <c r="K424" i="15"/>
  <c r="U424" i="15"/>
  <c r="V424" i="15"/>
  <c r="W424" i="15"/>
  <c r="Z424" i="15"/>
  <c r="AA424" i="15"/>
  <c r="AC424" i="15"/>
  <c r="AD424" i="15"/>
  <c r="AE424" i="15"/>
  <c r="AG424" i="15"/>
  <c r="AH424" i="15"/>
  <c r="AI424" i="15"/>
  <c r="AK424" i="15"/>
  <c r="AL424" i="15"/>
  <c r="AM424" i="15"/>
  <c r="BK424" i="15"/>
  <c r="BL424" i="15"/>
  <c r="BM424" i="15"/>
  <c r="BO424" i="15"/>
  <c r="BP424" i="15"/>
  <c r="C425" i="15"/>
  <c r="D425" i="15"/>
  <c r="E425" i="15"/>
  <c r="F425" i="15"/>
  <c r="G425" i="15"/>
  <c r="H425" i="15"/>
  <c r="I425" i="15"/>
  <c r="J425" i="15"/>
  <c r="K425" i="15"/>
  <c r="U425" i="15"/>
  <c r="V425" i="15"/>
  <c r="W425" i="15"/>
  <c r="Z425" i="15"/>
  <c r="AA425" i="15"/>
  <c r="AC425" i="15"/>
  <c r="AD425" i="15"/>
  <c r="AE425" i="15"/>
  <c r="AG425" i="15"/>
  <c r="AH425" i="15"/>
  <c r="AI425" i="15"/>
  <c r="AK425" i="15"/>
  <c r="AL425" i="15"/>
  <c r="AM425" i="15"/>
  <c r="BK425" i="15"/>
  <c r="BL425" i="15"/>
  <c r="BM425" i="15"/>
  <c r="BO425" i="15"/>
  <c r="BP425" i="15"/>
  <c r="C426" i="15"/>
  <c r="D426" i="15"/>
  <c r="E426" i="15"/>
  <c r="F426" i="15"/>
  <c r="G426" i="15"/>
  <c r="H426" i="15"/>
  <c r="I426" i="15"/>
  <c r="J426" i="15"/>
  <c r="K426" i="15"/>
  <c r="U426" i="15"/>
  <c r="V426" i="15"/>
  <c r="W426" i="15"/>
  <c r="Z426" i="15"/>
  <c r="AA426" i="15"/>
  <c r="AC426" i="15"/>
  <c r="AD426" i="15"/>
  <c r="AE426" i="15"/>
  <c r="AG426" i="15"/>
  <c r="AH426" i="15"/>
  <c r="AI426" i="15"/>
  <c r="AK426" i="15"/>
  <c r="AL426" i="15"/>
  <c r="AM426" i="15"/>
  <c r="BK426" i="15"/>
  <c r="BL426" i="15"/>
  <c r="BM426" i="15"/>
  <c r="BO426" i="15"/>
  <c r="BP426" i="15"/>
  <c r="C427" i="15"/>
  <c r="D427" i="15"/>
  <c r="E427" i="15"/>
  <c r="F427" i="15"/>
  <c r="G427" i="15"/>
  <c r="H427" i="15"/>
  <c r="I427" i="15"/>
  <c r="J427" i="15"/>
  <c r="K427" i="15"/>
  <c r="U427" i="15"/>
  <c r="V427" i="15"/>
  <c r="W427" i="15"/>
  <c r="Z427" i="15"/>
  <c r="AA427" i="15"/>
  <c r="AC427" i="15"/>
  <c r="AD427" i="15"/>
  <c r="AE427" i="15"/>
  <c r="AG427" i="15"/>
  <c r="AH427" i="15"/>
  <c r="AI427" i="15"/>
  <c r="AK427" i="15"/>
  <c r="AL427" i="15"/>
  <c r="AM427" i="15"/>
  <c r="BK427" i="15"/>
  <c r="BL427" i="15"/>
  <c r="BM427" i="15"/>
  <c r="BO427" i="15"/>
  <c r="BP427" i="15"/>
  <c r="C431" i="15"/>
  <c r="D431" i="15"/>
  <c r="E431" i="15"/>
  <c r="F431" i="15"/>
  <c r="G431" i="15"/>
  <c r="H431" i="15"/>
  <c r="I431" i="15"/>
  <c r="J431" i="15"/>
  <c r="K431" i="15"/>
  <c r="U431" i="15"/>
  <c r="V431" i="15"/>
  <c r="W431" i="15"/>
  <c r="X431" i="15"/>
  <c r="Y431" i="15"/>
  <c r="Z431" i="15"/>
  <c r="AA431" i="15"/>
  <c r="AB431" i="15"/>
  <c r="AC431" i="15"/>
  <c r="AD431" i="15"/>
  <c r="AE431" i="15"/>
  <c r="AF431" i="15"/>
  <c r="AG431" i="15"/>
  <c r="AH431" i="15"/>
  <c r="AI431" i="15"/>
  <c r="AJ431" i="15"/>
  <c r="AK431" i="15"/>
  <c r="AL431" i="15"/>
  <c r="AM431" i="15"/>
  <c r="AN431" i="15"/>
  <c r="BK431" i="15"/>
  <c r="BL431" i="15"/>
  <c r="BM431" i="15"/>
  <c r="BN431" i="15"/>
  <c r="BO431" i="15"/>
  <c r="BP431" i="15"/>
  <c r="BQ431" i="15"/>
  <c r="BR431" i="15"/>
  <c r="W432" i="15"/>
  <c r="W446" i="15" s="1"/>
  <c r="Y432" i="15"/>
  <c r="BK433" i="15" s="1"/>
  <c r="AF432" i="15"/>
  <c r="AJ432" i="15"/>
  <c r="AN432" i="15"/>
  <c r="BN432" i="15"/>
  <c r="BR432" i="15"/>
  <c r="BV433" i="15" s="1"/>
  <c r="C433" i="15"/>
  <c r="D433" i="15"/>
  <c r="E433" i="15"/>
  <c r="F433" i="15"/>
  <c r="G433" i="15"/>
  <c r="H433" i="15"/>
  <c r="I433" i="15"/>
  <c r="J433" i="15"/>
  <c r="K433" i="15"/>
  <c r="Z433" i="15"/>
  <c r="AD433" i="15"/>
  <c r="AG433" i="15"/>
  <c r="AH433" i="15"/>
  <c r="AI433" i="15"/>
  <c r="AK433" i="15"/>
  <c r="AL433" i="15"/>
  <c r="AM433" i="15"/>
  <c r="BL433" i="15"/>
  <c r="BO433" i="15"/>
  <c r="BP433" i="15"/>
  <c r="W434" i="15"/>
  <c r="Y434" i="15"/>
  <c r="AF434" i="15"/>
  <c r="AJ434" i="15"/>
  <c r="AN434" i="15"/>
  <c r="BN434" i="15"/>
  <c r="BR434" i="15"/>
  <c r="BV435" i="15" s="1"/>
  <c r="C435" i="15"/>
  <c r="D435" i="15"/>
  <c r="E435" i="15"/>
  <c r="F435" i="15"/>
  <c r="G435" i="15"/>
  <c r="H435" i="15"/>
  <c r="I435" i="15"/>
  <c r="J435" i="15"/>
  <c r="K435" i="15"/>
  <c r="Z435" i="15"/>
  <c r="AD435" i="15"/>
  <c r="AG435" i="15"/>
  <c r="AH435" i="15"/>
  <c r="AI435" i="15"/>
  <c r="AK435" i="15"/>
  <c r="AL435" i="15"/>
  <c r="AM435" i="15"/>
  <c r="BL435" i="15"/>
  <c r="BO435" i="15"/>
  <c r="BP435" i="15"/>
  <c r="W436" i="15"/>
  <c r="W448" i="15" s="1"/>
  <c r="Y436" i="15"/>
  <c r="AC437" i="15" s="1"/>
  <c r="AF436" i="15"/>
  <c r="AJ436" i="15"/>
  <c r="AN436" i="15"/>
  <c r="BN436" i="15"/>
  <c r="BR436" i="15"/>
  <c r="BV437" i="15" s="1"/>
  <c r="C437" i="15"/>
  <c r="D437" i="15"/>
  <c r="E437" i="15"/>
  <c r="F437" i="15"/>
  <c r="G437" i="15"/>
  <c r="H437" i="15"/>
  <c r="I437" i="15"/>
  <c r="J437" i="15"/>
  <c r="K437" i="15"/>
  <c r="Z437" i="15"/>
  <c r="AD437" i="15"/>
  <c r="AG437" i="15"/>
  <c r="AH437" i="15"/>
  <c r="AI437" i="15"/>
  <c r="AK437" i="15"/>
  <c r="AL437" i="15"/>
  <c r="AM437" i="15"/>
  <c r="BL437" i="15"/>
  <c r="BO437" i="15"/>
  <c r="BP437" i="15"/>
  <c r="W438" i="15"/>
  <c r="W449" i="15" s="1"/>
  <c r="Y438" i="15"/>
  <c r="AA438" i="15" s="1"/>
  <c r="AF438" i="15"/>
  <c r="AJ438" i="15"/>
  <c r="AN438" i="15"/>
  <c r="BN438" i="15"/>
  <c r="BR438" i="15"/>
  <c r="BV439" i="15" s="1"/>
  <c r="C439" i="15"/>
  <c r="D439" i="15"/>
  <c r="E439" i="15"/>
  <c r="F439" i="15"/>
  <c r="G439" i="15"/>
  <c r="H439" i="15"/>
  <c r="I439" i="15"/>
  <c r="J439" i="15"/>
  <c r="K439" i="15"/>
  <c r="Z439" i="15"/>
  <c r="AD439" i="15"/>
  <c r="AG439" i="15"/>
  <c r="AH439" i="15"/>
  <c r="AI439" i="15"/>
  <c r="AK439" i="15"/>
  <c r="AL439" i="15"/>
  <c r="AM439" i="15"/>
  <c r="BL439" i="15"/>
  <c r="BO439" i="15"/>
  <c r="BP439" i="15"/>
  <c r="E440" i="15"/>
  <c r="X440" i="15" s="1"/>
  <c r="F440" i="15"/>
  <c r="G440" i="15"/>
  <c r="G441" i="15" s="1"/>
  <c r="G443" i="15" s="1"/>
  <c r="H440" i="15"/>
  <c r="H441" i="15" s="1"/>
  <c r="H443" i="15" s="1"/>
  <c r="I440" i="15"/>
  <c r="I441" i="15" s="1"/>
  <c r="I443" i="15" s="1"/>
  <c r="J440" i="15"/>
  <c r="K440" i="15"/>
  <c r="AC440" i="15"/>
  <c r="AC441" i="15" s="1"/>
  <c r="AD440" i="15"/>
  <c r="AD441" i="15" s="1"/>
  <c r="AE440" i="15"/>
  <c r="AE441" i="15" s="1"/>
  <c r="AG440" i="15"/>
  <c r="AG441" i="15" s="1"/>
  <c r="AG443" i="15" s="1"/>
  <c r="AH440" i="15"/>
  <c r="AH441" i="15" s="1"/>
  <c r="AI440" i="15"/>
  <c r="AI441" i="15" s="1"/>
  <c r="AI443" i="15" s="1"/>
  <c r="AK440" i="15"/>
  <c r="AL440" i="15"/>
  <c r="AM440" i="15"/>
  <c r="AM441" i="15" s="1"/>
  <c r="BK440" i="15"/>
  <c r="BL440" i="15"/>
  <c r="BL441" i="15" s="1"/>
  <c r="BL443" i="15" s="1"/>
  <c r="BM440" i="15"/>
  <c r="BM441" i="15" s="1"/>
  <c r="BM443" i="15" s="1"/>
  <c r="BO440" i="15"/>
  <c r="BO441" i="15" s="1"/>
  <c r="BP440" i="15"/>
  <c r="BP441" i="15" s="1"/>
  <c r="BU442" i="15" s="1"/>
  <c r="C441" i="15"/>
  <c r="D441" i="15"/>
  <c r="D443" i="15" s="1"/>
  <c r="U441" i="15"/>
  <c r="U443" i="15" s="1"/>
  <c r="V441" i="15"/>
  <c r="V443" i="15" s="1"/>
  <c r="Z441" i="15"/>
  <c r="BQ441" i="15"/>
  <c r="C445" i="15"/>
  <c r="D445" i="15"/>
  <c r="E445" i="15"/>
  <c r="F445" i="15"/>
  <c r="G445" i="15"/>
  <c r="H445" i="15"/>
  <c r="I445" i="15"/>
  <c r="J445" i="15"/>
  <c r="K445" i="15"/>
  <c r="U445" i="15"/>
  <c r="V445" i="15"/>
  <c r="W445" i="15"/>
  <c r="X445" i="15"/>
  <c r="Y445" i="15"/>
  <c r="Z445" i="15"/>
  <c r="AA445" i="15"/>
  <c r="AB445" i="15"/>
  <c r="AC445" i="15"/>
  <c r="AD445" i="15"/>
  <c r="AE445" i="15"/>
  <c r="AF445" i="15"/>
  <c r="AG445" i="15"/>
  <c r="AH445" i="15"/>
  <c r="AI445" i="15"/>
  <c r="AJ445" i="15"/>
  <c r="AK445" i="15"/>
  <c r="AL445" i="15"/>
  <c r="AM445" i="15"/>
  <c r="AN445" i="15"/>
  <c r="BK445" i="15"/>
  <c r="BL445" i="15"/>
  <c r="BM445" i="15"/>
  <c r="BN445" i="15"/>
  <c r="BO445" i="15"/>
  <c r="BP445" i="15"/>
  <c r="BQ445" i="15"/>
  <c r="BR445" i="15"/>
  <c r="C446" i="15"/>
  <c r="D446" i="15"/>
  <c r="E446" i="15"/>
  <c r="F446" i="15"/>
  <c r="G446" i="15"/>
  <c r="H446" i="15"/>
  <c r="I446" i="15"/>
  <c r="J446" i="15"/>
  <c r="K446" i="15"/>
  <c r="U446" i="15"/>
  <c r="V446" i="15"/>
  <c r="Z446" i="15"/>
  <c r="AC446" i="15"/>
  <c r="AD446" i="15"/>
  <c r="AE446" i="15"/>
  <c r="AG446" i="15"/>
  <c r="AH446" i="15"/>
  <c r="AI446" i="15"/>
  <c r="AK446" i="15"/>
  <c r="AL446" i="15"/>
  <c r="AM446" i="15"/>
  <c r="BK446" i="15"/>
  <c r="BL446" i="15"/>
  <c r="BM446" i="15"/>
  <c r="BO446" i="15"/>
  <c r="BP446" i="15"/>
  <c r="C447" i="15"/>
  <c r="D447" i="15"/>
  <c r="E447" i="15"/>
  <c r="F447" i="15"/>
  <c r="G447" i="15"/>
  <c r="H447" i="15"/>
  <c r="I447" i="15"/>
  <c r="J447" i="15"/>
  <c r="K447" i="15"/>
  <c r="U447" i="15"/>
  <c r="V447" i="15"/>
  <c r="Z447" i="15"/>
  <c r="AC447" i="15"/>
  <c r="AD447" i="15"/>
  <c r="AE447" i="15"/>
  <c r="AG447" i="15"/>
  <c r="AH447" i="15"/>
  <c r="AI447" i="15"/>
  <c r="AK447" i="15"/>
  <c r="AL447" i="15"/>
  <c r="AM447" i="15"/>
  <c r="BK447" i="15"/>
  <c r="BL447" i="15"/>
  <c r="BM447" i="15"/>
  <c r="BO447" i="15"/>
  <c r="BP447" i="15"/>
  <c r="C448" i="15"/>
  <c r="D448" i="15"/>
  <c r="E448" i="15"/>
  <c r="F448" i="15"/>
  <c r="G448" i="15"/>
  <c r="H448" i="15"/>
  <c r="I448" i="15"/>
  <c r="J448" i="15"/>
  <c r="K448" i="15"/>
  <c r="U448" i="15"/>
  <c r="V448" i="15"/>
  <c r="Z448" i="15"/>
  <c r="AC448" i="15"/>
  <c r="AD448" i="15"/>
  <c r="AE448" i="15"/>
  <c r="AG448" i="15"/>
  <c r="AH448" i="15"/>
  <c r="AI448" i="15"/>
  <c r="AK448" i="15"/>
  <c r="AL448" i="15"/>
  <c r="AM448" i="15"/>
  <c r="BK448" i="15"/>
  <c r="BL448" i="15"/>
  <c r="BM448" i="15"/>
  <c r="BO448" i="15"/>
  <c r="BP448" i="15"/>
  <c r="C449" i="15"/>
  <c r="D449" i="15"/>
  <c r="E449" i="15"/>
  <c r="F449" i="15"/>
  <c r="G449" i="15"/>
  <c r="H449" i="15"/>
  <c r="I449" i="15"/>
  <c r="J449" i="15"/>
  <c r="K449" i="15"/>
  <c r="U449" i="15"/>
  <c r="V449" i="15"/>
  <c r="Z449" i="15"/>
  <c r="AC449" i="15"/>
  <c r="AD449" i="15"/>
  <c r="AE449" i="15"/>
  <c r="AG449" i="15"/>
  <c r="AH449" i="15"/>
  <c r="AI449" i="15"/>
  <c r="AK449" i="15"/>
  <c r="AL449" i="15"/>
  <c r="AM449" i="15"/>
  <c r="BK449" i="15"/>
  <c r="BL449" i="15"/>
  <c r="BM449" i="15"/>
  <c r="BO449" i="15"/>
  <c r="BP449" i="15"/>
  <c r="AK451" i="15"/>
  <c r="AL451" i="15"/>
  <c r="AM451" i="15"/>
  <c r="AN451" i="15"/>
  <c r="BO451" i="15"/>
  <c r="BP451" i="15"/>
  <c r="BQ451" i="15"/>
  <c r="F1440" i="17"/>
  <c r="F1451" i="17"/>
  <c r="F1452" i="17"/>
  <c r="F1453" i="17"/>
  <c r="F1454" i="17"/>
  <c r="F1455" i="17"/>
  <c r="C1517" i="17"/>
  <c r="F1517" i="17" s="1"/>
  <c r="C1497" i="17"/>
  <c r="C1498" i="17"/>
  <c r="F1498" i="17" s="1"/>
  <c r="C1499" i="17"/>
  <c r="C1519" i="17"/>
  <c r="K1499" i="17" s="1"/>
  <c r="C1500" i="17"/>
  <c r="C1501" i="17"/>
  <c r="F1501" i="17" s="1"/>
  <c r="C1502" i="17"/>
  <c r="F1502" i="17" s="1"/>
  <c r="C1504" i="17"/>
  <c r="F1504" i="17" s="1"/>
  <c r="C1505" i="17"/>
  <c r="F1505" i="17" s="1"/>
  <c r="F1508" i="17"/>
  <c r="C1509" i="17"/>
  <c r="F1510" i="17"/>
  <c r="C1511" i="17"/>
  <c r="C1512" i="17"/>
  <c r="F1512" i="17" s="1"/>
  <c r="C1513" i="17"/>
  <c r="F1513" i="17" s="1"/>
  <c r="C1514" i="17"/>
  <c r="C1515" i="17"/>
  <c r="C1579" i="17"/>
  <c r="K1559" i="17" s="1"/>
  <c r="C1559" i="17"/>
  <c r="F1559" i="17" s="1"/>
  <c r="C1560" i="17"/>
  <c r="F1560" i="17" s="1"/>
  <c r="C1561" i="17"/>
  <c r="F1561" i="17" s="1"/>
  <c r="C1581" i="17"/>
  <c r="K1561" i="17" s="1"/>
  <c r="C1562" i="17"/>
  <c r="F1562" i="17" s="1"/>
  <c r="C1563" i="17"/>
  <c r="F1563" i="17" s="1"/>
  <c r="C1564" i="17"/>
  <c r="F1564" i="17" s="1"/>
  <c r="C1566" i="17"/>
  <c r="C1567" i="17"/>
  <c r="F1567" i="17" s="1"/>
  <c r="F1570" i="17"/>
  <c r="C1571" i="17"/>
  <c r="F1571" i="17" s="1"/>
  <c r="F1572" i="17"/>
  <c r="C1573" i="17"/>
  <c r="F1573" i="17" s="1"/>
  <c r="C1574" i="17"/>
  <c r="F1574" i="17" s="1"/>
  <c r="C1575" i="17"/>
  <c r="F1575" i="17" s="1"/>
  <c r="C1576" i="17"/>
  <c r="F1576" i="17" s="1"/>
  <c r="C1577" i="17"/>
  <c r="K1614" i="17"/>
  <c r="C1615" i="17"/>
  <c r="C1635" i="17"/>
  <c r="C1649" i="17" s="1"/>
  <c r="C1616" i="17"/>
  <c r="F1616" i="17" s="1"/>
  <c r="C1617" i="17"/>
  <c r="F1617" i="17" s="1"/>
  <c r="C1637" i="17"/>
  <c r="C1618" i="17"/>
  <c r="C1619" i="17"/>
  <c r="F1619" i="17" s="1"/>
  <c r="C1620" i="17"/>
  <c r="F1620" i="17" s="1"/>
  <c r="C1622" i="17"/>
  <c r="C1623" i="17"/>
  <c r="F1626" i="17"/>
  <c r="C1627" i="17"/>
  <c r="F1628" i="17"/>
  <c r="C1629" i="17"/>
  <c r="F1629" i="17" s="1"/>
  <c r="C1631" i="17"/>
  <c r="F1631" i="17" s="1"/>
  <c r="C1632" i="17"/>
  <c r="F1632" i="17" s="1"/>
  <c r="C1633" i="17"/>
  <c r="K1670" i="17"/>
  <c r="F1682" i="17"/>
  <c r="F1684" i="17"/>
  <c r="H1723" i="17"/>
  <c r="D1773" i="17" s="1"/>
  <c r="K1727" i="17"/>
  <c r="C1728" i="17"/>
  <c r="C1747" i="17"/>
  <c r="F1747" i="17" s="1"/>
  <c r="C1729" i="17"/>
  <c r="F1729" i="17" s="1"/>
  <c r="C1730" i="17"/>
  <c r="F1730" i="17" s="1"/>
  <c r="C1749" i="17"/>
  <c r="K1730" i="17" s="1"/>
  <c r="C1731" i="17"/>
  <c r="F1731" i="17" s="1"/>
  <c r="C1732" i="17"/>
  <c r="C1733" i="17"/>
  <c r="F1733" i="17" s="1"/>
  <c r="C1735" i="17"/>
  <c r="F1735" i="17" s="1"/>
  <c r="C1736" i="17"/>
  <c r="F1736" i="17" s="1"/>
  <c r="F1739" i="17"/>
  <c r="C1740" i="17"/>
  <c r="F1740" i="17" s="1"/>
  <c r="F1741" i="17"/>
  <c r="C1742" i="17"/>
  <c r="F1742" i="17" s="1"/>
  <c r="C1743" i="17"/>
  <c r="F1743" i="17" s="1"/>
  <c r="C1744" i="17"/>
  <c r="F1744" i="17" s="1"/>
  <c r="C1745" i="17"/>
  <c r="H1780" i="17"/>
  <c r="G1793" i="17" s="1"/>
  <c r="K1784" i="17"/>
  <c r="C1785" i="17"/>
  <c r="F1785" i="17" s="1"/>
  <c r="C1803" i="17"/>
  <c r="C1817" i="17" s="1"/>
  <c r="C1786" i="17"/>
  <c r="F1786" i="17" s="1"/>
  <c r="C1787" i="17"/>
  <c r="F1787" i="17" s="1"/>
  <c r="C1805" i="17"/>
  <c r="K1787" i="17" s="1"/>
  <c r="C1788" i="17"/>
  <c r="C1789" i="17"/>
  <c r="C1791" i="17"/>
  <c r="F1791" i="17" s="1"/>
  <c r="C1792" i="17"/>
  <c r="F1792" i="17" s="1"/>
  <c r="F1794" i="17"/>
  <c r="F1795" i="17"/>
  <c r="C1796" i="17"/>
  <c r="F1796" i="17" s="1"/>
  <c r="F1797" i="17"/>
  <c r="C1798" i="17"/>
  <c r="F1798" i="17" s="1"/>
  <c r="C1799" i="17"/>
  <c r="F1799" i="17" s="1"/>
  <c r="B1800" i="17"/>
  <c r="C1800" i="17"/>
  <c r="C1801" i="17"/>
  <c r="H1837" i="17"/>
  <c r="D1885" i="17" s="1"/>
  <c r="K1841" i="17"/>
  <c r="C1842" i="17"/>
  <c r="F1842" i="17" s="1"/>
  <c r="C1860" i="17"/>
  <c r="F1860" i="17" s="1"/>
  <c r="C1843" i="17"/>
  <c r="F1843" i="17" s="1"/>
  <c r="C1844" i="17"/>
  <c r="C1862" i="17"/>
  <c r="K1844" i="17" s="1"/>
  <c r="C1845" i="17"/>
  <c r="F1845" i="17" s="1"/>
  <c r="C1846" i="17"/>
  <c r="C1848" i="17"/>
  <c r="F1848" i="17" s="1"/>
  <c r="C1849" i="17"/>
  <c r="F1849" i="17" s="1"/>
  <c r="F1851" i="17"/>
  <c r="F1852" i="17"/>
  <c r="C1853" i="17"/>
  <c r="F1854" i="17"/>
  <c r="C1855" i="17"/>
  <c r="F1855" i="17" s="1"/>
  <c r="C1856" i="17"/>
  <c r="B1857" i="17"/>
  <c r="C1857" i="17"/>
  <c r="F1857" i="17" s="1"/>
  <c r="C1858" i="17"/>
  <c r="C1886" i="17"/>
  <c r="H1890" i="17"/>
  <c r="D1904" i="17" s="1"/>
  <c r="F1903" i="17"/>
  <c r="F1904" i="17"/>
  <c r="F1906" i="17"/>
  <c r="C1940" i="17"/>
  <c r="H1943" i="17"/>
  <c r="C1947" i="17"/>
  <c r="F1947" i="17" s="1"/>
  <c r="C1965" i="17"/>
  <c r="F1965" i="17" s="1"/>
  <c r="C1948" i="17"/>
  <c r="F1948" i="17" s="1"/>
  <c r="C1949" i="17"/>
  <c r="C1967" i="17"/>
  <c r="K1949" i="17" s="1"/>
  <c r="C1950" i="17"/>
  <c r="F1950" i="17" s="1"/>
  <c r="C1951" i="17"/>
  <c r="F1951" i="17" s="1"/>
  <c r="F1952" i="17"/>
  <c r="C1953" i="17"/>
  <c r="F1953" i="17" s="1"/>
  <c r="C1954" i="17"/>
  <c r="F1954" i="17" s="1"/>
  <c r="F1955" i="17"/>
  <c r="F1956" i="17"/>
  <c r="F1957" i="17"/>
  <c r="C1958" i="17"/>
  <c r="F1958" i="17" s="1"/>
  <c r="F1959" i="17"/>
  <c r="C1960" i="17"/>
  <c r="F1960" i="17" s="1"/>
  <c r="C1961" i="17"/>
  <c r="C1962" i="17"/>
  <c r="F1962" i="17" s="1"/>
  <c r="C1963" i="17"/>
  <c r="C1993" i="17"/>
  <c r="J1996" i="17"/>
  <c r="H1999" i="17"/>
  <c r="D2041" i="17" s="1"/>
  <c r="C2003" i="17"/>
  <c r="E2003" i="17" s="1"/>
  <c r="C2004" i="17"/>
  <c r="E2004" i="17" s="1"/>
  <c r="C2005" i="17"/>
  <c r="E2005" i="17" s="1"/>
  <c r="C2006" i="17"/>
  <c r="E2006" i="17" s="1"/>
  <c r="C2007" i="17"/>
  <c r="E2007" i="17" s="1"/>
  <c r="E2008" i="17"/>
  <c r="C2009" i="17"/>
  <c r="E2009" i="17" s="1"/>
  <c r="C2010" i="17"/>
  <c r="E2010" i="17" s="1"/>
  <c r="E2011" i="17"/>
  <c r="E2012" i="17"/>
  <c r="E2013" i="17"/>
  <c r="C2014" i="17"/>
  <c r="E2014" i="17" s="1"/>
  <c r="E2015" i="17"/>
  <c r="C2016" i="17"/>
  <c r="E2016" i="17" s="1"/>
  <c r="C2017" i="17"/>
  <c r="E2017" i="17" s="1"/>
  <c r="C2018" i="17"/>
  <c r="E2018" i="17" s="1"/>
  <c r="C2019" i="17"/>
  <c r="C2021" i="17"/>
  <c r="C2035" i="17" s="1"/>
  <c r="C2049" i="17"/>
  <c r="H2054" i="17"/>
  <c r="D2098" i="17" s="1"/>
  <c r="C2058" i="17"/>
  <c r="C2059" i="17"/>
  <c r="C2060" i="17"/>
  <c r="C2061" i="17"/>
  <c r="C2062" i="17"/>
  <c r="C2064" i="17"/>
  <c r="C2065" i="17"/>
  <c r="C2069" i="17"/>
  <c r="C2071" i="17"/>
  <c r="C2072" i="17"/>
  <c r="C2073" i="17"/>
  <c r="C2075" i="17"/>
  <c r="C2089" i="17" s="1"/>
  <c r="C2077" i="17"/>
  <c r="C2103" i="17"/>
  <c r="H2106" i="17"/>
  <c r="D2150" i="17" s="1"/>
  <c r="C2124" i="17"/>
  <c r="C2125" i="17" s="1"/>
  <c r="C2130" i="17"/>
  <c r="C2128" i="17"/>
  <c r="C2154" i="17"/>
  <c r="AO296" i="15"/>
  <c r="AO288" i="15"/>
  <c r="AO303" i="15"/>
  <c r="AO299" i="15"/>
  <c r="AO291" i="15"/>
  <c r="AO287" i="15"/>
  <c r="AO297" i="15"/>
  <c r="AO294" i="15"/>
  <c r="AO275" i="15"/>
  <c r="AS276" i="15" s="1"/>
  <c r="AO293" i="15"/>
  <c r="F1345" i="17"/>
  <c r="H1610" i="17" l="1"/>
  <c r="D1622" i="17" s="1"/>
  <c r="AK268" i="15"/>
  <c r="AQ266" i="15"/>
  <c r="AT318" i="15" s="1"/>
  <c r="AP268" i="15"/>
  <c r="H1492" i="17"/>
  <c r="D1542" i="17" s="1"/>
  <c r="AM268" i="15"/>
  <c r="X111" i="15"/>
  <c r="AD400" i="15"/>
  <c r="G330" i="15"/>
  <c r="G329" i="15"/>
  <c r="E329" i="15"/>
  <c r="E330" i="15"/>
  <c r="C329" i="15"/>
  <c r="C330" i="15"/>
  <c r="Z298" i="15"/>
  <c r="AA68" i="15"/>
  <c r="BQ68" i="15" s="1"/>
  <c r="BQ69" i="15"/>
  <c r="BQ95" i="15" s="1"/>
  <c r="AA63" i="15"/>
  <c r="AB63" i="15" s="1"/>
  <c r="AB94" i="15" s="1"/>
  <c r="AB342" i="15" s="1"/>
  <c r="AB361" i="15" s="1"/>
  <c r="AB14" i="15"/>
  <c r="BQ85" i="15"/>
  <c r="BK40" i="15"/>
  <c r="BK441" i="15"/>
  <c r="BK443" i="15" s="1"/>
  <c r="BK388" i="15"/>
  <c r="BK390" i="15" s="1"/>
  <c r="BM72" i="15"/>
  <c r="BN72" i="15" s="1"/>
  <c r="BM67" i="15"/>
  <c r="BN67" i="15" s="1"/>
  <c r="BM75" i="15"/>
  <c r="BN75" i="15" s="1"/>
  <c r="BM74" i="15"/>
  <c r="BN74" i="15" s="1"/>
  <c r="BM68" i="15"/>
  <c r="BN68" i="15" s="1"/>
  <c r="BM66" i="15"/>
  <c r="BN66" i="15" s="1"/>
  <c r="BL76" i="15"/>
  <c r="BM76" i="15" s="1"/>
  <c r="BN76" i="15" s="1"/>
  <c r="BM73" i="15"/>
  <c r="BN73" i="15" s="1"/>
  <c r="BM69" i="15"/>
  <c r="BN69" i="15" s="1"/>
  <c r="BM63" i="15"/>
  <c r="BN63" i="15" s="1"/>
  <c r="BK398" i="15"/>
  <c r="AG399" i="15" s="1"/>
  <c r="BM77" i="15"/>
  <c r="BN77" i="15" s="1"/>
  <c r="BM62" i="15"/>
  <c r="BN62" i="15" s="1"/>
  <c r="BK39" i="15"/>
  <c r="BM79" i="15"/>
  <c r="BN79" i="15" s="1"/>
  <c r="BL61" i="15"/>
  <c r="BM61" i="15" s="1"/>
  <c r="BN61" i="15" s="1"/>
  <c r="BS16" i="15"/>
  <c r="BS43" i="15" s="1"/>
  <c r="X91" i="15"/>
  <c r="AO39" i="15"/>
  <c r="AN110" i="15"/>
  <c r="AN111" i="15"/>
  <c r="AN109" i="15"/>
  <c r="X109" i="15"/>
  <c r="AJ111" i="15"/>
  <c r="AJ109" i="15"/>
  <c r="AJ110" i="15"/>
  <c r="AF110" i="15"/>
  <c r="AF111" i="15"/>
  <c r="AF109" i="15"/>
  <c r="X110" i="15"/>
  <c r="AB9" i="15"/>
  <c r="AB111" i="15" s="1"/>
  <c r="Y111" i="15"/>
  <c r="Y109" i="15"/>
  <c r="CA49" i="15"/>
  <c r="CA22" i="15"/>
  <c r="CA24" i="15" s="1"/>
  <c r="CA36" i="15"/>
  <c r="CA37" i="15"/>
  <c r="AQ92" i="15"/>
  <c r="AQ199" i="15" s="1"/>
  <c r="CA47" i="15"/>
  <c r="AR440" i="15"/>
  <c r="AR387" i="15"/>
  <c r="AR397" i="15"/>
  <c r="I251" i="15"/>
  <c r="AI16" i="15"/>
  <c r="AI20" i="15" s="1"/>
  <c r="AI36" i="15" s="1"/>
  <c r="W16" i="15"/>
  <c r="W20" i="15" s="1"/>
  <c r="W37" i="15" s="1"/>
  <c r="AI400" i="15"/>
  <c r="AI408" i="15" s="1"/>
  <c r="H296" i="15"/>
  <c r="Y225" i="15"/>
  <c r="C339" i="15"/>
  <c r="C358" i="15" s="1"/>
  <c r="E43" i="15"/>
  <c r="E45" i="15" s="1"/>
  <c r="E90" i="15" s="1"/>
  <c r="X90" i="15" s="1"/>
  <c r="X76" i="15"/>
  <c r="X233" i="15" s="1"/>
  <c r="U442" i="15"/>
  <c r="Y346" i="15"/>
  <c r="Y365" i="15" s="1"/>
  <c r="K250" i="15"/>
  <c r="BT32" i="15"/>
  <c r="K39" i="15"/>
  <c r="BV397" i="15"/>
  <c r="BV398" i="15" s="1"/>
  <c r="CA399" i="15" s="1"/>
  <c r="G980" i="17"/>
  <c r="G982" i="17" s="1"/>
  <c r="F980" i="17"/>
  <c r="V300" i="15"/>
  <c r="H96" i="15"/>
  <c r="H343" i="15" s="1"/>
  <c r="H362" i="15" s="1"/>
  <c r="BX389" i="15"/>
  <c r="BY389" i="15"/>
  <c r="BX399" i="15"/>
  <c r="BY399" i="15"/>
  <c r="AT356" i="15"/>
  <c r="AT359" i="15" s="1"/>
  <c r="AT358" i="15"/>
  <c r="BS443" i="15"/>
  <c r="BX442" i="15"/>
  <c r="K44" i="15"/>
  <c r="BU72" i="15"/>
  <c r="BV72" i="15" s="1"/>
  <c r="BU79" i="15"/>
  <c r="BV79" i="15" s="1"/>
  <c r="BT77" i="15"/>
  <c r="BU77" i="15" s="1"/>
  <c r="BU63" i="15"/>
  <c r="BV63" i="15" s="1"/>
  <c r="BU73" i="15"/>
  <c r="BV73" i="15" s="1"/>
  <c r="D300" i="15"/>
  <c r="BU66" i="15"/>
  <c r="BV66" i="15" s="1"/>
  <c r="K441" i="15"/>
  <c r="L442" i="15" s="1"/>
  <c r="BV440" i="15"/>
  <c r="BV441" i="15" s="1"/>
  <c r="U400" i="15"/>
  <c r="U408" i="15" s="1"/>
  <c r="AO88" i="15"/>
  <c r="AO337" i="15" s="1"/>
  <c r="AC384" i="15"/>
  <c r="K388" i="15"/>
  <c r="K389" i="15" s="1"/>
  <c r="BV387" i="15"/>
  <c r="BV388" i="15" s="1"/>
  <c r="K231" i="15"/>
  <c r="K96" i="15"/>
  <c r="K343" i="15" s="1"/>
  <c r="BT69" i="15"/>
  <c r="BU69" i="15" s="1"/>
  <c r="BU68" i="15"/>
  <c r="BV68" i="15" s="1"/>
  <c r="BU75" i="15"/>
  <c r="BV75" i="15" s="1"/>
  <c r="AM75" i="15"/>
  <c r="AN75" i="15" s="1"/>
  <c r="AN232" i="15" s="1"/>
  <c r="AM69" i="15"/>
  <c r="AN69" i="15" s="1"/>
  <c r="AM57" i="15"/>
  <c r="AN57" i="15" s="1"/>
  <c r="AK223" i="15"/>
  <c r="AL220" i="15"/>
  <c r="AL76" i="15"/>
  <c r="AM76" i="15" s="1"/>
  <c r="AM233" i="15" s="1"/>
  <c r="AK219" i="15"/>
  <c r="AK222" i="15" s="1"/>
  <c r="BT388" i="15"/>
  <c r="BT390" i="15" s="1"/>
  <c r="AQ285" i="15"/>
  <c r="AK441" i="15"/>
  <c r="AK443" i="15" s="1"/>
  <c r="BL399" i="15"/>
  <c r="AJ426" i="15"/>
  <c r="BV418" i="15"/>
  <c r="Z231" i="15"/>
  <c r="F225" i="15"/>
  <c r="AM77" i="15"/>
  <c r="AM234" i="15" s="1"/>
  <c r="AM72" i="15"/>
  <c r="AN72" i="15" s="1"/>
  <c r="AN229" i="15" s="1"/>
  <c r="K1496" i="17"/>
  <c r="K1500" i="17" s="1"/>
  <c r="AK231" i="15"/>
  <c r="AM79" i="15"/>
  <c r="AN73" i="15"/>
  <c r="AM66" i="15"/>
  <c r="AN66" i="15" s="1"/>
  <c r="AN224" i="15" s="1"/>
  <c r="AM63" i="15"/>
  <c r="AM94" i="15" s="1"/>
  <c r="AM202" i="15" s="1"/>
  <c r="AJ91" i="15"/>
  <c r="AJ338" i="15" s="1"/>
  <c r="BV51" i="15"/>
  <c r="BT398" i="15"/>
  <c r="AQ337" i="15"/>
  <c r="AQ107" i="15"/>
  <c r="AQ72" i="15"/>
  <c r="AR72" i="15" s="1"/>
  <c r="AQ224" i="15"/>
  <c r="AQ291" i="15"/>
  <c r="AQ231" i="15"/>
  <c r="BT443" i="15"/>
  <c r="AQ442" i="15"/>
  <c r="AL389" i="15"/>
  <c r="Z234" i="15"/>
  <c r="AQ225" i="15"/>
  <c r="AO441" i="15"/>
  <c r="AQ226" i="15"/>
  <c r="AQ234" i="15"/>
  <c r="AQ301" i="15"/>
  <c r="BS400" i="15"/>
  <c r="AQ232" i="15"/>
  <c r="AQ299" i="15"/>
  <c r="AQ220" i="15"/>
  <c r="AQ227" i="15"/>
  <c r="AQ236" i="15"/>
  <c r="AQ303" i="15"/>
  <c r="AP398" i="15"/>
  <c r="AP400" i="15" s="1"/>
  <c r="AA74" i="15"/>
  <c r="BQ74" i="15" s="1"/>
  <c r="BR56" i="15"/>
  <c r="AO32" i="15"/>
  <c r="AN10" i="15"/>
  <c r="AN11" i="15" s="1"/>
  <c r="E92" i="15"/>
  <c r="E251" i="15" s="1"/>
  <c r="E318" i="15" s="1"/>
  <c r="AE16" i="15"/>
  <c r="AE32" i="15" s="1"/>
  <c r="G400" i="15"/>
  <c r="V290" i="15"/>
  <c r="BT11" i="15"/>
  <c r="AN28" i="15"/>
  <c r="AM62" i="15"/>
  <c r="AM220" i="15" s="1"/>
  <c r="E193" i="15"/>
  <c r="E254" i="15" s="1"/>
  <c r="AQ63" i="15"/>
  <c r="AR63" i="15" s="1"/>
  <c r="BT20" i="15"/>
  <c r="BT37" i="15" s="1"/>
  <c r="AN88" i="15"/>
  <c r="AN337" i="15" s="1"/>
  <c r="AN211" i="15"/>
  <c r="AN212" i="15" s="1"/>
  <c r="C16" i="15"/>
  <c r="C89" i="15" s="1"/>
  <c r="V223" i="15"/>
  <c r="AI212" i="15"/>
  <c r="W183" i="15"/>
  <c r="K1558" i="17"/>
  <c r="K1562" i="17" s="1"/>
  <c r="Y29" i="15"/>
  <c r="AP388" i="15"/>
  <c r="AP441" i="15"/>
  <c r="AP443" i="15" s="1"/>
  <c r="AO223" i="15"/>
  <c r="K16" i="15"/>
  <c r="K89" i="15" s="1"/>
  <c r="X403" i="15"/>
  <c r="BN382" i="15"/>
  <c r="AG250" i="15"/>
  <c r="AE400" i="15"/>
  <c r="AB404" i="15"/>
  <c r="V303" i="15"/>
  <c r="Z294" i="15"/>
  <c r="AP16" i="15"/>
  <c r="AP20" i="15" s="1"/>
  <c r="AP36" i="15" s="1"/>
  <c r="AO290" i="15"/>
  <c r="AG44" i="15"/>
  <c r="AG40" i="15" s="1"/>
  <c r="H290" i="15"/>
  <c r="J251" i="15"/>
  <c r="Z227" i="15"/>
  <c r="BQ227" i="15" s="1"/>
  <c r="F216" i="15"/>
  <c r="D61" i="15"/>
  <c r="D64" i="15" s="1"/>
  <c r="D70" i="15" s="1"/>
  <c r="D97" i="15" s="1"/>
  <c r="D344" i="15" s="1"/>
  <c r="D363" i="15" s="1"/>
  <c r="C1322" i="17"/>
  <c r="C1372" i="17" s="1"/>
  <c r="C1373" i="17" s="1"/>
  <c r="AN35" i="15"/>
  <c r="AN106" i="15"/>
  <c r="I168" i="15"/>
  <c r="I193" i="15" s="1"/>
  <c r="AC286" i="15"/>
  <c r="C202" i="15"/>
  <c r="AF420" i="15"/>
  <c r="K364" i="15"/>
  <c r="AG282" i="15"/>
  <c r="C64" i="15"/>
  <c r="C289" i="15" s="1"/>
  <c r="G1396" i="17"/>
  <c r="K1323" i="17"/>
  <c r="AC54" i="15"/>
  <c r="AJ144" i="15"/>
  <c r="AJ158" i="15" s="1"/>
  <c r="AG400" i="15"/>
  <c r="AM400" i="15"/>
  <c r="BU67" i="15"/>
  <c r="BV67" i="15" s="1"/>
  <c r="D250" i="15"/>
  <c r="D317" i="15" s="1"/>
  <c r="D202" i="15"/>
  <c r="D263" i="15" s="1"/>
  <c r="X438" i="15"/>
  <c r="X449" i="15" s="1"/>
  <c r="H292" i="15"/>
  <c r="W226" i="15"/>
  <c r="E338" i="15"/>
  <c r="E357" i="15" s="1"/>
  <c r="V226" i="15"/>
  <c r="I202" i="15"/>
  <c r="I263" i="15" s="1"/>
  <c r="AI215" i="15"/>
  <c r="J107" i="15"/>
  <c r="V224" i="15"/>
  <c r="D339" i="15"/>
  <c r="D358" i="15" s="1"/>
  <c r="C338" i="15"/>
  <c r="C357" i="15" s="1"/>
  <c r="C359" i="15" s="1"/>
  <c r="AL94" i="15"/>
  <c r="AL342" i="15" s="1"/>
  <c r="E343" i="15"/>
  <c r="E362" i="15" s="1"/>
  <c r="AD216" i="15"/>
  <c r="AO398" i="15"/>
  <c r="AP266" i="15"/>
  <c r="H1319" i="17"/>
  <c r="D1336" i="17" s="1"/>
  <c r="V291" i="15"/>
  <c r="AA183" i="15"/>
  <c r="V232" i="15"/>
  <c r="J64" i="15"/>
  <c r="J70" i="15" s="1"/>
  <c r="AL221" i="15"/>
  <c r="V293" i="15"/>
  <c r="L1893" i="17"/>
  <c r="G1398" i="17"/>
  <c r="D1381" i="17"/>
  <c r="G1394" i="17"/>
  <c r="AP225" i="15"/>
  <c r="AD61" i="15"/>
  <c r="AE61" i="15" s="1"/>
  <c r="AE286" i="15" s="1"/>
  <c r="AM215" i="15"/>
  <c r="V183" i="15"/>
  <c r="AQ65" i="15"/>
  <c r="AR65" i="15" s="1"/>
  <c r="BU74" i="15"/>
  <c r="BV74" i="15" s="1"/>
  <c r="AL229" i="15"/>
  <c r="E292" i="15"/>
  <c r="V229" i="15"/>
  <c r="X405" i="15"/>
  <c r="AJ446" i="15"/>
  <c r="AE216" i="15"/>
  <c r="D1538" i="17"/>
  <c r="U300" i="15"/>
  <c r="E282" i="15"/>
  <c r="Z232" i="15"/>
  <c r="F212" i="15"/>
  <c r="AO225" i="15"/>
  <c r="AO64" i="15"/>
  <c r="BU56" i="15"/>
  <c r="BV56" i="15" s="1"/>
  <c r="AO292" i="15"/>
  <c r="D2035" i="17"/>
  <c r="G1787" i="17"/>
  <c r="Z288" i="15"/>
  <c r="AC283" i="15"/>
  <c r="AE288" i="15"/>
  <c r="U54" i="15"/>
  <c r="AB417" i="15"/>
  <c r="AB418" i="15" s="1"/>
  <c r="AN447" i="15"/>
  <c r="AL236" i="15"/>
  <c r="AL224" i="15"/>
  <c r="AM183" i="15"/>
  <c r="V53" i="15"/>
  <c r="V54" i="15" s="1"/>
  <c r="AC64" i="15"/>
  <c r="AC346" i="15"/>
  <c r="AC365" i="15" s="1"/>
  <c r="Z299" i="15"/>
  <c r="Y292" i="15"/>
  <c r="V288" i="15"/>
  <c r="AK216" i="15"/>
  <c r="BU76" i="15"/>
  <c r="BV76" i="15" s="1"/>
  <c r="C1593" i="17"/>
  <c r="D2149" i="17"/>
  <c r="F1579" i="17"/>
  <c r="D2125" i="17"/>
  <c r="D1771" i="17"/>
  <c r="K1674" i="17"/>
  <c r="G1903" i="17"/>
  <c r="C1359" i="17"/>
  <c r="C1691" i="17"/>
  <c r="C1705" i="17" s="1"/>
  <c r="AE221" i="15"/>
  <c r="V287" i="15"/>
  <c r="AJ239" i="15"/>
  <c r="AJ306" i="15" s="1"/>
  <c r="AD221" i="15"/>
  <c r="AO283" i="15"/>
  <c r="AP216" i="15"/>
  <c r="D276" i="15"/>
  <c r="J364" i="15"/>
  <c r="D1880" i="17"/>
  <c r="AD11" i="15"/>
  <c r="C1630" i="17"/>
  <c r="W389" i="15"/>
  <c r="Z221" i="15"/>
  <c r="AG107" i="15"/>
  <c r="AH44" i="15"/>
  <c r="AH40" i="15" s="1"/>
  <c r="AC400" i="15"/>
  <c r="AC408" i="15" s="1"/>
  <c r="AI63" i="15"/>
  <c r="AI288" i="15" s="1"/>
  <c r="G201" i="15"/>
  <c r="AN449" i="15"/>
  <c r="X294" i="15"/>
  <c r="V227" i="15"/>
  <c r="AD159" i="15"/>
  <c r="AJ106" i="15"/>
  <c r="AD296" i="15"/>
  <c r="AJ29" i="15"/>
  <c r="AH299" i="15"/>
  <c r="K93" i="15"/>
  <c r="K341" i="15" s="1"/>
  <c r="BU57" i="15"/>
  <c r="BV57" i="15" s="1"/>
  <c r="AJ114" i="15"/>
  <c r="BP400" i="15"/>
  <c r="V294" i="15"/>
  <c r="F276" i="15"/>
  <c r="E215" i="15"/>
  <c r="AJ53" i="15"/>
  <c r="AJ93" i="15" s="1"/>
  <c r="AJ341" i="15" s="1"/>
  <c r="J338" i="15"/>
  <c r="J340" i="15" s="1"/>
  <c r="G1504" i="17"/>
  <c r="AP306" i="15"/>
  <c r="AD53" i="15"/>
  <c r="BL53" i="15" s="1"/>
  <c r="AD301" i="15"/>
  <c r="AD299" i="15"/>
  <c r="AI282" i="15"/>
  <c r="AH232" i="15"/>
  <c r="AC216" i="15"/>
  <c r="U176" i="15"/>
  <c r="U178" i="15" s="1"/>
  <c r="U247" i="15" s="1"/>
  <c r="U314" i="15" s="1"/>
  <c r="BR52" i="15"/>
  <c r="BR451" i="15" s="1"/>
  <c r="E32" i="15"/>
  <c r="AN29" i="15"/>
  <c r="E20" i="15"/>
  <c r="E22" i="15" s="1"/>
  <c r="E24" i="15" s="1"/>
  <c r="E95" i="15" s="1"/>
  <c r="X95" i="15" s="1"/>
  <c r="AP221" i="15"/>
  <c r="AC16" i="15"/>
  <c r="AC32" i="15" s="1"/>
  <c r="G1895" i="17"/>
  <c r="AL227" i="15"/>
  <c r="BK53" i="15"/>
  <c r="AG93" i="15" s="1"/>
  <c r="AG341" i="15" s="1"/>
  <c r="AG360" i="15" s="1"/>
  <c r="BN448" i="15"/>
  <c r="BN446" i="15"/>
  <c r="AH283" i="15"/>
  <c r="D1391" i="17"/>
  <c r="G1729" i="17"/>
  <c r="G1848" i="17"/>
  <c r="C2129" i="17"/>
  <c r="K1845" i="17"/>
  <c r="G1397" i="17"/>
  <c r="C1760" i="17"/>
  <c r="D1760" i="17" s="1"/>
  <c r="L1614" i="17"/>
  <c r="Z291" i="15"/>
  <c r="Z224" i="15"/>
  <c r="AA348" i="15"/>
  <c r="AA367" i="15" s="1"/>
  <c r="X341" i="15"/>
  <c r="X360" i="15" s="1"/>
  <c r="AC290" i="15"/>
  <c r="H183" i="15"/>
  <c r="AP220" i="15"/>
  <c r="X29" i="15"/>
  <c r="D216" i="15"/>
  <c r="H212" i="15"/>
  <c r="AA241" i="15"/>
  <c r="AA308" i="15" s="1"/>
  <c r="Z290" i="15"/>
  <c r="X211" i="15"/>
  <c r="AE183" i="15"/>
  <c r="AP88" i="15"/>
  <c r="AP337" i="15" s="1"/>
  <c r="AP224" i="15"/>
  <c r="AA65" i="15"/>
  <c r="AA223" i="15" s="1"/>
  <c r="AG283" i="15"/>
  <c r="AI250" i="15"/>
  <c r="Z223" i="15"/>
  <c r="AF10" i="15"/>
  <c r="AF11" i="15" s="1"/>
  <c r="AP232" i="15"/>
  <c r="AP226" i="15"/>
  <c r="X432" i="15"/>
  <c r="X446" i="15" s="1"/>
  <c r="AA346" i="15"/>
  <c r="AA365" i="15" s="1"/>
  <c r="AB345" i="15"/>
  <c r="AB364" i="15" s="1"/>
  <c r="X31" i="15"/>
  <c r="AP39" i="15"/>
  <c r="AP227" i="15"/>
  <c r="AP229" i="15"/>
  <c r="D1936" i="17"/>
  <c r="AL232" i="15"/>
  <c r="C1531" i="17"/>
  <c r="D1531" i="17" s="1"/>
  <c r="G1510" i="17"/>
  <c r="Z399" i="15"/>
  <c r="K1497" i="17"/>
  <c r="L1497" i="17" s="1"/>
  <c r="D1932" i="17"/>
  <c r="G1905" i="17"/>
  <c r="AM364" i="15"/>
  <c r="AP231" i="15"/>
  <c r="D1540" i="17"/>
  <c r="AP215" i="15"/>
  <c r="D1510" i="17"/>
  <c r="D1935" i="17"/>
  <c r="D1745" i="17"/>
  <c r="AJ439" i="15"/>
  <c r="AA276" i="15"/>
  <c r="AA242" i="15"/>
  <c r="AA309" i="15" s="1"/>
  <c r="J212" i="15"/>
  <c r="D1900" i="17"/>
  <c r="AP159" i="15"/>
  <c r="AP364" i="15"/>
  <c r="AP234" i="15"/>
  <c r="G1908" i="17"/>
  <c r="D1850" i="17"/>
  <c r="D1400" i="17"/>
  <c r="D1508" i="17"/>
  <c r="AN30" i="15"/>
  <c r="AC416" i="15"/>
  <c r="AK364" i="15"/>
  <c r="X345" i="15"/>
  <c r="X364" i="15" s="1"/>
  <c r="Z276" i="15"/>
  <c r="AI107" i="15"/>
  <c r="E202" i="15"/>
  <c r="E263" i="15" s="1"/>
  <c r="W75" i="15"/>
  <c r="X75" i="15" s="1"/>
  <c r="X299" i="15" s="1"/>
  <c r="AP236" i="15"/>
  <c r="D1908" i="17"/>
  <c r="AD293" i="15"/>
  <c r="AD291" i="15"/>
  <c r="X275" i="15"/>
  <c r="Z226" i="15"/>
  <c r="Y35" i="15"/>
  <c r="D1937" i="17"/>
  <c r="D1906" i="17"/>
  <c r="AO285" i="15"/>
  <c r="Z34" i="15"/>
  <c r="AK159" i="15"/>
  <c r="AF427" i="15"/>
  <c r="BN403" i="15"/>
  <c r="AA173" i="15"/>
  <c r="AA245" i="15" s="1"/>
  <c r="AA312" i="15" s="1"/>
  <c r="AJ8" i="15"/>
  <c r="F32" i="15"/>
  <c r="F89" i="15"/>
  <c r="D1884" i="17"/>
  <c r="D1849" i="17"/>
  <c r="C1648" i="17"/>
  <c r="D1648" i="17" s="1"/>
  <c r="G1850" i="17"/>
  <c r="D1854" i="17"/>
  <c r="G1631" i="17"/>
  <c r="F11" i="15"/>
  <c r="G1620" i="17"/>
  <c r="X94" i="15"/>
  <c r="D1883" i="17"/>
  <c r="D1882" i="17"/>
  <c r="D1862" i="17"/>
  <c r="D2096" i="17"/>
  <c r="D1659" i="17"/>
  <c r="G16" i="15"/>
  <c r="G32" i="15" s="1"/>
  <c r="D1618" i="17"/>
  <c r="G1851" i="17"/>
  <c r="L1844" i="17"/>
  <c r="G1840" i="17"/>
  <c r="F1900" i="17"/>
  <c r="G1900" i="17" s="1"/>
  <c r="D1632" i="17"/>
  <c r="G338" i="15"/>
  <c r="G357" i="15" s="1"/>
  <c r="G359" i="15" s="1"/>
  <c r="D1840" i="17"/>
  <c r="K212" i="15"/>
  <c r="D107" i="15"/>
  <c r="L1841" i="17"/>
  <c r="D1513" i="17"/>
  <c r="G1629" i="17"/>
  <c r="D282" i="15"/>
  <c r="G202" i="15"/>
  <c r="G263" i="15" s="1"/>
  <c r="G1855" i="17"/>
  <c r="D1847" i="17"/>
  <c r="D1628" i="17"/>
  <c r="G1842" i="17"/>
  <c r="G1792" i="17"/>
  <c r="D1898" i="17"/>
  <c r="G1742" i="17"/>
  <c r="L1787" i="17"/>
  <c r="D1824" i="17"/>
  <c r="L1383" i="17"/>
  <c r="D1795" i="17"/>
  <c r="C1290" i="17"/>
  <c r="K1947" i="17"/>
  <c r="K1948" i="17" s="1"/>
  <c r="G1388" i="17"/>
  <c r="D1426" i="17"/>
  <c r="D1794" i="17"/>
  <c r="D1382" i="17"/>
  <c r="G1383" i="17"/>
  <c r="G1508" i="17"/>
  <c r="D1398" i="17"/>
  <c r="D1389" i="17"/>
  <c r="C107" i="15"/>
  <c r="D1788" i="17"/>
  <c r="AA399" i="15"/>
  <c r="AI216" i="15"/>
  <c r="F1403" i="17"/>
  <c r="G1403" i="17" s="1"/>
  <c r="D283" i="15"/>
  <c r="C1416" i="17"/>
  <c r="D1416" i="17" s="1"/>
  <c r="G1389" i="17"/>
  <c r="D1541" i="17"/>
  <c r="D2097" i="17"/>
  <c r="AM16" i="15"/>
  <c r="AM32" i="15" s="1"/>
  <c r="D1800" i="17"/>
  <c r="G1517" i="17"/>
  <c r="D1429" i="17"/>
  <c r="D1427" i="17"/>
  <c r="D1424" i="17"/>
  <c r="E2021" i="17"/>
  <c r="D1396" i="17"/>
  <c r="D1395" i="17"/>
  <c r="D1383" i="17"/>
  <c r="G1786" i="17"/>
  <c r="G1495" i="17"/>
  <c r="AG216" i="15"/>
  <c r="U11" i="15"/>
  <c r="J202" i="15"/>
  <c r="D2100" i="17"/>
  <c r="D1387" i="17"/>
  <c r="D1425" i="17"/>
  <c r="G1395" i="17"/>
  <c r="G1387" i="17"/>
  <c r="F1499" i="17"/>
  <c r="G1499" i="17" s="1"/>
  <c r="D1428" i="17"/>
  <c r="I342" i="15"/>
  <c r="AA244" i="15"/>
  <c r="AA311" i="15" s="1"/>
  <c r="G1391" i="17"/>
  <c r="E399" i="15"/>
  <c r="G1399" i="17"/>
  <c r="L1784" i="17"/>
  <c r="D1388" i="17"/>
  <c r="C1417" i="17"/>
  <c r="D1417" i="17" s="1"/>
  <c r="F1514" i="17"/>
  <c r="D1797" i="17"/>
  <c r="D1616" i="17"/>
  <c r="D337" i="15"/>
  <c r="D356" i="15" s="1"/>
  <c r="D359" i="15" s="1"/>
  <c r="G1897" i="17"/>
  <c r="G1400" i="17"/>
  <c r="D399" i="15"/>
  <c r="F1622" i="17"/>
  <c r="G1622" i="17" s="1"/>
  <c r="BK8" i="15"/>
  <c r="X427" i="15"/>
  <c r="AC8" i="15"/>
  <c r="Z303" i="15"/>
  <c r="AG183" i="15"/>
  <c r="Y8" i="15"/>
  <c r="D1823" i="17"/>
  <c r="F1326" i="17"/>
  <c r="C193" i="15"/>
  <c r="C350" i="15" s="1"/>
  <c r="AB415" i="15"/>
  <c r="AB425" i="15" s="1"/>
  <c r="Y28" i="15"/>
  <c r="AH250" i="15"/>
  <c r="V215" i="15"/>
  <c r="AE68" i="15"/>
  <c r="AE293" i="15" s="1"/>
  <c r="H39" i="15"/>
  <c r="K168" i="15"/>
  <c r="K167" i="15" s="1"/>
  <c r="Y275" i="15"/>
  <c r="AC276" i="15" s="1"/>
  <c r="Y10" i="15"/>
  <c r="AD287" i="15"/>
  <c r="V216" i="15"/>
  <c r="Y40" i="15"/>
  <c r="C346" i="15"/>
  <c r="C365" i="15" s="1"/>
  <c r="D1857" i="17"/>
  <c r="F1613" i="17"/>
  <c r="G1613" i="17" s="1"/>
  <c r="C1543" i="17"/>
  <c r="D1543" i="17" s="1"/>
  <c r="D1907" i="17"/>
  <c r="D1658" i="17"/>
  <c r="F1623" i="17"/>
  <c r="G1623" i="17" s="1"/>
  <c r="AA232" i="15"/>
  <c r="Z88" i="15"/>
  <c r="Z337" i="15" s="1"/>
  <c r="Z356" i="15" s="1"/>
  <c r="Y31" i="15"/>
  <c r="AF406" i="15"/>
  <c r="AG233" i="15"/>
  <c r="AD224" i="15"/>
  <c r="AM159" i="15"/>
  <c r="AD20" i="15"/>
  <c r="BR30" i="15"/>
  <c r="AA88" i="15"/>
  <c r="AA107" i="15" s="1"/>
  <c r="D1903" i="17"/>
  <c r="F1788" i="17"/>
  <c r="G1788" i="17" s="1"/>
  <c r="C242" i="15"/>
  <c r="C309" i="15" s="1"/>
  <c r="C321" i="15" s="1"/>
  <c r="D1495" i="17"/>
  <c r="D1934" i="17"/>
  <c r="D1842" i="17"/>
  <c r="D1933" i="17"/>
  <c r="D1881" i="17"/>
  <c r="AN387" i="15"/>
  <c r="Y211" i="15"/>
  <c r="Y212" i="15" s="1"/>
  <c r="Y88" i="15"/>
  <c r="Y337" i="15" s="1"/>
  <c r="Y356" i="15" s="1"/>
  <c r="AB7" i="15"/>
  <c r="AD88" i="15" s="1"/>
  <c r="U233" i="15"/>
  <c r="AD220" i="15"/>
  <c r="H215" i="15"/>
  <c r="Y34" i="15"/>
  <c r="AA299" i="15"/>
  <c r="D1895" i="17"/>
  <c r="C1925" i="17"/>
  <c r="D1925" i="17" s="1"/>
  <c r="D1845" i="17"/>
  <c r="C173" i="15"/>
  <c r="C245" i="15" s="1"/>
  <c r="C312" i="15" s="1"/>
  <c r="C324" i="15" s="1"/>
  <c r="D1914" i="17"/>
  <c r="D212" i="15"/>
  <c r="Y30" i="15"/>
  <c r="D1905" i="17"/>
  <c r="D1844" i="17"/>
  <c r="Y425" i="15"/>
  <c r="AN426" i="15"/>
  <c r="X406" i="15"/>
  <c r="AG300" i="15"/>
  <c r="AB69" i="15"/>
  <c r="AB227" i="15" s="1"/>
  <c r="AK168" i="15"/>
  <c r="AK346" i="15" s="1"/>
  <c r="AK365" i="15" s="1"/>
  <c r="AF33" i="15"/>
  <c r="G1384" i="17"/>
  <c r="Y39" i="15"/>
  <c r="AJ35" i="15"/>
  <c r="C167" i="15"/>
  <c r="C348" i="15" s="1"/>
  <c r="C367" i="15" s="1"/>
  <c r="AB75" i="15"/>
  <c r="AB232" i="15" s="1"/>
  <c r="V400" i="15"/>
  <c r="V408" i="15" s="1"/>
  <c r="D1902" i="17"/>
  <c r="G1906" i="17"/>
  <c r="AA204" i="15"/>
  <c r="D1855" i="17"/>
  <c r="V236" i="15"/>
  <c r="G1901" i="17"/>
  <c r="BK64" i="15"/>
  <c r="BK70" i="15" s="1"/>
  <c r="BK78" i="15" s="1"/>
  <c r="BK80" i="15" s="1"/>
  <c r="BS44" i="15"/>
  <c r="BS40" i="15" s="1"/>
  <c r="C2126" i="17"/>
  <c r="C2127" i="17" s="1"/>
  <c r="C2134" i="17" s="1"/>
  <c r="C2135" i="17" s="1"/>
  <c r="BL33" i="15"/>
  <c r="AC33" i="15"/>
  <c r="BM33" i="15"/>
  <c r="AD33" i="15"/>
  <c r="AE33" i="15"/>
  <c r="BK33" i="15"/>
  <c r="AD389" i="15"/>
  <c r="AD390" i="15"/>
  <c r="AL43" i="15"/>
  <c r="AL20" i="15"/>
  <c r="AL22" i="15" s="1"/>
  <c r="AL24" i="15" s="1"/>
  <c r="AK399" i="15"/>
  <c r="X251" i="15"/>
  <c r="X318" i="15" s="1"/>
  <c r="X339" i="15"/>
  <c r="X358" i="15" s="1"/>
  <c r="F1909" i="17"/>
  <c r="G1909" i="17" s="1"/>
  <c r="D1909" i="17"/>
  <c r="X65" i="15"/>
  <c r="X223" i="15" s="1"/>
  <c r="W39" i="15"/>
  <c r="W290" i="15"/>
  <c r="I55" i="15"/>
  <c r="F1844" i="17"/>
  <c r="G1844" i="17" s="1"/>
  <c r="G1740" i="17"/>
  <c r="BR433" i="15"/>
  <c r="AJ424" i="15"/>
  <c r="BN404" i="15"/>
  <c r="J183" i="15"/>
  <c r="AH76" i="15"/>
  <c r="AI76" i="15" s="1"/>
  <c r="BR76" i="15" s="1"/>
  <c r="AB115" i="15"/>
  <c r="AB168" i="15" s="1"/>
  <c r="AB34" i="15" s="1"/>
  <c r="AA34" i="15"/>
  <c r="AL400" i="15"/>
  <c r="H276" i="15"/>
  <c r="C229" i="15"/>
  <c r="Z173" i="15"/>
  <c r="Z245" i="15" s="1"/>
  <c r="Z312" i="15" s="1"/>
  <c r="D1730" i="17"/>
  <c r="D1399" i="17"/>
  <c r="D1739" i="17"/>
  <c r="D1729" i="17"/>
  <c r="D1768" i="17"/>
  <c r="I158" i="15"/>
  <c r="I159" i="15" s="1"/>
  <c r="G1843" i="17"/>
  <c r="G1785" i="17"/>
  <c r="D1736" i="17"/>
  <c r="G282" i="15"/>
  <c r="J223" i="15"/>
  <c r="I183" i="15"/>
  <c r="AD183" i="15"/>
  <c r="AH159" i="15"/>
  <c r="AH168" i="15"/>
  <c r="AH167" i="15" s="1"/>
  <c r="AH192" i="15" s="1"/>
  <c r="H168" i="15"/>
  <c r="H193" i="15" s="1"/>
  <c r="W441" i="15"/>
  <c r="W443" i="15" s="1"/>
  <c r="AJ382" i="15"/>
  <c r="E276" i="15"/>
  <c r="U216" i="15"/>
  <c r="BL65" i="15"/>
  <c r="BM65" i="15" s="1"/>
  <c r="D1772" i="17"/>
  <c r="L1727" i="17"/>
  <c r="AF345" i="15"/>
  <c r="AF364" i="15" s="1"/>
  <c r="X158" i="15"/>
  <c r="X159" i="15" s="1"/>
  <c r="G1894" i="17"/>
  <c r="D1947" i="17"/>
  <c r="C1912" i="17"/>
  <c r="D1848" i="17"/>
  <c r="D1731" i="17"/>
  <c r="D1504" i="17"/>
  <c r="BN447" i="15"/>
  <c r="AG219" i="15"/>
  <c r="Z183" i="15"/>
  <c r="G1907" i="17"/>
  <c r="BN33" i="15"/>
  <c r="G1739" i="17"/>
  <c r="D1743" i="17"/>
  <c r="D1858" i="17"/>
  <c r="D1851" i="17"/>
  <c r="G1852" i="17"/>
  <c r="D1657" i="17"/>
  <c r="D1496" i="17"/>
  <c r="G1628" i="17"/>
  <c r="AH61" i="15"/>
  <c r="AH64" i="15" s="1"/>
  <c r="Y418" i="15"/>
  <c r="G1616" i="17"/>
  <c r="G1502" i="17"/>
  <c r="H399" i="15"/>
  <c r="AJ403" i="15"/>
  <c r="AB382" i="15"/>
  <c r="I306" i="15"/>
  <c r="AH215" i="15"/>
  <c r="I212" i="15"/>
  <c r="C183" i="15"/>
  <c r="Z167" i="15"/>
  <c r="Z241" i="15" s="1"/>
  <c r="Z308" i="15" s="1"/>
  <c r="AE72" i="15"/>
  <c r="AE229" i="15" s="1"/>
  <c r="D34" i="15"/>
  <c r="BP11" i="15"/>
  <c r="L1385" i="17"/>
  <c r="AB387" i="15"/>
  <c r="D1537" i="17"/>
  <c r="G1501" i="17"/>
  <c r="Z346" i="15"/>
  <c r="Z365" i="15" s="1"/>
  <c r="D192" i="15"/>
  <c r="D253" i="15" s="1"/>
  <c r="D1770" i="17"/>
  <c r="L1730" i="17"/>
  <c r="G1743" i="17"/>
  <c r="D1744" i="17"/>
  <c r="D1897" i="17"/>
  <c r="AL11" i="15"/>
  <c r="G1801" i="17"/>
  <c r="G1847" i="17"/>
  <c r="D1621" i="17"/>
  <c r="C1530" i="17"/>
  <c r="D1530" i="17" s="1"/>
  <c r="AO20" i="15"/>
  <c r="AO22" i="15" s="1"/>
  <c r="AO24" i="15" s="1"/>
  <c r="AM216" i="15"/>
  <c r="BK416" i="15"/>
  <c r="F1800" i="17"/>
  <c r="G1800" i="17" s="1"/>
  <c r="AF239" i="15"/>
  <c r="AF306" i="15" s="1"/>
  <c r="AD212" i="15"/>
  <c r="G212" i="15"/>
  <c r="AI79" i="15"/>
  <c r="AJ79" i="15" s="1"/>
  <c r="AJ236" i="15" s="1"/>
  <c r="W63" i="15"/>
  <c r="BN10" i="15"/>
  <c r="BN11" i="15" s="1"/>
  <c r="AO212" i="15"/>
  <c r="D1385" i="17"/>
  <c r="G1741" i="17"/>
  <c r="V39" i="15"/>
  <c r="D1749" i="17"/>
  <c r="D1741" i="17"/>
  <c r="G1736" i="17"/>
  <c r="D1742" i="17"/>
  <c r="D1767" i="17"/>
  <c r="AO43" i="15"/>
  <c r="AO45" i="15" s="1"/>
  <c r="BK34" i="15"/>
  <c r="AF28" i="15"/>
  <c r="C1979" i="17"/>
  <c r="D1979" i="17" s="1"/>
  <c r="D1733" i="17"/>
  <c r="D1852" i="17"/>
  <c r="C1873" i="17"/>
  <c r="D1873" i="17" s="1"/>
  <c r="F1898" i="17"/>
  <c r="G1898" i="17" s="1"/>
  <c r="AO11" i="15"/>
  <c r="C1761" i="17"/>
  <c r="D1761" i="17" s="1"/>
  <c r="G1626" i="17"/>
  <c r="AA439" i="15"/>
  <c r="Y433" i="15"/>
  <c r="X426" i="15"/>
  <c r="BN424" i="15"/>
  <c r="AH183" i="15"/>
  <c r="J96" i="15"/>
  <c r="BR29" i="15"/>
  <c r="X212" i="15"/>
  <c r="X389" i="15"/>
  <c r="BM400" i="15"/>
  <c r="BM408" i="15" s="1"/>
  <c r="BM399" i="15"/>
  <c r="H251" i="15"/>
  <c r="H318" i="15" s="1"/>
  <c r="H339" i="15"/>
  <c r="H358" i="15" s="1"/>
  <c r="AA52" i="15"/>
  <c r="AA451" i="15" s="1"/>
  <c r="AA214" i="15"/>
  <c r="AE215" i="15" s="1"/>
  <c r="AJ72" i="15"/>
  <c r="AJ229" i="15" s="1"/>
  <c r="AI229" i="15"/>
  <c r="AI296" i="15"/>
  <c r="AF62" i="15"/>
  <c r="AE287" i="15"/>
  <c r="AE220" i="15"/>
  <c r="X62" i="15"/>
  <c r="X220" i="15" s="1"/>
  <c r="W287" i="15"/>
  <c r="W220" i="15"/>
  <c r="AH389" i="15"/>
  <c r="AH390" i="15"/>
  <c r="BO43" i="15"/>
  <c r="BO32" i="15"/>
  <c r="BO20" i="15"/>
  <c r="BO22" i="15" s="1"/>
  <c r="BO24" i="15" s="1"/>
  <c r="G390" i="15"/>
  <c r="G389" i="15"/>
  <c r="C1774" i="17"/>
  <c r="C1775" i="17" s="1"/>
  <c r="D1726" i="17"/>
  <c r="F1726" i="17"/>
  <c r="G1726" i="17" s="1"/>
  <c r="Z20" i="15"/>
  <c r="Z37" i="15" s="1"/>
  <c r="Z32" i="15"/>
  <c r="Z43" i="15"/>
  <c r="AL168" i="15"/>
  <c r="AL34" i="15" s="1"/>
  <c r="AO216" i="15"/>
  <c r="F61" i="15"/>
  <c r="F219" i="15" s="1"/>
  <c r="F222" i="15" s="1"/>
  <c r="D1501" i="17"/>
  <c r="H216" i="15"/>
  <c r="C400" i="15"/>
  <c r="V389" i="15"/>
  <c r="D348" i="15"/>
  <c r="D367" i="15" s="1"/>
  <c r="D370" i="15" s="1"/>
  <c r="D346" i="15"/>
  <c r="D365" i="15" s="1"/>
  <c r="D369" i="15" s="1"/>
  <c r="C292" i="15"/>
  <c r="AI226" i="15"/>
  <c r="D201" i="15"/>
  <c r="AK88" i="15"/>
  <c r="D20" i="15"/>
  <c r="D37" i="15" s="1"/>
  <c r="BM34" i="15"/>
  <c r="V67" i="15"/>
  <c r="V292" i="15" s="1"/>
  <c r="G1860" i="17"/>
  <c r="G1735" i="17"/>
  <c r="AN446" i="15"/>
  <c r="U389" i="15"/>
  <c r="AF386" i="15"/>
  <c r="AN345" i="15"/>
  <c r="AN364" i="15" s="1"/>
  <c r="AD294" i="15"/>
  <c r="AF275" i="15"/>
  <c r="AH226" i="15"/>
  <c r="U225" i="15"/>
  <c r="AJ88" i="15"/>
  <c r="AJ337" i="15" s="1"/>
  <c r="J168" i="15"/>
  <c r="J346" i="15" s="1"/>
  <c r="J365" i="15" s="1"/>
  <c r="AJ30" i="15"/>
  <c r="AA400" i="15"/>
  <c r="F1615" i="17"/>
  <c r="G1615" i="17" s="1"/>
  <c r="BS389" i="15"/>
  <c r="E201" i="15"/>
  <c r="H282" i="15"/>
  <c r="D1502" i="17"/>
  <c r="D1899" i="17"/>
  <c r="BS390" i="15"/>
  <c r="AH216" i="15"/>
  <c r="BL34" i="15"/>
  <c r="BN30" i="15"/>
  <c r="BR68" i="15"/>
  <c r="BK418" i="15"/>
  <c r="D1853" i="17"/>
  <c r="G1733" i="17"/>
  <c r="E441" i="15"/>
  <c r="E443" i="15" s="1"/>
  <c r="X436" i="15"/>
  <c r="X448" i="15" s="1"/>
  <c r="X424" i="15"/>
  <c r="Y405" i="15"/>
  <c r="AD282" i="15"/>
  <c r="AL234" i="15"/>
  <c r="AF211" i="15"/>
  <c r="D183" i="15"/>
  <c r="X106" i="15"/>
  <c r="Y61" i="15" s="1"/>
  <c r="AP76" i="15"/>
  <c r="AQ76" i="15" s="1"/>
  <c r="AR76" i="15" s="1"/>
  <c r="AK39" i="15"/>
  <c r="D1799" i="17"/>
  <c r="D1747" i="17"/>
  <c r="D1843" i="17"/>
  <c r="D2095" i="17"/>
  <c r="D1769" i="17"/>
  <c r="AN31" i="15"/>
  <c r="AL215" i="15"/>
  <c r="AE34" i="15"/>
  <c r="BN29" i="15"/>
  <c r="C1599" i="17"/>
  <c r="G1512" i="17"/>
  <c r="G1498" i="17"/>
  <c r="AJ425" i="15"/>
  <c r="D342" i="15"/>
  <c r="D361" i="15" s="1"/>
  <c r="AH303" i="15"/>
  <c r="H298" i="15"/>
  <c r="AD227" i="15"/>
  <c r="AD215" i="15"/>
  <c r="Y183" i="15"/>
  <c r="E183" i="15"/>
  <c r="BO61" i="15"/>
  <c r="AK400" i="15"/>
  <c r="AK408" i="15" s="1"/>
  <c r="C1402" i="17"/>
  <c r="C1404" i="17" s="1"/>
  <c r="C1411" i="17" s="1"/>
  <c r="H55" i="15"/>
  <c r="D1384" i="17"/>
  <c r="AO215" i="15"/>
  <c r="BR8" i="15"/>
  <c r="AN114" i="15"/>
  <c r="C1480" i="17" s="1"/>
  <c r="Y60" i="15"/>
  <c r="Y285" i="15" s="1"/>
  <c r="BN440" i="15"/>
  <c r="BN441" i="15" s="1"/>
  <c r="J306" i="15"/>
  <c r="Y218" i="15"/>
  <c r="Y214" i="15"/>
  <c r="H93" i="15"/>
  <c r="H341" i="15" s="1"/>
  <c r="H360" i="15" s="1"/>
  <c r="AL61" i="15"/>
  <c r="D43" i="15"/>
  <c r="D45" i="15" s="1"/>
  <c r="D90" i="15" s="1"/>
  <c r="BO11" i="15"/>
  <c r="D400" i="15"/>
  <c r="D408" i="15" s="1"/>
  <c r="Y52" i="15"/>
  <c r="Y451" i="15" s="1"/>
  <c r="G1849" i="17"/>
  <c r="G1744" i="17"/>
  <c r="G1731" i="17"/>
  <c r="AF449" i="15"/>
  <c r="AD303" i="15"/>
  <c r="Y281" i="15"/>
  <c r="AC282" i="15" s="1"/>
  <c r="H250" i="15"/>
  <c r="H317" i="15" s="1"/>
  <c r="AM306" i="15"/>
  <c r="W223" i="15"/>
  <c r="H176" i="15"/>
  <c r="D173" i="15"/>
  <c r="D245" i="15" s="1"/>
  <c r="D312" i="15" s="1"/>
  <c r="AL159" i="15"/>
  <c r="AL107" i="15"/>
  <c r="X30" i="15"/>
  <c r="Z11" i="15"/>
  <c r="X28" i="15"/>
  <c r="F1385" i="17"/>
  <c r="G1385" i="17" s="1"/>
  <c r="C1521" i="17"/>
  <c r="F1521" i="17" s="1"/>
  <c r="D1901" i="17"/>
  <c r="AF158" i="15"/>
  <c r="D1894" i="17"/>
  <c r="F1627" i="17"/>
  <c r="G1627" i="17" s="1"/>
  <c r="BN28" i="15"/>
  <c r="AN33" i="15"/>
  <c r="BK51" i="15"/>
  <c r="AJ435" i="15"/>
  <c r="AB396" i="15"/>
  <c r="AB406" i="15" s="1"/>
  <c r="E212" i="15"/>
  <c r="H202" i="15"/>
  <c r="BR75" i="15"/>
  <c r="V11" i="15"/>
  <c r="AC51" i="15"/>
  <c r="G1730" i="17"/>
  <c r="Z400" i="15"/>
  <c r="Z408" i="15" s="1"/>
  <c r="AF404" i="15"/>
  <c r="I338" i="15"/>
  <c r="I340" i="15" s="1"/>
  <c r="AH296" i="15"/>
  <c r="K216" i="15"/>
  <c r="AM212" i="15"/>
  <c r="AF31" i="15"/>
  <c r="U399" i="15"/>
  <c r="AA16" i="15"/>
  <c r="AA20" i="15" s="1"/>
  <c r="AA22" i="15" s="1"/>
  <c r="AA24" i="15" s="1"/>
  <c r="AJ427" i="15"/>
  <c r="D1740" i="17"/>
  <c r="AL65" i="15"/>
  <c r="AO300" i="15"/>
  <c r="D193" i="15"/>
  <c r="K1728" i="17"/>
  <c r="L1728" i="17" s="1"/>
  <c r="AL251" i="15"/>
  <c r="E342" i="15"/>
  <c r="E361" i="15" s="1"/>
  <c r="BM16" i="15"/>
  <c r="BM43" i="15" s="1"/>
  <c r="Y51" i="15"/>
  <c r="D1505" i="17"/>
  <c r="AF405" i="15"/>
  <c r="AI293" i="15"/>
  <c r="AH229" i="15"/>
  <c r="V220" i="15"/>
  <c r="AJ214" i="15"/>
  <c r="AJ216" i="15" s="1"/>
  <c r="BL16" i="15"/>
  <c r="BL43" i="15" s="1"/>
  <c r="D11" i="15"/>
  <c r="AM107" i="15"/>
  <c r="C1583" i="17"/>
  <c r="F1583" i="17" s="1"/>
  <c r="C1460" i="17"/>
  <c r="AH293" i="15"/>
  <c r="AE159" i="15"/>
  <c r="D89" i="15"/>
  <c r="I64" i="15"/>
  <c r="I70" i="15" s="1"/>
  <c r="AM168" i="15"/>
  <c r="X168" i="15"/>
  <c r="X346" i="15" s="1"/>
  <c r="X365" i="15" s="1"/>
  <c r="BN35" i="15"/>
  <c r="F340" i="15"/>
  <c r="F357" i="15"/>
  <c r="F359" i="15" s="1"/>
  <c r="U188" i="15"/>
  <c r="U244" i="15"/>
  <c r="U311" i="15" s="1"/>
  <c r="C1874" i="17"/>
  <c r="K1842" i="17"/>
  <c r="L1842" i="17" s="1"/>
  <c r="C1859" i="17"/>
  <c r="C1861" i="17" s="1"/>
  <c r="H283" i="15"/>
  <c r="E283" i="15"/>
  <c r="C2074" i="17"/>
  <c r="C2076" i="17" s="1"/>
  <c r="C2083" i="17" s="1"/>
  <c r="F1853" i="17"/>
  <c r="G1853" i="17" s="1"/>
  <c r="K1617" i="17"/>
  <c r="F282" i="15"/>
  <c r="F107" i="15"/>
  <c r="AH11" i="15"/>
  <c r="D1629" i="17"/>
  <c r="G276" i="15"/>
  <c r="E11" i="15"/>
  <c r="D2044" i="17"/>
  <c r="G1953" i="17"/>
  <c r="J399" i="15"/>
  <c r="D1963" i="17"/>
  <c r="G1954" i="17"/>
  <c r="D1390" i="17"/>
  <c r="E107" i="15"/>
  <c r="D215" i="15"/>
  <c r="D1987" i="17"/>
  <c r="F20" i="15"/>
  <c r="F36" i="15" s="1"/>
  <c r="F202" i="15"/>
  <c r="AD43" i="15"/>
  <c r="U241" i="15"/>
  <c r="U308" i="15" s="1"/>
  <c r="J222" i="15"/>
  <c r="AA212" i="15"/>
  <c r="F1329" i="17"/>
  <c r="D1735" i="17"/>
  <c r="X88" i="15"/>
  <c r="D2042" i="17"/>
  <c r="D2046" i="17"/>
  <c r="F1390" i="17"/>
  <c r="G1390" i="17" s="1"/>
  <c r="D1796" i="17"/>
  <c r="F43" i="15"/>
  <c r="F45" i="15" s="1"/>
  <c r="Z215" i="15"/>
  <c r="Z389" i="15"/>
  <c r="D2045" i="17"/>
  <c r="G1962" i="17"/>
  <c r="Z216" i="15"/>
  <c r="C2034" i="17"/>
  <c r="D2034" i="17" s="1"/>
  <c r="G1845" i="17"/>
  <c r="AK212" i="15"/>
  <c r="AB106" i="15"/>
  <c r="AB61" i="15" s="1"/>
  <c r="F1341" i="17"/>
  <c r="D1896" i="17"/>
  <c r="I107" i="15"/>
  <c r="D2043" i="17"/>
  <c r="D1860" i="17"/>
  <c r="G1958" i="17"/>
  <c r="G1948" i="17"/>
  <c r="U242" i="15"/>
  <c r="U309" i="15" s="1"/>
  <c r="C201" i="15"/>
  <c r="C262" i="15" s="1"/>
  <c r="G1957" i="17"/>
  <c r="G1854" i="17"/>
  <c r="X387" i="15"/>
  <c r="X388" i="15" s="1"/>
  <c r="E388" i="15"/>
  <c r="F1497" i="17"/>
  <c r="G1497" i="17" s="1"/>
  <c r="C1516" i="17"/>
  <c r="D1497" i="17"/>
  <c r="I389" i="15"/>
  <c r="H390" i="15"/>
  <c r="H389" i="15"/>
  <c r="F1509" i="17"/>
  <c r="G1509" i="17" s="1"/>
  <c r="D1509" i="17"/>
  <c r="C1487" i="17"/>
  <c r="F1438" i="17"/>
  <c r="F1459" i="17" s="1"/>
  <c r="F1728" i="17"/>
  <c r="C1746" i="17"/>
  <c r="D1728" i="17"/>
  <c r="J389" i="15"/>
  <c r="D1846" i="17"/>
  <c r="F1846" i="17"/>
  <c r="G1846" i="17" s="1"/>
  <c r="AH340" i="15"/>
  <c r="AH357" i="15"/>
  <c r="AH359" i="15" s="1"/>
  <c r="F1856" i="17"/>
  <c r="G1856" i="17" s="1"/>
  <c r="D1856" i="17"/>
  <c r="I216" i="15"/>
  <c r="I215" i="15"/>
  <c r="F1732" i="17"/>
  <c r="G1732" i="17" s="1"/>
  <c r="D1732" i="17"/>
  <c r="BL44" i="15"/>
  <c r="BL40" i="15" s="1"/>
  <c r="BM56" i="15"/>
  <c r="F1332" i="17"/>
  <c r="AA291" i="15"/>
  <c r="AB66" i="15"/>
  <c r="AA224" i="15"/>
  <c r="BQ66" i="15"/>
  <c r="D1789" i="17"/>
  <c r="F1789" i="17"/>
  <c r="G1789" i="17" s="1"/>
  <c r="C1718" i="17"/>
  <c r="F1669" i="17"/>
  <c r="AB420" i="15"/>
  <c r="BN420" i="15"/>
  <c r="AI77" i="15"/>
  <c r="BR77" i="15" s="1"/>
  <c r="AH234" i="15"/>
  <c r="G1791" i="17"/>
  <c r="D1798" i="17"/>
  <c r="D1825" i="17"/>
  <c r="E216" i="15"/>
  <c r="D1826" i="17"/>
  <c r="G1747" i="17"/>
  <c r="AI442" i="15"/>
  <c r="H340" i="15"/>
  <c r="H357" i="15"/>
  <c r="H359" i="15" s="1"/>
  <c r="AH301" i="15"/>
  <c r="E300" i="15"/>
  <c r="F158" i="15"/>
  <c r="F159" i="15" s="1"/>
  <c r="AB155" i="15"/>
  <c r="AB158" i="15" s="1"/>
  <c r="F251" i="15"/>
  <c r="F318" i="15" s="1"/>
  <c r="F339" i="15"/>
  <c r="F358" i="15" s="1"/>
  <c r="W236" i="15"/>
  <c r="W303" i="15"/>
  <c r="AG218" i="15"/>
  <c r="AG285" i="15"/>
  <c r="AG64" i="15"/>
  <c r="AG70" i="15" s="1"/>
  <c r="BO65" i="15"/>
  <c r="BO39" i="15" s="1"/>
  <c r="AG96" i="15"/>
  <c r="AG343" i="15" s="1"/>
  <c r="AG362" i="15" s="1"/>
  <c r="AG223" i="15"/>
  <c r="AH65" i="15"/>
  <c r="AG290" i="15"/>
  <c r="AG39" i="15"/>
  <c r="F167" i="15"/>
  <c r="F34" i="15"/>
  <c r="F242" i="15"/>
  <c r="F309" i="15" s="1"/>
  <c r="F173" i="15"/>
  <c r="F179" i="15" s="1"/>
  <c r="F193" i="15"/>
  <c r="F254" i="15" s="1"/>
  <c r="F346" i="15"/>
  <c r="F365" i="15" s="1"/>
  <c r="AK44" i="15"/>
  <c r="AL56" i="15"/>
  <c r="AL231" i="15"/>
  <c r="AM74" i="15"/>
  <c r="AM231" i="15" s="1"/>
  <c r="W447" i="15"/>
  <c r="X434" i="15"/>
  <c r="W296" i="15"/>
  <c r="W229" i="15"/>
  <c r="F1635" i="17"/>
  <c r="G1635" i="17" s="1"/>
  <c r="D1829" i="17"/>
  <c r="Z443" i="15"/>
  <c r="BL442" i="15"/>
  <c r="Z442" i="15"/>
  <c r="W400" i="15"/>
  <c r="W408" i="15" s="1"/>
  <c r="W399" i="15"/>
  <c r="AH297" i="15"/>
  <c r="AI73" i="15"/>
  <c r="AI297" i="15" s="1"/>
  <c r="E167" i="15"/>
  <c r="E173" i="15"/>
  <c r="E242" i="15"/>
  <c r="E309" i="15" s="1"/>
  <c r="E321" i="15" s="1"/>
  <c r="E346" i="15"/>
  <c r="E365" i="15" s="1"/>
  <c r="E34" i="15"/>
  <c r="AH20" i="15"/>
  <c r="AH32" i="15"/>
  <c r="AG11" i="15"/>
  <c r="AG16" i="15"/>
  <c r="I442" i="15"/>
  <c r="D1793" i="17"/>
  <c r="BR439" i="15"/>
  <c r="Y54" i="15"/>
  <c r="Z53" i="15"/>
  <c r="X57" i="15"/>
  <c r="X44" i="15" s="1"/>
  <c r="X40" i="15" s="1"/>
  <c r="V44" i="15"/>
  <c r="V40" i="15" s="1"/>
  <c r="D1787" i="17"/>
  <c r="AN404" i="15"/>
  <c r="J390" i="15"/>
  <c r="C1816" i="17"/>
  <c r="D1785" i="17"/>
  <c r="F1618" i="17"/>
  <c r="G1618" i="17" s="1"/>
  <c r="AI227" i="15"/>
  <c r="AI294" i="15"/>
  <c r="D2089" i="17"/>
  <c r="G1896" i="17"/>
  <c r="G1798" i="17"/>
  <c r="BN425" i="15"/>
  <c r="AJ405" i="15"/>
  <c r="AC222" i="15"/>
  <c r="AC228" i="15" s="1"/>
  <c r="AI67" i="15"/>
  <c r="AJ67" i="15" s="1"/>
  <c r="AJ225" i="15" s="1"/>
  <c r="AH225" i="15"/>
  <c r="AH292" i="15"/>
  <c r="G1386" i="17"/>
  <c r="D1394" i="17"/>
  <c r="D1801" i="17"/>
  <c r="BP442" i="15"/>
  <c r="AE443" i="15"/>
  <c r="AJ448" i="15"/>
  <c r="AJ384" i="15"/>
  <c r="F183" i="15"/>
  <c r="AB182" i="15"/>
  <c r="H219" i="15"/>
  <c r="H222" i="15" s="1"/>
  <c r="H228" i="15" s="1"/>
  <c r="H286" i="15"/>
  <c r="AL67" i="15"/>
  <c r="AK225" i="15"/>
  <c r="D1792" i="17"/>
  <c r="AA51" i="15"/>
  <c r="AE51" i="15"/>
  <c r="BM51" i="15"/>
  <c r="AA218" i="15"/>
  <c r="AA60" i="15"/>
  <c r="AA285" i="15" s="1"/>
  <c r="G1796" i="17"/>
  <c r="AD443" i="15"/>
  <c r="AD442" i="15"/>
  <c r="AF425" i="15"/>
  <c r="Y33" i="15"/>
  <c r="Z33" i="15"/>
  <c r="AA33" i="15"/>
  <c r="D1828" i="17"/>
  <c r="BK420" i="15"/>
  <c r="AC420" i="15"/>
  <c r="Y427" i="15"/>
  <c r="Y420" i="15"/>
  <c r="D1805" i="17"/>
  <c r="G1797" i="17"/>
  <c r="AE212" i="15"/>
  <c r="D1635" i="17"/>
  <c r="AL390" i="15"/>
  <c r="Z283" i="15"/>
  <c r="G1795" i="17"/>
  <c r="H300" i="15"/>
  <c r="H233" i="15"/>
  <c r="AI285" i="15"/>
  <c r="AI218" i="15"/>
  <c r="X50" i="15"/>
  <c r="X60" i="15" s="1"/>
  <c r="X285" i="15" s="1"/>
  <c r="W52" i="15"/>
  <c r="W451" i="15" s="1"/>
  <c r="W214" i="15"/>
  <c r="W216" i="15" s="1"/>
  <c r="W51" i="15"/>
  <c r="W218" i="15"/>
  <c r="W281" i="15"/>
  <c r="W283" i="15" s="1"/>
  <c r="D1512" i="17"/>
  <c r="D1786" i="17"/>
  <c r="D1791" i="17"/>
  <c r="G1794" i="17"/>
  <c r="G1799" i="17"/>
  <c r="Y414" i="15"/>
  <c r="AC414" i="15"/>
  <c r="AN214" i="15"/>
  <c r="AI57" i="15"/>
  <c r="AJ57" i="15" s="1"/>
  <c r="D1817" i="17"/>
  <c r="D1827" i="17"/>
  <c r="Y55" i="15"/>
  <c r="X425" i="15"/>
  <c r="AD399" i="15"/>
  <c r="BO399" i="15"/>
  <c r="G168" i="15"/>
  <c r="AF115" i="15"/>
  <c r="AF168" i="15" s="1"/>
  <c r="AF242" i="15" s="1"/>
  <c r="AF309" i="15" s="1"/>
  <c r="AH282" i="15"/>
  <c r="AC433" i="15"/>
  <c r="Y446" i="15"/>
  <c r="AJ406" i="15"/>
  <c r="AJ380" i="15"/>
  <c r="AD297" i="15"/>
  <c r="D442" i="15"/>
  <c r="Y439" i="15"/>
  <c r="AJ437" i="15"/>
  <c r="AI389" i="15"/>
  <c r="AJ386" i="15"/>
  <c r="AF382" i="15"/>
  <c r="AB380" i="15"/>
  <c r="F300" i="15"/>
  <c r="F233" i="15"/>
  <c r="AB33" i="15"/>
  <c r="K1382" i="17"/>
  <c r="AO159" i="15"/>
  <c r="AK64" i="15"/>
  <c r="AM339" i="15"/>
  <c r="Z212" i="15"/>
  <c r="AD76" i="15"/>
  <c r="AC233" i="15"/>
  <c r="AF91" i="15"/>
  <c r="C1916" i="17" s="1"/>
  <c r="AF218" i="15"/>
  <c r="W44" i="15"/>
  <c r="W40" i="15" s="1"/>
  <c r="AE167" i="15"/>
  <c r="AE242" i="15"/>
  <c r="AE309" i="15" s="1"/>
  <c r="AN115" i="15"/>
  <c r="K159" i="15"/>
  <c r="J16" i="15"/>
  <c r="J11" i="15"/>
  <c r="E2020" i="17"/>
  <c r="AJ449" i="15"/>
  <c r="AE73" i="15"/>
  <c r="V296" i="15"/>
  <c r="X72" i="15"/>
  <c r="U61" i="15"/>
  <c r="U64" i="15" s="1"/>
  <c r="U70" i="15" s="1"/>
  <c r="AD167" i="15"/>
  <c r="AD242" i="15"/>
  <c r="AD309" i="15" s="1"/>
  <c r="AD173" i="15"/>
  <c r="AD245" i="15" s="1"/>
  <c r="AD312" i="15" s="1"/>
  <c r="V167" i="15"/>
  <c r="V172" i="15" s="1"/>
  <c r="V242" i="15"/>
  <c r="V309" i="15" s="1"/>
  <c r="V173" i="15"/>
  <c r="AI74" i="15"/>
  <c r="AJ74" i="15" s="1"/>
  <c r="AH298" i="15"/>
  <c r="BP32" i="15"/>
  <c r="BP43" i="15"/>
  <c r="G1951" i="17"/>
  <c r="D1631" i="17"/>
  <c r="AM442" i="15"/>
  <c r="I364" i="15"/>
  <c r="AI276" i="15"/>
  <c r="AE276" i="15"/>
  <c r="AK306" i="15"/>
  <c r="F215" i="15"/>
  <c r="G215" i="15"/>
  <c r="AJ75" i="15"/>
  <c r="AJ232" i="15" s="1"/>
  <c r="AI299" i="15"/>
  <c r="AI232" i="15"/>
  <c r="AC173" i="15"/>
  <c r="AC167" i="15"/>
  <c r="G1960" i="17"/>
  <c r="G1904" i="17"/>
  <c r="AC439" i="15"/>
  <c r="BK439" i="15"/>
  <c r="Y449" i="15"/>
  <c r="Y404" i="15"/>
  <c r="Z229" i="15"/>
  <c r="G159" i="15"/>
  <c r="AE75" i="15"/>
  <c r="G1857" i="17"/>
  <c r="AA432" i="15"/>
  <c r="AA446" i="15" s="1"/>
  <c r="AN425" i="15"/>
  <c r="AJ420" i="15"/>
  <c r="BN427" i="15"/>
  <c r="BL389" i="15"/>
  <c r="AJ387" i="15"/>
  <c r="AJ388" i="15" s="1"/>
  <c r="AE346" i="15"/>
  <c r="AE365" i="15" s="1"/>
  <c r="AH231" i="15"/>
  <c r="U183" i="15"/>
  <c r="AE79" i="15"/>
  <c r="G225" i="15"/>
  <c r="G292" i="15"/>
  <c r="AI168" i="15"/>
  <c r="AI242" i="15" s="1"/>
  <c r="AI309" i="15" s="1"/>
  <c r="AN8" i="15"/>
  <c r="AI159" i="15"/>
  <c r="AH107" i="15"/>
  <c r="BR35" i="15"/>
  <c r="AO168" i="15"/>
  <c r="AP223" i="15"/>
  <c r="AE77" i="15"/>
  <c r="V233" i="15"/>
  <c r="J55" i="15"/>
  <c r="AJ31" i="15"/>
  <c r="BN31" i="15"/>
  <c r="J159" i="15"/>
  <c r="G283" i="15"/>
  <c r="I222" i="15"/>
  <c r="X181" i="15"/>
  <c r="X183" i="15" s="1"/>
  <c r="K107" i="15"/>
  <c r="BN52" i="15"/>
  <c r="BN451" i="15" s="1"/>
  <c r="BO56" i="15"/>
  <c r="BO44" i="15" s="1"/>
  <c r="BO40" i="15" s="1"/>
  <c r="X33" i="15"/>
  <c r="X35" i="15"/>
  <c r="I16" i="15"/>
  <c r="BT44" i="15"/>
  <c r="D1386" i="17"/>
  <c r="AP183" i="15"/>
  <c r="D225" i="15"/>
  <c r="AH212" i="15"/>
  <c r="AF106" i="15"/>
  <c r="AF107" i="15" s="1"/>
  <c r="H159" i="15"/>
  <c r="AJ33" i="15"/>
  <c r="D1949" i="17"/>
  <c r="BN397" i="15"/>
  <c r="BN398" i="15" s="1"/>
  <c r="BN405" i="15"/>
  <c r="X404" i="15"/>
  <c r="AD288" i="15"/>
  <c r="AE283" i="15"/>
  <c r="AI283" i="15"/>
  <c r="D242" i="15"/>
  <c r="D309" i="15" s="1"/>
  <c r="C216" i="15"/>
  <c r="AG212" i="15"/>
  <c r="AI183" i="15"/>
  <c r="AJ52" i="15"/>
  <c r="AJ451" i="15" s="1"/>
  <c r="C1423" i="17"/>
  <c r="D1423" i="17" s="1"/>
  <c r="AC183" i="15"/>
  <c r="H107" i="15"/>
  <c r="G107" i="15"/>
  <c r="C1662" i="17"/>
  <c r="D1661" i="17"/>
  <c r="G339" i="15"/>
  <c r="G358" i="15" s="1"/>
  <c r="L1946" i="17"/>
  <c r="D1956" i="17"/>
  <c r="D1959" i="17"/>
  <c r="D1960" i="17"/>
  <c r="D1962" i="17"/>
  <c r="D1955" i="17"/>
  <c r="G1959" i="17"/>
  <c r="G1952" i="17"/>
  <c r="D1989" i="17"/>
  <c r="D1953" i="17"/>
  <c r="D1950" i="17"/>
  <c r="D1967" i="17"/>
  <c r="AL441" i="15"/>
  <c r="AB440" i="15"/>
  <c r="F441" i="15"/>
  <c r="AH400" i="15"/>
  <c r="AH399" i="15"/>
  <c r="BT61" i="15"/>
  <c r="BU61" i="15" s="1"/>
  <c r="BS64" i="15"/>
  <c r="BS70" i="15" s="1"/>
  <c r="BS78" i="15" s="1"/>
  <c r="G1947" i="17"/>
  <c r="D1965" i="17"/>
  <c r="G1956" i="17"/>
  <c r="AJ56" i="15"/>
  <c r="F1566" i="17"/>
  <c r="BM439" i="15"/>
  <c r="AE439" i="15"/>
  <c r="AB438" i="15"/>
  <c r="AA449" i="15"/>
  <c r="BR437" i="15"/>
  <c r="AN437" i="15"/>
  <c r="AF448" i="15"/>
  <c r="AF446" i="15"/>
  <c r="AF424" i="15"/>
  <c r="AF403" i="15"/>
  <c r="AF380" i="15"/>
  <c r="C1557" i="17"/>
  <c r="C1783" i="17"/>
  <c r="AE187" i="15"/>
  <c r="AE245" i="15"/>
  <c r="AE312" i="15" s="1"/>
  <c r="AF94" i="15"/>
  <c r="AF221" i="15"/>
  <c r="AF288" i="15"/>
  <c r="K1731" i="17"/>
  <c r="C1690" i="17"/>
  <c r="C1978" i="17"/>
  <c r="AN158" i="15"/>
  <c r="D1954" i="17"/>
  <c r="C2020" i="17"/>
  <c r="D1985" i="17"/>
  <c r="G1955" i="17"/>
  <c r="K1788" i="17"/>
  <c r="BS442" i="15"/>
  <c r="F1803" i="17"/>
  <c r="G1803" i="17" s="1"/>
  <c r="K1785" i="17"/>
  <c r="D1803" i="17"/>
  <c r="F1511" i="17"/>
  <c r="G1511" i="17" s="1"/>
  <c r="D1511" i="17"/>
  <c r="F1500" i="17"/>
  <c r="D1500" i="17"/>
  <c r="V283" i="15"/>
  <c r="Z282" i="15"/>
  <c r="C282" i="15"/>
  <c r="C283" i="15"/>
  <c r="AD276" i="15"/>
  <c r="AD283" i="15"/>
  <c r="AL212" i="15"/>
  <c r="AL216" i="15"/>
  <c r="J441" i="15"/>
  <c r="BR440" i="15"/>
  <c r="BR441" i="15" s="1"/>
  <c r="K340" i="15"/>
  <c r="D1958" i="17"/>
  <c r="G1950" i="17"/>
  <c r="L1949" i="17"/>
  <c r="K1950" i="17"/>
  <c r="D1990" i="17"/>
  <c r="D1649" i="17"/>
  <c r="D1613" i="17"/>
  <c r="K1615" i="17"/>
  <c r="C1964" i="17"/>
  <c r="C443" i="15"/>
  <c r="L1896" i="17"/>
  <c r="D1948" i="17"/>
  <c r="F1949" i="17"/>
  <c r="G1949" i="17" s="1"/>
  <c r="D1951" i="17"/>
  <c r="D1957" i="17"/>
  <c r="D1952" i="17"/>
  <c r="D1988" i="17"/>
  <c r="D1986" i="17"/>
  <c r="D1961" i="17"/>
  <c r="F1961" i="17"/>
  <c r="G1961" i="17" s="1"/>
  <c r="AJ418" i="15"/>
  <c r="BN426" i="15"/>
  <c r="AI399" i="15"/>
  <c r="E400" i="15"/>
  <c r="AG215" i="15"/>
  <c r="AK215" i="15"/>
  <c r="J216" i="15"/>
  <c r="J215" i="15"/>
  <c r="K215" i="15"/>
  <c r="AL32" i="15"/>
  <c r="C219" i="15"/>
  <c r="C222" i="15" s="1"/>
  <c r="C228" i="15" s="1"/>
  <c r="C286" i="15"/>
  <c r="AN439" i="15"/>
  <c r="BR435" i="15"/>
  <c r="AN435" i="15"/>
  <c r="AF447" i="15"/>
  <c r="AJ433" i="15"/>
  <c r="Y424" i="15"/>
  <c r="BK414" i="15"/>
  <c r="AB413" i="15"/>
  <c r="BN414" i="15" s="1"/>
  <c r="AE399" i="15"/>
  <c r="H400" i="15"/>
  <c r="K398" i="15"/>
  <c r="L399" i="15" s="1"/>
  <c r="AN397" i="15"/>
  <c r="AN398" i="15" s="1"/>
  <c r="AF397" i="15"/>
  <c r="AF398" i="15" s="1"/>
  <c r="AB393" i="15"/>
  <c r="Y397" i="15"/>
  <c r="AB397" i="15" s="1"/>
  <c r="AG390" i="15"/>
  <c r="AK389" i="15"/>
  <c r="BO390" i="15"/>
  <c r="BO389" i="15"/>
  <c r="AE74" i="15"/>
  <c r="AD298" i="15"/>
  <c r="I39" i="15"/>
  <c r="I96" i="15"/>
  <c r="I223" i="15"/>
  <c r="BP22" i="15"/>
  <c r="BP24" i="15" s="1"/>
  <c r="BP36" i="15"/>
  <c r="C2139" i="17"/>
  <c r="D2148" i="17"/>
  <c r="D2151" i="17"/>
  <c r="D2146" i="17"/>
  <c r="D2147" i="17"/>
  <c r="BO443" i="15"/>
  <c r="BO442" i="15"/>
  <c r="AN440" i="15"/>
  <c r="AH443" i="15"/>
  <c r="AH442" i="15"/>
  <c r="AJ416" i="15"/>
  <c r="BO400" i="15"/>
  <c r="AL399" i="15"/>
  <c r="J400" i="15"/>
  <c r="F398" i="15"/>
  <c r="AE389" i="15"/>
  <c r="AE390" i="15"/>
  <c r="AN403" i="15"/>
  <c r="AN424" i="15"/>
  <c r="AM266" i="15"/>
  <c r="H1554" i="17"/>
  <c r="G1572" i="17" s="1"/>
  <c r="AL306" i="15"/>
  <c r="AL266" i="15"/>
  <c r="C1458" i="17"/>
  <c r="C1459" i="17" s="1"/>
  <c r="AA61" i="15"/>
  <c r="Z61" i="15"/>
  <c r="AC443" i="15"/>
  <c r="Y435" i="15"/>
  <c r="BK435" i="15"/>
  <c r="AA434" i="15"/>
  <c r="AB434" i="15" s="1"/>
  <c r="AN433" i="15"/>
  <c r="BL400" i="15"/>
  <c r="BL408" i="15" s="1"/>
  <c r="AJ397" i="15"/>
  <c r="AJ398" i="15" s="1"/>
  <c r="I398" i="15"/>
  <c r="BP389" i="15"/>
  <c r="C390" i="15"/>
  <c r="D389" i="15"/>
  <c r="AN405" i="15"/>
  <c r="AN448" i="15"/>
  <c r="AL364" i="15"/>
  <c r="E356" i="15"/>
  <c r="U283" i="15"/>
  <c r="AN266" i="15"/>
  <c r="AN306" i="15"/>
  <c r="H1435" i="17"/>
  <c r="G1447" i="17" s="1"/>
  <c r="AK266" i="15"/>
  <c r="AJ266" i="15"/>
  <c r="AJ364" i="15"/>
  <c r="K251" i="15"/>
  <c r="K339" i="15"/>
  <c r="K202" i="15"/>
  <c r="AA79" i="15"/>
  <c r="AB79" i="15" s="1"/>
  <c r="Z76" i="15"/>
  <c r="Y233" i="15"/>
  <c r="Y300" i="15"/>
  <c r="AE67" i="15"/>
  <c r="AD225" i="15"/>
  <c r="AD292" i="15"/>
  <c r="AA67" i="15"/>
  <c r="Z225" i="15"/>
  <c r="Z292" i="15"/>
  <c r="AH220" i="15"/>
  <c r="AI62" i="15"/>
  <c r="Z287" i="15"/>
  <c r="Z220" i="15"/>
  <c r="AA62" i="15"/>
  <c r="AB427" i="15"/>
  <c r="AC34" i="15"/>
  <c r="AD34" i="15"/>
  <c r="AB50" i="15"/>
  <c r="AA281" i="15"/>
  <c r="F283" i="15"/>
  <c r="AN406" i="15"/>
  <c r="C2088" i="17"/>
  <c r="D2099" i="17"/>
  <c r="G1965" i="17"/>
  <c r="H1666" i="17"/>
  <c r="G1676" i="17" s="1"/>
  <c r="Y447" i="15"/>
  <c r="AA436" i="15"/>
  <c r="Y437" i="15"/>
  <c r="BK437" i="15"/>
  <c r="Y448" i="15"/>
  <c r="AC435" i="15"/>
  <c r="Y441" i="15"/>
  <c r="AC442" i="15" s="1"/>
  <c r="AN427" i="15"/>
  <c r="AF426" i="15"/>
  <c r="BP399" i="15"/>
  <c r="AJ404" i="15"/>
  <c r="BP390" i="15"/>
  <c r="AA389" i="15"/>
  <c r="AA390" i="15"/>
  <c r="AF387" i="15"/>
  <c r="AF388" i="15" s="1"/>
  <c r="AM389" i="15"/>
  <c r="AM390" i="15"/>
  <c r="BN449" i="15"/>
  <c r="BN386" i="15"/>
  <c r="BN406" i="15"/>
  <c r="AB386" i="15"/>
  <c r="Y426" i="15"/>
  <c r="AB383" i="15"/>
  <c r="BK384" i="15"/>
  <c r="Y384" i="15"/>
  <c r="Y388" i="15"/>
  <c r="BN380" i="15"/>
  <c r="AG340" i="15"/>
  <c r="AG357" i="15"/>
  <c r="AG359" i="15" s="1"/>
  <c r="AL183" i="15"/>
  <c r="W233" i="15"/>
  <c r="W300" i="15"/>
  <c r="K233" i="15"/>
  <c r="G233" i="15"/>
  <c r="G300" i="15"/>
  <c r="C233" i="15"/>
  <c r="C300" i="15"/>
  <c r="AH227" i="15"/>
  <c r="AH294" i="15"/>
  <c r="BR69" i="15"/>
  <c r="AI66" i="15"/>
  <c r="AH224" i="15"/>
  <c r="AH291" i="15"/>
  <c r="X66" i="15"/>
  <c r="W291" i="15"/>
  <c r="W224" i="15"/>
  <c r="BK11" i="15"/>
  <c r="BK16" i="15"/>
  <c r="U43" i="15"/>
  <c r="U45" i="15" s="1"/>
  <c r="U20" i="15"/>
  <c r="H11" i="15"/>
  <c r="H16" i="15"/>
  <c r="AF440" i="15"/>
  <c r="AF441" i="15" s="1"/>
  <c r="AJ440" i="15"/>
  <c r="AJ441" i="15" s="1"/>
  <c r="AJ447" i="15"/>
  <c r="AJ414" i="15"/>
  <c r="AM399" i="15"/>
  <c r="X398" i="15"/>
  <c r="BM389" i="15"/>
  <c r="BN387" i="15"/>
  <c r="BN388" i="15" s="1"/>
  <c r="AI340" i="15"/>
  <c r="AI357" i="15"/>
  <c r="AH276" i="15"/>
  <c r="AK183" i="15"/>
  <c r="AN181" i="15"/>
  <c r="K183" i="15"/>
  <c r="AF181" i="15"/>
  <c r="G183" i="15"/>
  <c r="C1910" i="17"/>
  <c r="D1910" i="17" s="1"/>
  <c r="G229" i="15"/>
  <c r="G296" i="15"/>
  <c r="AF69" i="15"/>
  <c r="AE294" i="15"/>
  <c r="Z293" i="15"/>
  <c r="AM68" i="15"/>
  <c r="AL226" i="15"/>
  <c r="V61" i="15"/>
  <c r="V64" i="15" s="1"/>
  <c r="W61" i="15"/>
  <c r="K64" i="15"/>
  <c r="K70" i="15" s="1"/>
  <c r="K219" i="15"/>
  <c r="K222" i="15" s="1"/>
  <c r="AL218" i="15"/>
  <c r="AF52" i="15"/>
  <c r="AF451" i="15" s="1"/>
  <c r="AF60" i="15"/>
  <c r="AF214" i="15"/>
  <c r="AF281" i="15"/>
  <c r="W77" i="15"/>
  <c r="V234" i="15"/>
  <c r="W74" i="15"/>
  <c r="X74" i="15" s="1"/>
  <c r="V231" i="15"/>
  <c r="AF66" i="15"/>
  <c r="AE224" i="15"/>
  <c r="AO92" i="15"/>
  <c r="AN60" i="15"/>
  <c r="AP92" i="15"/>
  <c r="C1349" i="17" s="1"/>
  <c r="AN92" i="15"/>
  <c r="C1430" i="17"/>
  <c r="F1381" i="17"/>
  <c r="AP212" i="15"/>
  <c r="AH285" i="15"/>
  <c r="AG276" i="15"/>
  <c r="K306" i="15"/>
  <c r="G216" i="15"/>
  <c r="W173" i="15"/>
  <c r="W167" i="15"/>
  <c r="W242" i="15"/>
  <c r="W309" i="15" s="1"/>
  <c r="F201" i="15"/>
  <c r="F250" i="15"/>
  <c r="F317" i="15" s="1"/>
  <c r="BR72" i="15"/>
  <c r="K225" i="15"/>
  <c r="AH94" i="15"/>
  <c r="AH342" i="15" s="1"/>
  <c r="AH361" i="15" s="1"/>
  <c r="AH221" i="15"/>
  <c r="AM218" i="15"/>
  <c r="AE57" i="15"/>
  <c r="AD44" i="15"/>
  <c r="Y173" i="15"/>
  <c r="Y167" i="15"/>
  <c r="D172" i="15"/>
  <c r="D241" i="15"/>
  <c r="D308" i="15" s="1"/>
  <c r="BS399" i="15"/>
  <c r="U173" i="15"/>
  <c r="X79" i="15"/>
  <c r="AA72" i="15"/>
  <c r="G61" i="15"/>
  <c r="AG159" i="15"/>
  <c r="AG168" i="15"/>
  <c r="AA77" i="15"/>
  <c r="AB77" i="15" s="1"/>
  <c r="AJ60" i="15"/>
  <c r="AK92" i="15"/>
  <c r="AJ92" i="15"/>
  <c r="Z44" i="15"/>
  <c r="AA56" i="15"/>
  <c r="BQ86" i="15" s="1"/>
  <c r="AF30" i="15"/>
  <c r="AF29" i="15"/>
  <c r="AO219" i="15"/>
  <c r="AO222" i="15" s="1"/>
  <c r="AP61" i="15"/>
  <c r="AQ61" i="15" s="1"/>
  <c r="AR61" i="15" s="1"/>
  <c r="X68" i="15"/>
  <c r="E61" i="15"/>
  <c r="H64" i="15"/>
  <c r="H70" i="15" s="1"/>
  <c r="W60" i="15"/>
  <c r="AO33" i="15"/>
  <c r="AJ10" i="15"/>
  <c r="AJ28" i="15"/>
  <c r="AO183" i="15"/>
  <c r="AK233" i="15"/>
  <c r="BT65" i="15"/>
  <c r="BU65" i="15" s="1"/>
  <c r="BS39" i="15"/>
  <c r="AP56" i="15"/>
  <c r="AQ56" i="15" s="1"/>
  <c r="AR56" i="15" s="1"/>
  <c r="BR51" i="15"/>
  <c r="BR60" i="15"/>
  <c r="AJ51" i="15"/>
  <c r="AC39" i="15"/>
  <c r="AD65" i="15"/>
  <c r="AF35" i="15"/>
  <c r="V20" i="15"/>
  <c r="V43" i="15"/>
  <c r="AO388" i="15"/>
  <c r="AK16" i="15"/>
  <c r="AK11" i="15"/>
  <c r="BT442" i="15"/>
  <c r="BR10" i="15"/>
  <c r="BR28" i="15"/>
  <c r="X10" i="15"/>
  <c r="AP168" i="15"/>
  <c r="AQ294" i="15" l="1"/>
  <c r="M266" i="15"/>
  <c r="M275" i="15" s="1"/>
  <c r="AQ293" i="15"/>
  <c r="AQ287" i="15"/>
  <c r="AQ298" i="15"/>
  <c r="AQ297" i="15"/>
  <c r="AQ281" i="15"/>
  <c r="AU282" i="15" s="1"/>
  <c r="AQ292" i="15"/>
  <c r="AQ275" i="15"/>
  <c r="AU276" i="15" s="1"/>
  <c r="D1617" i="17"/>
  <c r="G1503" i="17"/>
  <c r="D1499" i="17"/>
  <c r="L1499" i="17"/>
  <c r="D1539" i="17"/>
  <c r="D1544" i="17" s="1"/>
  <c r="G1514" i="17"/>
  <c r="G1513" i="17"/>
  <c r="D1514" i="17"/>
  <c r="D1503" i="17"/>
  <c r="D1498" i="17"/>
  <c r="D1637" i="17"/>
  <c r="D1627" i="17"/>
  <c r="D1623" i="17"/>
  <c r="D1630" i="17"/>
  <c r="G1505" i="17"/>
  <c r="D1619" i="17"/>
  <c r="D1615" i="17"/>
  <c r="D1633" i="17"/>
  <c r="G1632" i="17"/>
  <c r="D1620" i="17"/>
  <c r="G1621" i="17"/>
  <c r="D1655" i="17"/>
  <c r="D1626" i="17"/>
  <c r="D1660" i="17"/>
  <c r="G1619" i="17"/>
  <c r="D1656" i="17"/>
  <c r="G1617" i="17"/>
  <c r="AK70" i="15"/>
  <c r="AK78" i="15" s="1"/>
  <c r="AC289" i="15"/>
  <c r="AC70" i="15"/>
  <c r="AC295" i="15" s="1"/>
  <c r="AO289" i="15"/>
  <c r="AO70" i="15"/>
  <c r="AO295" i="15" s="1"/>
  <c r="V70" i="15"/>
  <c r="AH289" i="15"/>
  <c r="AH70" i="15"/>
  <c r="AH78" i="15" s="1"/>
  <c r="AD408" i="15"/>
  <c r="X250" i="15"/>
  <c r="X338" i="15"/>
  <c r="X357" i="15" s="1"/>
  <c r="X369" i="15" s="1"/>
  <c r="AB68" i="15"/>
  <c r="AA293" i="15"/>
  <c r="AA226" i="15"/>
  <c r="BQ226" i="15" s="1"/>
  <c r="AA317" i="15"/>
  <c r="BQ63" i="15"/>
  <c r="BQ94" i="15" s="1"/>
  <c r="F329" i="15"/>
  <c r="F330" i="15"/>
  <c r="H329" i="15"/>
  <c r="H330" i="15"/>
  <c r="AA221" i="15"/>
  <c r="BQ221" i="15" s="1"/>
  <c r="AA288" i="15"/>
  <c r="D330" i="15"/>
  <c r="D329" i="15"/>
  <c r="AG442" i="15"/>
  <c r="BQ99" i="15"/>
  <c r="AG389" i="15"/>
  <c r="BL64" i="15"/>
  <c r="BL70" i="15" s="1"/>
  <c r="BL78" i="15" s="1"/>
  <c r="BL80" i="15" s="1"/>
  <c r="BQ100" i="15"/>
  <c r="X201" i="15"/>
  <c r="X262" i="15" s="1"/>
  <c r="BK400" i="15"/>
  <c r="BK408" i="15" s="1"/>
  <c r="BN64" i="15"/>
  <c r="BS32" i="15"/>
  <c r="BS20" i="15"/>
  <c r="BS37" i="15" s="1"/>
  <c r="AP285" i="15"/>
  <c r="AH233" i="15"/>
  <c r="CA81" i="15"/>
  <c r="D320" i="15"/>
  <c r="AE20" i="15"/>
  <c r="AE36" i="15" s="1"/>
  <c r="AE43" i="15"/>
  <c r="AP290" i="15"/>
  <c r="K443" i="15"/>
  <c r="E350" i="15"/>
  <c r="AB109" i="15"/>
  <c r="C43" i="15"/>
  <c r="C45" i="15" s="1"/>
  <c r="C46" i="15" s="1"/>
  <c r="CA389" i="15"/>
  <c r="AB110" i="15"/>
  <c r="AQ339" i="15"/>
  <c r="AQ358" i="15" s="1"/>
  <c r="AP107" i="15"/>
  <c r="AM227" i="15"/>
  <c r="AN388" i="15"/>
  <c r="AN390" i="15" s="1"/>
  <c r="AP442" i="15"/>
  <c r="AQ251" i="15"/>
  <c r="AQ318" i="15" s="1"/>
  <c r="K390" i="15"/>
  <c r="AQ198" i="15"/>
  <c r="AQ259" i="15" s="1"/>
  <c r="AN62" i="15"/>
  <c r="AN287" i="15" s="1"/>
  <c r="AP32" i="15"/>
  <c r="AB299" i="15"/>
  <c r="W22" i="15"/>
  <c r="W24" i="15" s="1"/>
  <c r="BV443" i="15"/>
  <c r="CA442" i="15"/>
  <c r="X300" i="15"/>
  <c r="J34" i="15"/>
  <c r="C32" i="15"/>
  <c r="N389" i="15"/>
  <c r="M389" i="15"/>
  <c r="D78" i="15"/>
  <c r="D302" i="15" s="1"/>
  <c r="M286" i="15"/>
  <c r="M290" i="15"/>
  <c r="M299" i="15"/>
  <c r="M303" i="15"/>
  <c r="M296" i="15"/>
  <c r="M285" i="15"/>
  <c r="M293" i="15"/>
  <c r="M288" i="15"/>
  <c r="M297" i="15"/>
  <c r="M356" i="15"/>
  <c r="M287" i="15"/>
  <c r="M281" i="15"/>
  <c r="O282" i="15" s="1"/>
  <c r="M301" i="15"/>
  <c r="M291" i="15"/>
  <c r="M298" i="15"/>
  <c r="M294" i="15"/>
  <c r="M361" i="15"/>
  <c r="M363" i="15"/>
  <c r="M362" i="15"/>
  <c r="M357" i="15"/>
  <c r="M318" i="15"/>
  <c r="M360" i="15"/>
  <c r="M317" i="15"/>
  <c r="M302" i="15"/>
  <c r="M295" i="15"/>
  <c r="M289" i="15"/>
  <c r="M277" i="15"/>
  <c r="O278" i="15" s="1"/>
  <c r="M305" i="15"/>
  <c r="M304" i="15"/>
  <c r="AP389" i="15"/>
  <c r="AR388" i="15"/>
  <c r="J167" i="15"/>
  <c r="J348" i="15" s="1"/>
  <c r="J367" i="15" s="1"/>
  <c r="AI22" i="15"/>
  <c r="AI24" i="15" s="1"/>
  <c r="J193" i="15"/>
  <c r="J254" i="15" s="1"/>
  <c r="AI32" i="15"/>
  <c r="AI37" i="15"/>
  <c r="J173" i="15"/>
  <c r="J245" i="15" s="1"/>
  <c r="J312" i="15" s="1"/>
  <c r="J242" i="15"/>
  <c r="J309" i="15" s="1"/>
  <c r="AB183" i="15"/>
  <c r="AL173" i="15"/>
  <c r="AL187" i="15" s="1"/>
  <c r="AB88" i="15"/>
  <c r="AB107" i="15" s="1"/>
  <c r="W43" i="15"/>
  <c r="W45" i="15" s="1"/>
  <c r="W32" i="15"/>
  <c r="W36" i="15"/>
  <c r="AB74" i="15"/>
  <c r="AB298" i="15" s="1"/>
  <c r="C70" i="15"/>
  <c r="C295" i="15" s="1"/>
  <c r="AJ250" i="15"/>
  <c r="AN77" i="15"/>
  <c r="AN301" i="15" s="1"/>
  <c r="AP399" i="15"/>
  <c r="AH45" i="15"/>
  <c r="AH49" i="15" s="1"/>
  <c r="D321" i="15"/>
  <c r="E49" i="15"/>
  <c r="E277" i="15"/>
  <c r="E279" i="15" s="1"/>
  <c r="E47" i="15"/>
  <c r="D324" i="15"/>
  <c r="H201" i="15"/>
  <c r="AG408" i="15"/>
  <c r="E359" i="15"/>
  <c r="AH348" i="15"/>
  <c r="AH367" i="15" s="1"/>
  <c r="AH370" i="15" s="1"/>
  <c r="D286" i="15"/>
  <c r="AC43" i="15"/>
  <c r="AC45" i="15" s="1"/>
  <c r="AC277" i="15" s="1"/>
  <c r="AC279" i="15" s="1"/>
  <c r="E339" i="15"/>
  <c r="E358" i="15" s="1"/>
  <c r="AO400" i="15"/>
  <c r="K43" i="15"/>
  <c r="K45" i="15" s="1"/>
  <c r="AA408" i="15"/>
  <c r="K20" i="15"/>
  <c r="K36" i="15" s="1"/>
  <c r="AO107" i="15"/>
  <c r="AO399" i="15"/>
  <c r="K201" i="15"/>
  <c r="K262" i="15" s="1"/>
  <c r="Z187" i="15"/>
  <c r="AI43" i="15"/>
  <c r="D295" i="15"/>
  <c r="K32" i="15"/>
  <c r="AI236" i="15"/>
  <c r="V55" i="15"/>
  <c r="BR79" i="15"/>
  <c r="AH173" i="15"/>
  <c r="AH179" i="15" s="1"/>
  <c r="AH347" i="15" s="1"/>
  <c r="AH366" i="15" s="1"/>
  <c r="AV287" i="15"/>
  <c r="AV220" i="15"/>
  <c r="AV300" i="15"/>
  <c r="AV233" i="15"/>
  <c r="AV221" i="15"/>
  <c r="AV288" i="15"/>
  <c r="AV94" i="15"/>
  <c r="AV342" i="15" s="1"/>
  <c r="AV361" i="15" s="1"/>
  <c r="C980" i="17"/>
  <c r="D289" i="15"/>
  <c r="D219" i="15"/>
  <c r="D222" i="15" s="1"/>
  <c r="D228" i="15" s="1"/>
  <c r="D235" i="15" s="1"/>
  <c r="AH346" i="15"/>
  <c r="AH365" i="15" s="1"/>
  <c r="AH369" i="15" s="1"/>
  <c r="AN16" i="15"/>
  <c r="AQ89" i="15" s="1"/>
  <c r="Z348" i="15"/>
  <c r="Z367" i="15" s="1"/>
  <c r="Z22" i="15"/>
  <c r="Z24" i="15" s="1"/>
  <c r="N299" i="15"/>
  <c r="N275" i="15"/>
  <c r="N301" i="15"/>
  <c r="N294" i="15"/>
  <c r="N293" i="15"/>
  <c r="N286" i="15"/>
  <c r="N292" i="15"/>
  <c r="N285" i="15"/>
  <c r="N303" i="15"/>
  <c r="N288" i="15"/>
  <c r="N356" i="15"/>
  <c r="N291" i="15"/>
  <c r="N317" i="15"/>
  <c r="N290" i="15"/>
  <c r="N296" i="15"/>
  <c r="N298" i="15"/>
  <c r="N357" i="15"/>
  <c r="N300" i="15"/>
  <c r="N360" i="15"/>
  <c r="N297" i="15"/>
  <c r="N318" i="15"/>
  <c r="N281" i="15"/>
  <c r="N289" i="15"/>
  <c r="N287" i="15"/>
  <c r="N361" i="15"/>
  <c r="N358" i="15"/>
  <c r="N362" i="15"/>
  <c r="N277" i="15"/>
  <c r="AE408" i="15"/>
  <c r="BS45" i="15"/>
  <c r="BT22" i="15"/>
  <c r="BT24" i="15" s="1"/>
  <c r="BT36" i="15"/>
  <c r="BM64" i="15"/>
  <c r="BM70" i="15" s="1"/>
  <c r="BM78" i="15" s="1"/>
  <c r="V225" i="15"/>
  <c r="AQ389" i="15"/>
  <c r="BZ389" i="15"/>
  <c r="F982" i="17"/>
  <c r="AM232" i="15"/>
  <c r="AQ399" i="15"/>
  <c r="BZ399" i="15"/>
  <c r="C1344" i="17"/>
  <c r="C1348" i="17" s="1"/>
  <c r="Y216" i="15"/>
  <c r="AA231" i="15"/>
  <c r="BQ231" i="15" s="1"/>
  <c r="X214" i="15"/>
  <c r="X216" i="15" s="1"/>
  <c r="AA298" i="15"/>
  <c r="AO442" i="15"/>
  <c r="C340" i="15"/>
  <c r="BT400" i="15"/>
  <c r="BT408" i="15" s="1"/>
  <c r="I167" i="15"/>
  <c r="I241" i="15" s="1"/>
  <c r="I308" i="15" s="1"/>
  <c r="L1496" i="17"/>
  <c r="L1498" i="17" s="1"/>
  <c r="BT399" i="15"/>
  <c r="AK442" i="15"/>
  <c r="I346" i="15"/>
  <c r="I365" i="15" s="1"/>
  <c r="AT371" i="15"/>
  <c r="AT372" i="15"/>
  <c r="AN76" i="15"/>
  <c r="AN233" i="15" s="1"/>
  <c r="AM224" i="15"/>
  <c r="AT327" i="15"/>
  <c r="AT326" i="15"/>
  <c r="X281" i="15"/>
  <c r="X283" i="15" s="1"/>
  <c r="BL20" i="15"/>
  <c r="BL37" i="15" s="1"/>
  <c r="AM229" i="15"/>
  <c r="K1560" i="17"/>
  <c r="K1563" i="17" s="1"/>
  <c r="M1558" i="17" s="1"/>
  <c r="AI303" i="15"/>
  <c r="AQ283" i="15"/>
  <c r="AO443" i="15"/>
  <c r="BV65" i="15"/>
  <c r="BV77" i="15"/>
  <c r="AP43" i="15"/>
  <c r="BV69" i="15"/>
  <c r="BV61" i="15"/>
  <c r="K40" i="15"/>
  <c r="AS356" i="15"/>
  <c r="AS359" i="15" s="1"/>
  <c r="AS318" i="15"/>
  <c r="AS358" i="15"/>
  <c r="AM236" i="15"/>
  <c r="AN79" i="15"/>
  <c r="AN236" i="15" s="1"/>
  <c r="BT389" i="15"/>
  <c r="E340" i="15"/>
  <c r="I34" i="15"/>
  <c r="I242" i="15"/>
  <c r="I309" i="15" s="1"/>
  <c r="I173" i="15"/>
  <c r="I245" i="15" s="1"/>
  <c r="I312" i="15" s="1"/>
  <c r="AA36" i="15"/>
  <c r="AH242" i="15"/>
  <c r="AH309" i="15" s="1"/>
  <c r="Z36" i="15"/>
  <c r="E369" i="15"/>
  <c r="AI221" i="15"/>
  <c r="AM342" i="15"/>
  <c r="AM361" i="15" s="1"/>
  <c r="C20" i="15"/>
  <c r="C22" i="15" s="1"/>
  <c r="C24" i="15" s="1"/>
  <c r="C95" i="15" s="1"/>
  <c r="AN107" i="15"/>
  <c r="V176" i="15"/>
  <c r="V178" i="15" s="1"/>
  <c r="V247" i="15" s="1"/>
  <c r="V314" i="15" s="1"/>
  <c r="AD286" i="15"/>
  <c r="AL233" i="15"/>
  <c r="AM221" i="15"/>
  <c r="AN63" i="15"/>
  <c r="AQ94" i="15" s="1"/>
  <c r="BV442" i="15"/>
  <c r="G20" i="15"/>
  <c r="G36" i="15" s="1"/>
  <c r="AC20" i="15"/>
  <c r="AC36" i="15" s="1"/>
  <c r="AP281" i="15"/>
  <c r="AT282" i="15" s="1"/>
  <c r="L266" i="15"/>
  <c r="L285" i="15" s="1"/>
  <c r="BV399" i="15"/>
  <c r="BV400" i="15"/>
  <c r="BK54" i="15"/>
  <c r="AI94" i="15"/>
  <c r="AI342" i="15" s="1"/>
  <c r="AI361" i="15" s="1"/>
  <c r="AK40" i="15"/>
  <c r="AM408" i="15"/>
  <c r="AH193" i="15"/>
  <c r="AH254" i="15" s="1"/>
  <c r="AH34" i="15"/>
  <c r="AJ63" i="15"/>
  <c r="AJ221" i="15" s="1"/>
  <c r="W53" i="15"/>
  <c r="W176" i="15" s="1"/>
  <c r="W179" i="15" s="1"/>
  <c r="W248" i="15" s="1"/>
  <c r="W315" i="15" s="1"/>
  <c r="BS408" i="15"/>
  <c r="F228" i="15"/>
  <c r="F235" i="15" s="1"/>
  <c r="G408" i="15"/>
  <c r="AE64" i="15"/>
  <c r="AD64" i="15"/>
  <c r="AE219" i="15"/>
  <c r="AE222" i="15" s="1"/>
  <c r="AD219" i="15"/>
  <c r="AD222" i="15" s="1"/>
  <c r="BV390" i="15"/>
  <c r="BV389" i="15"/>
  <c r="AP390" i="15"/>
  <c r="AP408" i="15" s="1"/>
  <c r="AQ223" i="15"/>
  <c r="AQ39" i="15"/>
  <c r="AQ290" i="15"/>
  <c r="AQ296" i="15"/>
  <c r="AQ229" i="15"/>
  <c r="AQ219" i="15"/>
  <c r="AQ64" i="15"/>
  <c r="AQ70" i="15" s="1"/>
  <c r="AQ286" i="15"/>
  <c r="AQ221" i="15"/>
  <c r="AQ288" i="15"/>
  <c r="AQ352" i="15"/>
  <c r="AQ260" i="15"/>
  <c r="AQ44" i="15"/>
  <c r="AQ300" i="15"/>
  <c r="AQ233" i="15"/>
  <c r="AQ356" i="15"/>
  <c r="D1366" i="17"/>
  <c r="D1332" i="17"/>
  <c r="G1339" i="17"/>
  <c r="L1324" i="17"/>
  <c r="D1324" i="17"/>
  <c r="G1341" i="17"/>
  <c r="G1329" i="17"/>
  <c r="D1327" i="17"/>
  <c r="G1342" i="17"/>
  <c r="D1330" i="17"/>
  <c r="G1332" i="17"/>
  <c r="D1338" i="17"/>
  <c r="G1324" i="17"/>
  <c r="D1340" i="17"/>
  <c r="D1322" i="17"/>
  <c r="D1335" i="17"/>
  <c r="D1341" i="17"/>
  <c r="D1329" i="17"/>
  <c r="AO277" i="15"/>
  <c r="AK167" i="15"/>
  <c r="AK348" i="15" s="1"/>
  <c r="AK367" i="15" s="1"/>
  <c r="C263" i="15"/>
  <c r="BN418" i="15"/>
  <c r="F245" i="15"/>
  <c r="F312" i="15" s="1"/>
  <c r="F324" i="15" s="1"/>
  <c r="BR53" i="15"/>
  <c r="BR54" i="15" s="1"/>
  <c r="BP408" i="15"/>
  <c r="AE226" i="15"/>
  <c r="D1339" i="17"/>
  <c r="G1340" i="17"/>
  <c r="AC212" i="15"/>
  <c r="W299" i="15"/>
  <c r="BR63" i="15"/>
  <c r="AO228" i="15"/>
  <c r="AO235" i="15" s="1"/>
  <c r="AD187" i="15"/>
  <c r="G89" i="15"/>
  <c r="BP56" i="15"/>
  <c r="BP44" i="15" s="1"/>
  <c r="BP40" i="15" s="1"/>
  <c r="U286" i="15"/>
  <c r="AG201" i="15"/>
  <c r="AK228" i="15"/>
  <c r="AK235" i="15" s="1"/>
  <c r="K1498" i="17"/>
  <c r="K1501" i="17" s="1"/>
  <c r="M1496" i="17" s="1"/>
  <c r="BL45" i="15"/>
  <c r="G1326" i="17"/>
  <c r="D1325" i="17"/>
  <c r="G1337" i="17"/>
  <c r="D1370" i="17"/>
  <c r="F1322" i="17"/>
  <c r="G1322" i="17" s="1"/>
  <c r="E37" i="15"/>
  <c r="AP301" i="15"/>
  <c r="AJ55" i="15"/>
  <c r="BN8" i="15"/>
  <c r="AP294" i="15"/>
  <c r="AB65" i="15"/>
  <c r="AB39" i="15" s="1"/>
  <c r="AP292" i="15"/>
  <c r="AP293" i="15"/>
  <c r="AB416" i="15"/>
  <c r="AP287" i="15"/>
  <c r="AP303" i="15"/>
  <c r="AE88" i="15"/>
  <c r="AE337" i="15" s="1"/>
  <c r="AE356" i="15" s="1"/>
  <c r="AF416" i="15"/>
  <c r="BN416" i="15"/>
  <c r="E36" i="15"/>
  <c r="AL167" i="15"/>
  <c r="AL348" i="15" s="1"/>
  <c r="AL367" i="15" s="1"/>
  <c r="AA290" i="15"/>
  <c r="BQ211" i="15"/>
  <c r="BQ212" i="15" s="1"/>
  <c r="AP298" i="15"/>
  <c r="AP297" i="15"/>
  <c r="G340" i="15"/>
  <c r="AB8" i="15"/>
  <c r="AF68" i="15"/>
  <c r="AF226" i="15" s="1"/>
  <c r="BQ7" i="15"/>
  <c r="AP299" i="15"/>
  <c r="AP291" i="15"/>
  <c r="AP288" i="15"/>
  <c r="BU44" i="15"/>
  <c r="BV44" i="15" s="1"/>
  <c r="AP296" i="15"/>
  <c r="AG222" i="15"/>
  <c r="AG228" i="15" s="1"/>
  <c r="AG235" i="15" s="1"/>
  <c r="AP275" i="15"/>
  <c r="BN16" i="15"/>
  <c r="BN32" i="15" s="1"/>
  <c r="AL202" i="15"/>
  <c r="AL263" i="15" s="1"/>
  <c r="C1634" i="17"/>
  <c r="C1638" i="17" s="1"/>
  <c r="D1328" i="17"/>
  <c r="G1345" i="17"/>
  <c r="G1327" i="17"/>
  <c r="D1369" i="17"/>
  <c r="G1331" i="17"/>
  <c r="D1372" i="17"/>
  <c r="D1342" i="17"/>
  <c r="F1691" i="17"/>
  <c r="G1691" i="17" s="1"/>
  <c r="K1671" i="17"/>
  <c r="K1672" i="17" s="1"/>
  <c r="C1358" i="17"/>
  <c r="D1358" i="17" s="1"/>
  <c r="D2036" i="17"/>
  <c r="G1328" i="17"/>
  <c r="D1326" i="17"/>
  <c r="K1729" i="17"/>
  <c r="C241" i="15"/>
  <c r="C308" i="15" s="1"/>
  <c r="C320" i="15" s="1"/>
  <c r="AF34" i="15"/>
  <c r="Z96" i="15"/>
  <c r="Z343" i="15" s="1"/>
  <c r="Z362" i="15" s="1"/>
  <c r="AO47" i="15"/>
  <c r="Y96" i="15"/>
  <c r="Y343" i="15" s="1"/>
  <c r="Y362" i="15" s="1"/>
  <c r="F187" i="15"/>
  <c r="Y276" i="15"/>
  <c r="G43" i="15"/>
  <c r="G45" i="15" s="1"/>
  <c r="G90" i="15" s="1"/>
  <c r="AC88" i="15"/>
  <c r="AC337" i="15" s="1"/>
  <c r="AC356" i="15" s="1"/>
  <c r="AB30" i="15"/>
  <c r="AB31" i="15"/>
  <c r="AF173" i="15"/>
  <c r="AF187" i="15" s="1"/>
  <c r="AJ360" i="15"/>
  <c r="AP300" i="15"/>
  <c r="AB10" i="15"/>
  <c r="AB11" i="15" s="1"/>
  <c r="AA39" i="15"/>
  <c r="D187" i="15"/>
  <c r="F196" i="15"/>
  <c r="F257" i="15" s="1"/>
  <c r="AB294" i="15"/>
  <c r="AB275" i="15"/>
  <c r="AB276" i="15" s="1"/>
  <c r="AM43" i="15"/>
  <c r="X342" i="15"/>
  <c r="X361" i="15" s="1"/>
  <c r="AH300" i="15"/>
  <c r="AM20" i="15"/>
  <c r="AM37" i="15" s="1"/>
  <c r="BU64" i="15"/>
  <c r="BU70" i="15" s="1"/>
  <c r="BU78" i="15" s="1"/>
  <c r="AF183" i="15"/>
  <c r="AA96" i="15"/>
  <c r="AA343" i="15" s="1"/>
  <c r="AA362" i="15" s="1"/>
  <c r="L1843" i="17"/>
  <c r="AN227" i="15"/>
  <c r="K346" i="15"/>
  <c r="K365" i="15" s="1"/>
  <c r="AE53" i="15"/>
  <c r="BM53" i="15" s="1"/>
  <c r="AI93" i="15" s="1"/>
  <c r="AI341" i="15" s="1"/>
  <c r="AI360" i="15" s="1"/>
  <c r="AN74" i="15"/>
  <c r="AN298" i="15" s="1"/>
  <c r="BL32" i="15"/>
  <c r="BQ224" i="15"/>
  <c r="C187" i="15"/>
  <c r="C179" i="15"/>
  <c r="C199" i="15" s="1"/>
  <c r="C260" i="15" s="1"/>
  <c r="BQ232" i="15"/>
  <c r="AF418" i="15"/>
  <c r="C2140" i="17"/>
  <c r="D2140" i="17" s="1"/>
  <c r="C1650" i="17"/>
  <c r="D1650" i="17"/>
  <c r="F1630" i="17"/>
  <c r="G1630" i="17" s="1"/>
  <c r="D1365" i="17"/>
  <c r="D1762" i="17"/>
  <c r="G1336" i="17"/>
  <c r="G1325" i="17"/>
  <c r="D1359" i="17"/>
  <c r="L1326" i="17"/>
  <c r="C1711" i="17"/>
  <c r="C1719" i="17" s="1"/>
  <c r="AJ168" i="15"/>
  <c r="AA91" i="15"/>
  <c r="AA195" i="15" s="1"/>
  <c r="AA256" i="15" s="1"/>
  <c r="D277" i="15"/>
  <c r="D279" i="15" s="1"/>
  <c r="Y107" i="15"/>
  <c r="AL37" i="15"/>
  <c r="AF16" i="15"/>
  <c r="Y91" i="15"/>
  <c r="Y338" i="15" s="1"/>
  <c r="X218" i="15"/>
  <c r="BR73" i="15"/>
  <c r="AJ159" i="15"/>
  <c r="AK34" i="15"/>
  <c r="J263" i="15"/>
  <c r="AD55" i="15"/>
  <c r="AD54" i="15"/>
  <c r="X51" i="15"/>
  <c r="X442" i="15" s="1"/>
  <c r="X52" i="15"/>
  <c r="X451" i="15" s="1"/>
  <c r="BO36" i="15"/>
  <c r="AL36" i="15"/>
  <c r="Z91" i="15"/>
  <c r="Z193" i="15" s="1"/>
  <c r="BO37" i="15"/>
  <c r="D22" i="15"/>
  <c r="D24" i="15" s="1"/>
  <c r="D95" i="15" s="1"/>
  <c r="X232" i="15"/>
  <c r="L1729" i="17"/>
  <c r="W232" i="15"/>
  <c r="D1368" i="17"/>
  <c r="G1338" i="17"/>
  <c r="D1323" i="17"/>
  <c r="D1367" i="17"/>
  <c r="D1337" i="17"/>
  <c r="D1331" i="17"/>
  <c r="G1330" i="17"/>
  <c r="D1371" i="17"/>
  <c r="G1335" i="17"/>
  <c r="C196" i="15"/>
  <c r="C257" i="15" s="1"/>
  <c r="AF8" i="15"/>
  <c r="AB211" i="15"/>
  <c r="AB212" i="15" s="1"/>
  <c r="AJ183" i="15"/>
  <c r="G262" i="15"/>
  <c r="C1762" i="17"/>
  <c r="AD107" i="15"/>
  <c r="AD337" i="15"/>
  <c r="AD356" i="15" s="1"/>
  <c r="AH253" i="15"/>
  <c r="AH351" i="15"/>
  <c r="C1532" i="17"/>
  <c r="Z107" i="15"/>
  <c r="AF72" i="15"/>
  <c r="AF229" i="15" s="1"/>
  <c r="AB159" i="15"/>
  <c r="AA337" i="15"/>
  <c r="AA356" i="15" s="1"/>
  <c r="AP233" i="15"/>
  <c r="AP44" i="15"/>
  <c r="AP40" i="15" s="1"/>
  <c r="BT64" i="15"/>
  <c r="BT70" i="15" s="1"/>
  <c r="BT78" i="15" s="1"/>
  <c r="D1886" i="17"/>
  <c r="J408" i="15"/>
  <c r="BM20" i="15"/>
  <c r="BM37" i="15" s="1"/>
  <c r="BT39" i="15"/>
  <c r="BU39" i="15"/>
  <c r="AL96" i="15"/>
  <c r="AL343" i="15" s="1"/>
  <c r="AL362" i="15" s="1"/>
  <c r="BQ79" i="15"/>
  <c r="X287" i="15"/>
  <c r="AE296" i="15"/>
  <c r="BM32" i="15"/>
  <c r="V45" i="15"/>
  <c r="V277" i="15" s="1"/>
  <c r="V279" i="15" s="1"/>
  <c r="AC94" i="15"/>
  <c r="AC342" i="15" s="1"/>
  <c r="AC361" i="15" s="1"/>
  <c r="AF193" i="15"/>
  <c r="AF254" i="15" s="1"/>
  <c r="AO36" i="15"/>
  <c r="C254" i="15"/>
  <c r="AK173" i="15"/>
  <c r="AO37" i="15"/>
  <c r="D351" i="15"/>
  <c r="AK242" i="15"/>
  <c r="AK309" i="15" s="1"/>
  <c r="AA187" i="15"/>
  <c r="K241" i="15"/>
  <c r="K308" i="15" s="1"/>
  <c r="K348" i="15"/>
  <c r="K367" i="15" s="1"/>
  <c r="C1544" i="17"/>
  <c r="K173" i="15"/>
  <c r="K245" i="15" s="1"/>
  <c r="K312" i="15" s="1"/>
  <c r="K193" i="15"/>
  <c r="K242" i="15"/>
  <c r="K309" i="15" s="1"/>
  <c r="C2078" i="17"/>
  <c r="D1940" i="17"/>
  <c r="K34" i="15"/>
  <c r="D340" i="15"/>
  <c r="X202" i="15"/>
  <c r="F369" i="15"/>
  <c r="D1418" i="17"/>
  <c r="F286" i="15"/>
  <c r="D2127" i="17"/>
  <c r="L1947" i="17"/>
  <c r="L1948" i="17" s="1"/>
  <c r="C1406" i="17"/>
  <c r="D1532" i="17"/>
  <c r="C2036" i="17"/>
  <c r="D1774" i="17"/>
  <c r="D1775" i="17" s="1"/>
  <c r="E442" i="15"/>
  <c r="AL408" i="15"/>
  <c r="G1561" i="17"/>
  <c r="AF167" i="15"/>
  <c r="AF172" i="15" s="1"/>
  <c r="AF188" i="15" s="1"/>
  <c r="E2022" i="17"/>
  <c r="Z172" i="15"/>
  <c r="F350" i="15"/>
  <c r="AF338" i="15"/>
  <c r="AF357" i="15" s="1"/>
  <c r="C1418" i="17"/>
  <c r="AA216" i="15"/>
  <c r="AF250" i="15"/>
  <c r="D1911" i="17"/>
  <c r="D2103" i="17"/>
  <c r="C2081" i="17"/>
  <c r="U219" i="15"/>
  <c r="U222" i="15" s="1"/>
  <c r="U228" i="15" s="1"/>
  <c r="U235" i="15" s="1"/>
  <c r="C1875" i="17"/>
  <c r="AD22" i="15"/>
  <c r="AD24" i="15" s="1"/>
  <c r="AD36" i="15"/>
  <c r="AD37" i="15"/>
  <c r="Y16" i="15"/>
  <c r="BQ89" i="15" s="1"/>
  <c r="Y11" i="15"/>
  <c r="C172" i="15"/>
  <c r="C192" i="15"/>
  <c r="D1676" i="17"/>
  <c r="AJ107" i="15"/>
  <c r="AB28" i="15"/>
  <c r="AB35" i="15"/>
  <c r="AB29" i="15"/>
  <c r="Y398" i="15"/>
  <c r="AC399" i="15" s="1"/>
  <c r="J201" i="15"/>
  <c r="J343" i="15"/>
  <c r="AA37" i="15"/>
  <c r="W67" i="15"/>
  <c r="W225" i="15" s="1"/>
  <c r="D1746" i="17"/>
  <c r="D1748" i="17" s="1"/>
  <c r="C1863" i="17"/>
  <c r="AI231" i="15"/>
  <c r="BO408" i="15"/>
  <c r="J228" i="15"/>
  <c r="J235" i="15" s="1"/>
  <c r="F1912" i="17"/>
  <c r="G1912" i="17" s="1"/>
  <c r="C1926" i="17"/>
  <c r="K1894" i="17"/>
  <c r="D1912" i="17"/>
  <c r="AA32" i="15"/>
  <c r="AA43" i="15"/>
  <c r="AF159" i="15"/>
  <c r="AH286" i="15"/>
  <c r="AH219" i="15"/>
  <c r="AH222" i="15" s="1"/>
  <c r="AI61" i="15"/>
  <c r="AI64" i="15" s="1"/>
  <c r="AB173" i="15"/>
  <c r="AB242" i="15"/>
  <c r="AB309" i="15" s="1"/>
  <c r="AB167" i="15"/>
  <c r="AB346" i="15"/>
  <c r="AB365" i="15" s="1"/>
  <c r="K1843" i="17"/>
  <c r="X193" i="15"/>
  <c r="H346" i="15"/>
  <c r="H365" i="15" s="1"/>
  <c r="H369" i="15" s="1"/>
  <c r="H167" i="15"/>
  <c r="H242" i="15"/>
  <c r="H309" i="15" s="1"/>
  <c r="H321" i="15" s="1"/>
  <c r="H34" i="15"/>
  <c r="H173" i="15"/>
  <c r="X39" i="15"/>
  <c r="X290" i="15"/>
  <c r="AH172" i="15"/>
  <c r="AH241" i="15"/>
  <c r="AH308" i="15" s="1"/>
  <c r="AI34" i="15"/>
  <c r="X61" i="15"/>
  <c r="X286" i="15" s="1"/>
  <c r="V241" i="15"/>
  <c r="V308" i="15" s="1"/>
  <c r="F1911" i="17"/>
  <c r="H235" i="15"/>
  <c r="X173" i="15"/>
  <c r="X196" i="15" s="1"/>
  <c r="X257" i="15" s="1"/>
  <c r="AI298" i="15"/>
  <c r="BR74" i="15"/>
  <c r="AE433" i="15"/>
  <c r="BL39" i="15"/>
  <c r="G1911" i="17"/>
  <c r="X167" i="15"/>
  <c r="X172" i="15" s="1"/>
  <c r="W221" i="15"/>
  <c r="X63" i="15"/>
  <c r="W288" i="15"/>
  <c r="AJ73" i="15"/>
  <c r="AJ297" i="15" s="1"/>
  <c r="AC235" i="15"/>
  <c r="F64" i="15"/>
  <c r="AM34" i="15"/>
  <c r="AM242" i="15"/>
  <c r="AM309" i="15" s="1"/>
  <c r="AM173" i="15"/>
  <c r="AM346" i="15"/>
  <c r="AM365" i="15" s="1"/>
  <c r="Y282" i="15"/>
  <c r="D350" i="15"/>
  <c r="D254" i="15"/>
  <c r="AL219" i="15"/>
  <c r="AL222" i="15" s="1"/>
  <c r="AM61" i="15"/>
  <c r="AM286" i="15" s="1"/>
  <c r="AL64" i="15"/>
  <c r="E262" i="15"/>
  <c r="AJ212" i="15"/>
  <c r="D49" i="15"/>
  <c r="AN168" i="15"/>
  <c r="AN173" i="15" s="1"/>
  <c r="AN187" i="15" s="1"/>
  <c r="AK337" i="15"/>
  <c r="AK356" i="15" s="1"/>
  <c r="AK107" i="15"/>
  <c r="E46" i="15"/>
  <c r="L1673" i="17"/>
  <c r="H263" i="15"/>
  <c r="D262" i="15"/>
  <c r="BQ168" i="15"/>
  <c r="AL223" i="15"/>
  <c r="AL39" i="15"/>
  <c r="AM65" i="15"/>
  <c r="AC215" i="15"/>
  <c r="Y215" i="15"/>
  <c r="AJ44" i="15"/>
  <c r="AJ40" i="15" s="1"/>
  <c r="AL242" i="15"/>
  <c r="AL309" i="15" s="1"/>
  <c r="AL346" i="15"/>
  <c r="AL365" i="15" s="1"/>
  <c r="D2049" i="17"/>
  <c r="K1440" i="17"/>
  <c r="L1440" i="17" s="1"/>
  <c r="F1460" i="17"/>
  <c r="F1461" i="17" s="1"/>
  <c r="C1474" i="17"/>
  <c r="D1474" i="17" s="1"/>
  <c r="H254" i="15"/>
  <c r="H350" i="15"/>
  <c r="D179" i="15"/>
  <c r="D196" i="15"/>
  <c r="D257" i="15" s="1"/>
  <c r="BP61" i="15"/>
  <c r="BP64" i="15" s="1"/>
  <c r="BO64" i="15"/>
  <c r="BO70" i="15" s="1"/>
  <c r="BO78" i="15" s="1"/>
  <c r="D1859" i="17"/>
  <c r="D1861" i="17" s="1"/>
  <c r="Y283" i="15"/>
  <c r="AD94" i="15"/>
  <c r="AD342" i="15" s="1"/>
  <c r="AD361" i="15" s="1"/>
  <c r="AM167" i="15"/>
  <c r="AM172" i="15" s="1"/>
  <c r="C408" i="15"/>
  <c r="D36" i="15"/>
  <c r="AH408" i="15"/>
  <c r="AF287" i="15"/>
  <c r="AF220" i="15"/>
  <c r="AI44" i="15"/>
  <c r="AI40" i="15" s="1"/>
  <c r="D47" i="15"/>
  <c r="BR57" i="15"/>
  <c r="X34" i="15"/>
  <c r="X242" i="15"/>
  <c r="X309" i="15" s="1"/>
  <c r="G1576" i="17"/>
  <c r="G1859" i="17"/>
  <c r="G1861" i="17" s="1"/>
  <c r="C370" i="15"/>
  <c r="C369" i="15"/>
  <c r="G1669" i="17"/>
  <c r="L1617" i="17"/>
  <c r="K1618" i="17"/>
  <c r="F22" i="15"/>
  <c r="F24" i="15" s="1"/>
  <c r="F95" i="15" s="1"/>
  <c r="G1671" i="17"/>
  <c r="D1874" i="17"/>
  <c r="D1875" i="17" s="1"/>
  <c r="F263" i="15"/>
  <c r="BQ60" i="15"/>
  <c r="F37" i="15"/>
  <c r="X107" i="15"/>
  <c r="X337" i="15"/>
  <c r="X356" i="15" s="1"/>
  <c r="G1571" i="17"/>
  <c r="AB286" i="15"/>
  <c r="AB219" i="15"/>
  <c r="F1690" i="17"/>
  <c r="AE236" i="15"/>
  <c r="AF79" i="15"/>
  <c r="AE303" i="15"/>
  <c r="AE232" i="15"/>
  <c r="AF75" i="15"/>
  <c r="AE299" i="15"/>
  <c r="AC172" i="15"/>
  <c r="AC241" i="15"/>
  <c r="AC308" i="15" s="1"/>
  <c r="AC348" i="15"/>
  <c r="AC367" i="15" s="1"/>
  <c r="G1728" i="17"/>
  <c r="G1746" i="17" s="1"/>
  <c r="G1748" i="17" s="1"/>
  <c r="F1746" i="17"/>
  <c r="F1748" i="17" s="1"/>
  <c r="K228" i="15"/>
  <c r="K235" i="15" s="1"/>
  <c r="AI300" i="15"/>
  <c r="AN441" i="15"/>
  <c r="H408" i="15"/>
  <c r="G1575" i="17"/>
  <c r="BT40" i="15"/>
  <c r="BT45" i="15"/>
  <c r="BY46" i="15" s="1"/>
  <c r="AC245" i="15"/>
  <c r="AC312" i="15" s="1"/>
  <c r="AC187" i="15"/>
  <c r="C1750" i="17"/>
  <c r="C1748" i="17"/>
  <c r="C1755" i="17" s="1"/>
  <c r="I43" i="15"/>
  <c r="I45" i="15" s="1"/>
  <c r="I89" i="15"/>
  <c r="I32" i="15"/>
  <c r="I20" i="15"/>
  <c r="AO167" i="15"/>
  <c r="AO34" i="15"/>
  <c r="AO346" i="15"/>
  <c r="AO365" i="15" s="1"/>
  <c r="AO173" i="15"/>
  <c r="AO242" i="15"/>
  <c r="AO309" i="15" s="1"/>
  <c r="AH223" i="15"/>
  <c r="AH290" i="15"/>
  <c r="AI65" i="15"/>
  <c r="BR65" i="15" s="1"/>
  <c r="BR39" i="15" s="1"/>
  <c r="AH39" i="15"/>
  <c r="C1868" i="17"/>
  <c r="C1520" i="17"/>
  <c r="C1518" i="17"/>
  <c r="E1516" i="17"/>
  <c r="E390" i="15"/>
  <c r="E408" i="15" s="1"/>
  <c r="F389" i="15"/>
  <c r="E389" i="15"/>
  <c r="AI233" i="15"/>
  <c r="K192" i="15"/>
  <c r="K253" i="15" s="1"/>
  <c r="K1386" i="17"/>
  <c r="L1382" i="17"/>
  <c r="K1384" i="17"/>
  <c r="L1384" i="17" s="1"/>
  <c r="F277" i="15"/>
  <c r="F49" i="15"/>
  <c r="F46" i="15"/>
  <c r="F47" i="15"/>
  <c r="F90" i="15"/>
  <c r="AN215" i="15"/>
  <c r="AN216" i="15"/>
  <c r="AG43" i="15"/>
  <c r="AG45" i="15" s="1"/>
  <c r="AG20" i="15"/>
  <c r="AG32" i="15"/>
  <c r="X447" i="15"/>
  <c r="X441" i="15"/>
  <c r="AM56" i="15"/>
  <c r="AL44" i="15"/>
  <c r="AI234" i="15"/>
  <c r="AJ77" i="15"/>
  <c r="AJ234" i="15" s="1"/>
  <c r="AI301" i="15"/>
  <c r="AF73" i="15"/>
  <c r="AE297" i="15"/>
  <c r="AE230" i="15"/>
  <c r="E348" i="15"/>
  <c r="E367" i="15" s="1"/>
  <c r="E370" i="15" s="1"/>
  <c r="E241" i="15"/>
  <c r="E308" i="15" s="1"/>
  <c r="E320" i="15" s="1"/>
  <c r="E172" i="15"/>
  <c r="E192" i="15"/>
  <c r="AJ76" i="15"/>
  <c r="AJ233" i="15" s="1"/>
  <c r="I228" i="15"/>
  <c r="I235" i="15" s="1"/>
  <c r="K1439" i="17"/>
  <c r="L1439" i="17" s="1"/>
  <c r="K172" i="15"/>
  <c r="K178" i="15" s="1"/>
  <c r="AE172" i="15"/>
  <c r="AE241" i="15"/>
  <c r="AE308" i="15" s="1"/>
  <c r="AE348" i="15"/>
  <c r="AE367" i="15" s="1"/>
  <c r="AF346" i="15"/>
  <c r="AF365" i="15" s="1"/>
  <c r="BN34" i="15"/>
  <c r="F1859" i="17"/>
  <c r="AP22" i="15"/>
  <c r="AP24" i="15" s="1"/>
  <c r="AP37" i="15"/>
  <c r="BK442" i="15"/>
  <c r="W215" i="15"/>
  <c r="W442" i="15"/>
  <c r="X390" i="15"/>
  <c r="BQ389" i="15"/>
  <c r="AH37" i="15"/>
  <c r="AH36" i="15"/>
  <c r="AH22" i="15"/>
  <c r="AH24" i="15" s="1"/>
  <c r="AE234" i="15"/>
  <c r="AF77" i="15"/>
  <c r="AM67" i="15"/>
  <c r="AM292" i="15" s="1"/>
  <c r="AL225" i="15"/>
  <c r="AH93" i="15"/>
  <c r="AH341" i="15" s="1"/>
  <c r="AH360" i="15" s="1"/>
  <c r="BL54" i="15"/>
  <c r="AN183" i="15"/>
  <c r="G1441" i="17"/>
  <c r="AN159" i="15"/>
  <c r="F1916" i="17"/>
  <c r="K1898" i="17"/>
  <c r="AA215" i="15"/>
  <c r="AG289" i="15"/>
  <c r="BM44" i="15"/>
  <c r="BN56" i="15"/>
  <c r="BN44" i="15" s="1"/>
  <c r="BN40" i="15" s="1"/>
  <c r="AI292" i="15"/>
  <c r="AI225" i="15"/>
  <c r="G34" i="15"/>
  <c r="G167" i="15"/>
  <c r="G242" i="15"/>
  <c r="G309" i="15" s="1"/>
  <c r="G321" i="15" s="1"/>
  <c r="G346" i="15"/>
  <c r="G365" i="15" s="1"/>
  <c r="G369" i="15" s="1"/>
  <c r="G173" i="15"/>
  <c r="G193" i="15"/>
  <c r="G1566" i="17"/>
  <c r="BR67" i="15"/>
  <c r="U289" i="15"/>
  <c r="AA53" i="15"/>
  <c r="Z55" i="15"/>
  <c r="Z54" i="15"/>
  <c r="AD348" i="15"/>
  <c r="AD367" i="15" s="1"/>
  <c r="AD172" i="15"/>
  <c r="AD241" i="15"/>
  <c r="AD308" i="15" s="1"/>
  <c r="AH96" i="15"/>
  <c r="AH201" i="15" s="1"/>
  <c r="AM263" i="15"/>
  <c r="AI167" i="15"/>
  <c r="AI346" i="15"/>
  <c r="AI365" i="15" s="1"/>
  <c r="AI369" i="15" s="1"/>
  <c r="AI173" i="15"/>
  <c r="AI193" i="15"/>
  <c r="AA433" i="15"/>
  <c r="BM433" i="15"/>
  <c r="AB432" i="15"/>
  <c r="X296" i="15"/>
  <c r="X229" i="15"/>
  <c r="J32" i="15"/>
  <c r="J20" i="15"/>
  <c r="J89" i="15"/>
  <c r="J43" i="15"/>
  <c r="J45" i="15" s="1"/>
  <c r="AD233" i="15"/>
  <c r="AD300" i="15"/>
  <c r="AE76" i="15"/>
  <c r="C1818" i="17"/>
  <c r="D1816" i="17"/>
  <c r="D1818" i="17" s="1"/>
  <c r="AB291" i="15"/>
  <c r="AB224" i="15"/>
  <c r="V187" i="15"/>
  <c r="V245" i="15"/>
  <c r="V312" i="15" s="1"/>
  <c r="BP65" i="15"/>
  <c r="AE301" i="15"/>
  <c r="BK81" i="15"/>
  <c r="G1675" i="17"/>
  <c r="E245" i="15"/>
  <c r="E312" i="15" s="1"/>
  <c r="E324" i="15" s="1"/>
  <c r="E179" i="15"/>
  <c r="E187" i="15"/>
  <c r="E196" i="15"/>
  <c r="E257" i="15" s="1"/>
  <c r="F172" i="15"/>
  <c r="F192" i="15"/>
  <c r="F348" i="15"/>
  <c r="F367" i="15" s="1"/>
  <c r="F370" i="15" s="1"/>
  <c r="F241" i="15"/>
  <c r="F308" i="15" s="1"/>
  <c r="F320" i="15" s="1"/>
  <c r="AB234" i="15"/>
  <c r="AB301" i="15"/>
  <c r="AF400" i="15"/>
  <c r="L1323" i="17"/>
  <c r="K1327" i="17"/>
  <c r="K1325" i="17"/>
  <c r="F321" i="15"/>
  <c r="X298" i="15"/>
  <c r="X231" i="15"/>
  <c r="X224" i="15"/>
  <c r="X291" i="15"/>
  <c r="AB62" i="15"/>
  <c r="BQ62" i="15"/>
  <c r="AA220" i="15"/>
  <c r="BQ220" i="15" s="1"/>
  <c r="AA287" i="15"/>
  <c r="AA292" i="15"/>
  <c r="AA225" i="15"/>
  <c r="AA76" i="15"/>
  <c r="BQ76" i="15" s="1"/>
  <c r="Z300" i="15"/>
  <c r="Z233" i="15"/>
  <c r="K263" i="15"/>
  <c r="AK291" i="15"/>
  <c r="AK292" i="15"/>
  <c r="AK296" i="15"/>
  <c r="AK287" i="15"/>
  <c r="K266" i="15"/>
  <c r="K318" i="15" s="1"/>
  <c r="AK293" i="15"/>
  <c r="AK275" i="15"/>
  <c r="AK286" i="15"/>
  <c r="AK297" i="15"/>
  <c r="AK281" i="15"/>
  <c r="AK301" i="15"/>
  <c r="AK298" i="15"/>
  <c r="AK299" i="15"/>
  <c r="AK285" i="15"/>
  <c r="AK288" i="15"/>
  <c r="AK300" i="15"/>
  <c r="AK294" i="15"/>
  <c r="AK289" i="15"/>
  <c r="AK290" i="15"/>
  <c r="AK295" i="15"/>
  <c r="AK303" i="15"/>
  <c r="AJ389" i="15"/>
  <c r="AJ390" i="15"/>
  <c r="AA219" i="15"/>
  <c r="AA286" i="15"/>
  <c r="AA64" i="15"/>
  <c r="AA70" i="15" s="1"/>
  <c r="K399" i="15"/>
  <c r="K400" i="15"/>
  <c r="C1830" i="17"/>
  <c r="C1802" i="17"/>
  <c r="F1783" i="17"/>
  <c r="D1783" i="17"/>
  <c r="D1802" i="17" s="1"/>
  <c r="D1804" i="17" s="1"/>
  <c r="AL442" i="15"/>
  <c r="AL443" i="15"/>
  <c r="BR11" i="15"/>
  <c r="AJ16" i="15"/>
  <c r="AJ11" i="15"/>
  <c r="BO45" i="15"/>
  <c r="AJ251" i="15"/>
  <c r="AJ318" i="15" s="1"/>
  <c r="AJ339" i="15"/>
  <c r="AJ358" i="15" s="1"/>
  <c r="C1695" i="17"/>
  <c r="E1690" i="17" s="1"/>
  <c r="F262" i="15"/>
  <c r="W231" i="15"/>
  <c r="W298" i="15"/>
  <c r="AF283" i="15"/>
  <c r="AN68" i="15"/>
  <c r="AM226" i="15"/>
  <c r="AM293" i="15"/>
  <c r="X399" i="15"/>
  <c r="X400" i="15"/>
  <c r="BQ399" i="15"/>
  <c r="U47" i="15"/>
  <c r="U46" i="15"/>
  <c r="U49" i="15"/>
  <c r="U277" i="15"/>
  <c r="AA448" i="15"/>
  <c r="BM437" i="15"/>
  <c r="AE437" i="15"/>
  <c r="AA437" i="15"/>
  <c r="D1453" i="17"/>
  <c r="D1440" i="17"/>
  <c r="G1446" i="17"/>
  <c r="G1451" i="17"/>
  <c r="D1439" i="17"/>
  <c r="G1452" i="17"/>
  <c r="C1473" i="17"/>
  <c r="D1455" i="17"/>
  <c r="D1481" i="17"/>
  <c r="D1456" i="17"/>
  <c r="D1451" i="17"/>
  <c r="G1455" i="17"/>
  <c r="D1485" i="17"/>
  <c r="D1448" i="17"/>
  <c r="D1457" i="17"/>
  <c r="D1445" i="17"/>
  <c r="D1442" i="17"/>
  <c r="D1452" i="17"/>
  <c r="D1443" i="17"/>
  <c r="G1454" i="17"/>
  <c r="D1482" i="17"/>
  <c r="L1442" i="17"/>
  <c r="G1444" i="17"/>
  <c r="D1446" i="17"/>
  <c r="D1454" i="17"/>
  <c r="G1440" i="17"/>
  <c r="D1447" i="17"/>
  <c r="G1456" i="17"/>
  <c r="D1444" i="17"/>
  <c r="D1483" i="17"/>
  <c r="G1448" i="17"/>
  <c r="G1453" i="17"/>
  <c r="D1486" i="17"/>
  <c r="G1457" i="17"/>
  <c r="D1487" i="17"/>
  <c r="D1484" i="17"/>
  <c r="D1441" i="17"/>
  <c r="G1445" i="17"/>
  <c r="D1438" i="17"/>
  <c r="K1616" i="17"/>
  <c r="L1615" i="17"/>
  <c r="L1616" i="17" s="1"/>
  <c r="J443" i="15"/>
  <c r="K442" i="15"/>
  <c r="J442" i="15"/>
  <c r="AL318" i="15"/>
  <c r="G2020" i="17"/>
  <c r="C2027" i="17"/>
  <c r="C2024" i="17"/>
  <c r="C2022" i="17"/>
  <c r="C1692" i="17"/>
  <c r="C1694" i="17"/>
  <c r="AF202" i="15"/>
  <c r="AF342" i="15"/>
  <c r="AF361" i="15" s="1"/>
  <c r="F248" i="15"/>
  <c r="F315" i="15" s="1"/>
  <c r="F327" i="15" s="1"/>
  <c r="F347" i="15"/>
  <c r="F366" i="15" s="1"/>
  <c r="F371" i="15" s="1"/>
  <c r="F199" i="15"/>
  <c r="AF390" i="15"/>
  <c r="I350" i="15"/>
  <c r="I254" i="15"/>
  <c r="G1685" i="17"/>
  <c r="G1442" i="17"/>
  <c r="V22" i="15"/>
  <c r="V24" i="15" s="1"/>
  <c r="V37" i="15"/>
  <c r="V36" i="15"/>
  <c r="X226" i="15"/>
  <c r="X293" i="15"/>
  <c r="AB72" i="15"/>
  <c r="AA296" i="15"/>
  <c r="AA229" i="15"/>
  <c r="BQ229" i="15" s="1"/>
  <c r="Y172" i="15"/>
  <c r="Y241" i="15"/>
  <c r="Y308" i="15" s="1"/>
  <c r="Y348" i="15"/>
  <c r="Y367" i="15" s="1"/>
  <c r="W241" i="15"/>
  <c r="W308" i="15" s="1"/>
  <c r="W172" i="15"/>
  <c r="U22" i="15"/>
  <c r="U24" i="15" s="1"/>
  <c r="U37" i="15"/>
  <c r="U36" i="15"/>
  <c r="AJ66" i="15"/>
  <c r="AI224" i="15"/>
  <c r="AI291" i="15"/>
  <c r="C2090" i="17"/>
  <c r="D2088" i="17"/>
  <c r="D2090" i="17" s="1"/>
  <c r="AL281" i="15"/>
  <c r="AL286" i="15"/>
  <c r="AL301" i="15"/>
  <c r="AL303" i="15"/>
  <c r="AL291" i="15"/>
  <c r="AL297" i="15"/>
  <c r="AL287" i="15"/>
  <c r="AL275" i="15"/>
  <c r="AL276" i="15" s="1"/>
  <c r="AL299" i="15"/>
  <c r="AL293" i="15"/>
  <c r="AL288" i="15"/>
  <c r="AL290" i="15"/>
  <c r="AL300" i="15"/>
  <c r="AL294" i="15"/>
  <c r="AL296" i="15"/>
  <c r="AL292" i="15"/>
  <c r="AL298" i="15"/>
  <c r="AF74" i="15"/>
  <c r="AE298" i="15"/>
  <c r="AE231" i="15"/>
  <c r="BR443" i="15"/>
  <c r="BR442" i="15"/>
  <c r="C1488" i="17"/>
  <c r="C1490" i="17" s="1"/>
  <c r="D1480" i="17"/>
  <c r="D1993" i="17"/>
  <c r="F1964" i="17"/>
  <c r="AO389" i="15"/>
  <c r="AO390" i="15"/>
  <c r="W285" i="15"/>
  <c r="W64" i="15"/>
  <c r="AA44" i="15"/>
  <c r="AA40" i="15" s="1"/>
  <c r="AB56" i="15"/>
  <c r="AB44" i="15" s="1"/>
  <c r="Y187" i="15"/>
  <c r="Y245" i="15"/>
  <c r="Y312" i="15" s="1"/>
  <c r="W187" i="15"/>
  <c r="W245" i="15"/>
  <c r="W312" i="15" s="1"/>
  <c r="C1407" i="17"/>
  <c r="AO251" i="15"/>
  <c r="AO318" i="15" s="1"/>
  <c r="AO339" i="15"/>
  <c r="AO358" i="15" s="1"/>
  <c r="W234" i="15"/>
  <c r="W301" i="15"/>
  <c r="X77" i="15"/>
  <c r="AL358" i="15"/>
  <c r="BN384" i="15"/>
  <c r="AB388" i="15"/>
  <c r="BN389" i="15" s="1"/>
  <c r="AB405" i="15"/>
  <c r="AB384" i="15"/>
  <c r="AB426" i="15"/>
  <c r="AB436" i="15"/>
  <c r="D1714" i="17"/>
  <c r="D1715" i="17"/>
  <c r="D1684" i="17"/>
  <c r="G1672" i="17"/>
  <c r="D1716" i="17"/>
  <c r="D1671" i="17"/>
  <c r="G1684" i="17"/>
  <c r="D1678" i="17"/>
  <c r="D1683" i="17"/>
  <c r="D1705" i="17"/>
  <c r="D1669" i="17"/>
  <c r="D1682" i="17"/>
  <c r="G1687" i="17"/>
  <c r="D1688" i="17"/>
  <c r="D1675" i="17"/>
  <c r="L1670" i="17"/>
  <c r="D1712" i="17"/>
  <c r="G1673" i="17"/>
  <c r="D1674" i="17"/>
  <c r="D1687" i="17"/>
  <c r="G1679" i="17"/>
  <c r="D1689" i="17"/>
  <c r="G1678" i="17"/>
  <c r="G1686" i="17"/>
  <c r="G1674" i="17"/>
  <c r="D1685" i="17"/>
  <c r="D1717" i="17"/>
  <c r="D1693" i="17"/>
  <c r="D1686" i="17"/>
  <c r="D1679" i="17"/>
  <c r="D1672" i="17"/>
  <c r="D1718" i="17"/>
  <c r="D1713" i="17"/>
  <c r="D1673" i="17"/>
  <c r="C1704" i="17"/>
  <c r="G1682" i="17"/>
  <c r="D1691" i="17"/>
  <c r="G1683" i="17"/>
  <c r="AB435" i="15"/>
  <c r="AB447" i="15"/>
  <c r="BN435" i="15"/>
  <c r="AA283" i="15"/>
  <c r="AA282" i="15"/>
  <c r="AE282" i="15"/>
  <c r="AB236" i="15"/>
  <c r="AB303" i="15"/>
  <c r="I399" i="15"/>
  <c r="I400" i="15"/>
  <c r="I408" i="15" s="1"/>
  <c r="AE435" i="15"/>
  <c r="AA447" i="15"/>
  <c r="AA435" i="15"/>
  <c r="BM435" i="15"/>
  <c r="AA441" i="15"/>
  <c r="AO356" i="15"/>
  <c r="AD290" i="15"/>
  <c r="AD223" i="15"/>
  <c r="AE65" i="15"/>
  <c r="AD39" i="15"/>
  <c r="H289" i="15"/>
  <c r="Z40" i="15"/>
  <c r="Z45" i="15"/>
  <c r="G286" i="15"/>
  <c r="AF61" i="15"/>
  <c r="AF64" i="15" s="1"/>
  <c r="G64" i="15"/>
  <c r="G219" i="15"/>
  <c r="G222" i="15" s="1"/>
  <c r="G228" i="15" s="1"/>
  <c r="G235" i="15" s="1"/>
  <c r="X236" i="15"/>
  <c r="X303" i="15"/>
  <c r="AN339" i="15"/>
  <c r="AN358" i="15" s="1"/>
  <c r="C1464" i="17"/>
  <c r="E1459" i="17" s="1"/>
  <c r="AN251" i="15"/>
  <c r="AN318" i="15" s="1"/>
  <c r="I97" i="15"/>
  <c r="I344" i="15" s="1"/>
  <c r="I78" i="15"/>
  <c r="AF216" i="15"/>
  <c r="AJ215" i="15"/>
  <c r="W286" i="15"/>
  <c r="W219" i="15"/>
  <c r="AI359" i="15"/>
  <c r="BN400" i="15"/>
  <c r="H32" i="15"/>
  <c r="H20" i="15"/>
  <c r="H43" i="15"/>
  <c r="H45" i="15" s="1"/>
  <c r="H89" i="15"/>
  <c r="Y443" i="15"/>
  <c r="Y442" i="15"/>
  <c r="AF51" i="15"/>
  <c r="AB218" i="15"/>
  <c r="AB60" i="15"/>
  <c r="AE91" i="15"/>
  <c r="AB52" i="15"/>
  <c r="AB451" i="15" s="1"/>
  <c r="BN51" i="15"/>
  <c r="AB51" i="15"/>
  <c r="AB91" i="15"/>
  <c r="AB214" i="15"/>
  <c r="AC91" i="15"/>
  <c r="AD91" i="15"/>
  <c r="AB281" i="15"/>
  <c r="AF282" i="15" s="1"/>
  <c r="AF384" i="15"/>
  <c r="Y219" i="15"/>
  <c r="Y222" i="15" s="1"/>
  <c r="Y228" i="15" s="1"/>
  <c r="Y235" i="15" s="1"/>
  <c r="Y286" i="15"/>
  <c r="C1461" i="17"/>
  <c r="C1463" i="17"/>
  <c r="G1563" i="17"/>
  <c r="D1571" i="17"/>
  <c r="D1581" i="17"/>
  <c r="D1603" i="17"/>
  <c r="D1604" i="17"/>
  <c r="G1570" i="17"/>
  <c r="D1565" i="17"/>
  <c r="D1562" i="17"/>
  <c r="D1602" i="17"/>
  <c r="L1558" i="17"/>
  <c r="D1564" i="17"/>
  <c r="D1575" i="17"/>
  <c r="G1565" i="17"/>
  <c r="D1559" i="17"/>
  <c r="C1592" i="17"/>
  <c r="G1562" i="17"/>
  <c r="D1567" i="17"/>
  <c r="D1599" i="17"/>
  <c r="D1563" i="17"/>
  <c r="G1564" i="17"/>
  <c r="L1559" i="17"/>
  <c r="D1574" i="17"/>
  <c r="D1576" i="17"/>
  <c r="D1572" i="17"/>
  <c r="D1601" i="17"/>
  <c r="D1600" i="17"/>
  <c r="G1559" i="17"/>
  <c r="D1573" i="17"/>
  <c r="D1593" i="17"/>
  <c r="D1570" i="17"/>
  <c r="D1561" i="17"/>
  <c r="G1574" i="17"/>
  <c r="D1560" i="17"/>
  <c r="D1579" i="17"/>
  <c r="L1561" i="17"/>
  <c r="G1567" i="17"/>
  <c r="BN65" i="15"/>
  <c r="BM39" i="15"/>
  <c r="G1560" i="17"/>
  <c r="G1500" i="17"/>
  <c r="F1516" i="17"/>
  <c r="AN356" i="15"/>
  <c r="C1980" i="17"/>
  <c r="D1978" i="17"/>
  <c r="D1980" i="17" s="1"/>
  <c r="F1557" i="17"/>
  <c r="C1605" i="17"/>
  <c r="D1557" i="17"/>
  <c r="C1578" i="17"/>
  <c r="G1964" i="17"/>
  <c r="G1966" i="17" s="1"/>
  <c r="AL356" i="15"/>
  <c r="G1573" i="17"/>
  <c r="Y64" i="15"/>
  <c r="Y70" i="15" s="1"/>
  <c r="G1579" i="17"/>
  <c r="AK20" i="15"/>
  <c r="AM89" i="15"/>
  <c r="AK43" i="15"/>
  <c r="AK32" i="15"/>
  <c r="AL89" i="15"/>
  <c r="AG34" i="15"/>
  <c r="AG173" i="15"/>
  <c r="AG193" i="15"/>
  <c r="AG167" i="15"/>
  <c r="AG346" i="15"/>
  <c r="AG365" i="15" s="1"/>
  <c r="AG369" i="15" s="1"/>
  <c r="AG242" i="15"/>
  <c r="AG309" i="15" s="1"/>
  <c r="AD45" i="15"/>
  <c r="AD40" i="15"/>
  <c r="AN285" i="15"/>
  <c r="AN218" i="15"/>
  <c r="AF443" i="15"/>
  <c r="AJ400" i="15"/>
  <c r="AJ399" i="15"/>
  <c r="BN443" i="15"/>
  <c r="AB439" i="15"/>
  <c r="BN439" i="15"/>
  <c r="AB449" i="15"/>
  <c r="AF439" i="15"/>
  <c r="AP34" i="15"/>
  <c r="AP173" i="15"/>
  <c r="AP346" i="15"/>
  <c r="AP365" i="15" s="1"/>
  <c r="AP167" i="15"/>
  <c r="AP242" i="15"/>
  <c r="AP309" i="15" s="1"/>
  <c r="AP219" i="15"/>
  <c r="AP222" i="15" s="1"/>
  <c r="AP228" i="15" s="1"/>
  <c r="AP64" i="15"/>
  <c r="AP70" i="15" s="1"/>
  <c r="AP286" i="15"/>
  <c r="AA234" i="15"/>
  <c r="AA301" i="15"/>
  <c r="BQ77" i="15"/>
  <c r="AF57" i="15"/>
  <c r="AF44" i="15" s="1"/>
  <c r="AF40" i="15" s="1"/>
  <c r="AE44" i="15"/>
  <c r="AE40" i="15" s="1"/>
  <c r="AF224" i="15"/>
  <c r="AF291" i="15"/>
  <c r="AF435" i="15"/>
  <c r="C1639" i="17"/>
  <c r="AK251" i="15"/>
  <c r="AK318" i="15" s="1"/>
  <c r="AK339" i="15"/>
  <c r="AK358" i="15" s="1"/>
  <c r="G1381" i="17"/>
  <c r="G1402" i="17" s="1"/>
  <c r="G1404" i="17" s="1"/>
  <c r="F1402" i="17"/>
  <c r="AM318" i="15"/>
  <c r="AL285" i="15"/>
  <c r="BK43" i="15"/>
  <c r="BK45" i="15" s="1"/>
  <c r="BK20" i="15"/>
  <c r="AH89" i="15"/>
  <c r="AG89" i="15"/>
  <c r="BK32" i="15"/>
  <c r="AI89" i="15"/>
  <c r="AC389" i="15"/>
  <c r="BK389" i="15"/>
  <c r="Y390" i="15"/>
  <c r="Y389" i="15"/>
  <c r="AA236" i="15"/>
  <c r="BQ236" i="15" s="1"/>
  <c r="AA303" i="15"/>
  <c r="F399" i="15"/>
  <c r="F400" i="15"/>
  <c r="F408" i="15" s="1"/>
  <c r="G399" i="15"/>
  <c r="D2139" i="17"/>
  <c r="AF414" i="15"/>
  <c r="AB424" i="15"/>
  <c r="AB414" i="15"/>
  <c r="K1786" i="17"/>
  <c r="L1785" i="17"/>
  <c r="L1786" i="17" s="1"/>
  <c r="F443" i="15"/>
  <c r="F442" i="15"/>
  <c r="G442" i="15"/>
  <c r="H442" i="15"/>
  <c r="X11" i="15"/>
  <c r="X16" i="15"/>
  <c r="E219" i="15"/>
  <c r="E222" i="15" s="1"/>
  <c r="E228" i="15" s="1"/>
  <c r="E235" i="15" s="1"/>
  <c r="E64" i="15"/>
  <c r="E286" i="15"/>
  <c r="AJ218" i="15"/>
  <c r="AJ285" i="15"/>
  <c r="AB67" i="15"/>
  <c r="BQ72" i="15"/>
  <c r="U187" i="15"/>
  <c r="U245" i="15"/>
  <c r="U312" i="15" s="1"/>
  <c r="U179" i="15"/>
  <c r="U248" i="15" s="1"/>
  <c r="U315" i="15" s="1"/>
  <c r="D195" i="15"/>
  <c r="D256" i="15" s="1"/>
  <c r="D178" i="15"/>
  <c r="D188" i="15"/>
  <c r="D244" i="15"/>
  <c r="D311" i="15" s="1"/>
  <c r="D323" i="15" s="1"/>
  <c r="D204" i="15"/>
  <c r="D1430" i="17"/>
  <c r="D1431" i="17" s="1"/>
  <c r="C1431" i="17"/>
  <c r="AP339" i="15"/>
  <c r="AP358" i="15" s="1"/>
  <c r="AP251" i="15"/>
  <c r="AP318" i="15" s="1"/>
  <c r="V289" i="15"/>
  <c r="AJ231" i="15"/>
  <c r="AJ298" i="15"/>
  <c r="AF285" i="15"/>
  <c r="V219" i="15"/>
  <c r="V222" i="15" s="1"/>
  <c r="V286" i="15"/>
  <c r="AF227" i="15"/>
  <c r="AF294" i="15"/>
  <c r="BN390" i="15"/>
  <c r="AJ443" i="15"/>
  <c r="AJ442" i="15"/>
  <c r="BR66" i="15"/>
  <c r="AI287" i="15"/>
  <c r="BR62" i="15"/>
  <c r="AI220" i="15"/>
  <c r="AJ62" i="15"/>
  <c r="AE94" i="15"/>
  <c r="AE342" i="15" s="1"/>
  <c r="AE361" i="15" s="1"/>
  <c r="AB221" i="15"/>
  <c r="AB288" i="15"/>
  <c r="AE225" i="15"/>
  <c r="AF67" i="15"/>
  <c r="AE292" i="15"/>
  <c r="AM356" i="15"/>
  <c r="AJ340" i="15"/>
  <c r="AJ357" i="15"/>
  <c r="AJ275" i="15"/>
  <c r="AJ276" i="15" s="1"/>
  <c r="AJ281" i="15"/>
  <c r="AJ292" i="15"/>
  <c r="AJ293" i="15"/>
  <c r="AJ296" i="15"/>
  <c r="AJ299" i="15"/>
  <c r="AM358" i="15"/>
  <c r="J266" i="15"/>
  <c r="AJ356" i="15"/>
  <c r="AJ294" i="15"/>
  <c r="AL361" i="15"/>
  <c r="I266" i="15"/>
  <c r="AN281" i="15"/>
  <c r="AN297" i="15"/>
  <c r="AN294" i="15"/>
  <c r="AN291" i="15"/>
  <c r="AN275" i="15"/>
  <c r="AN299" i="15"/>
  <c r="AN296" i="15"/>
  <c r="Z64" i="15"/>
  <c r="Z70" i="15" s="1"/>
  <c r="Z286" i="15"/>
  <c r="Z219" i="15"/>
  <c r="Z222" i="15" s="1"/>
  <c r="Z228" i="15" s="1"/>
  <c r="AM285" i="15"/>
  <c r="AM275" i="15"/>
  <c r="AQ276" i="15" s="1"/>
  <c r="AM297" i="15"/>
  <c r="AM281" i="15"/>
  <c r="AM291" i="15"/>
  <c r="AM288" i="15"/>
  <c r="AM294" i="15"/>
  <c r="AM287" i="15"/>
  <c r="AM300" i="15"/>
  <c r="AM301" i="15"/>
  <c r="AP356" i="15"/>
  <c r="AM299" i="15"/>
  <c r="AM296" i="15"/>
  <c r="AM298" i="15"/>
  <c r="AM303" i="15"/>
  <c r="D2154" i="17"/>
  <c r="I343" i="15"/>
  <c r="I201" i="15"/>
  <c r="AB403" i="15"/>
  <c r="AB398" i="15"/>
  <c r="AF399" i="15" s="1"/>
  <c r="AN400" i="15"/>
  <c r="J78" i="15"/>
  <c r="J97" i="15"/>
  <c r="J344" i="15" s="1"/>
  <c r="C235" i="15"/>
  <c r="D1964" i="17"/>
  <c r="D1966" i="17" s="1"/>
  <c r="C1966" i="17"/>
  <c r="C1971" i="17"/>
  <c r="C1968" i="17"/>
  <c r="C1911" i="17"/>
  <c r="D1577" i="17"/>
  <c r="G1688" i="17"/>
  <c r="AJ303" i="15"/>
  <c r="V244" i="15"/>
  <c r="V311" i="15" s="1"/>
  <c r="V188" i="15"/>
  <c r="D1566" i="17"/>
  <c r="BS80" i="15"/>
  <c r="G1443" i="17"/>
  <c r="G1438" i="17"/>
  <c r="AQ282" i="15" l="1"/>
  <c r="M358" i="15"/>
  <c r="M292" i="15"/>
  <c r="M300" i="15"/>
  <c r="W70" i="15"/>
  <c r="D1662" i="17"/>
  <c r="D1634" i="17"/>
  <c r="D1636" i="17" s="1"/>
  <c r="G1516" i="17"/>
  <c r="G1518" i="17" s="1"/>
  <c r="G1634" i="17"/>
  <c r="G1636" i="17" s="1"/>
  <c r="AI70" i="15"/>
  <c r="AK302" i="15"/>
  <c r="AK80" i="15"/>
  <c r="AK237" i="15" s="1"/>
  <c r="AK238" i="15" s="1"/>
  <c r="AE289" i="15"/>
  <c r="AE70" i="15"/>
  <c r="AD289" i="15"/>
  <c r="AD70" i="15"/>
  <c r="AL289" i="15"/>
  <c r="AL70" i="15"/>
  <c r="AK317" i="15"/>
  <c r="AB226" i="15"/>
  <c r="AB293" i="15"/>
  <c r="AL317" i="15"/>
  <c r="AP317" i="15"/>
  <c r="AQ317" i="15"/>
  <c r="M329" i="15"/>
  <c r="M330" i="15"/>
  <c r="AN317" i="15"/>
  <c r="Z317" i="15"/>
  <c r="X317" i="15"/>
  <c r="X321" i="15" s="1"/>
  <c r="Y317" i="15"/>
  <c r="N329" i="15"/>
  <c r="N330" i="15"/>
  <c r="AI317" i="15"/>
  <c r="AF317" i="15"/>
  <c r="AF321" i="15" s="1"/>
  <c r="AG317" i="15"/>
  <c r="AG321" i="15" s="1"/>
  <c r="AH317" i="15"/>
  <c r="AH320" i="15" s="1"/>
  <c r="AM317" i="15"/>
  <c r="AO317" i="15"/>
  <c r="AJ317" i="15"/>
  <c r="BS22" i="15"/>
  <c r="BS24" i="15" s="1"/>
  <c r="AC78" i="15"/>
  <c r="AC302" i="15" s="1"/>
  <c r="AE22" i="15"/>
  <c r="AE24" i="15" s="1"/>
  <c r="AE37" i="15"/>
  <c r="J192" i="15"/>
  <c r="J253" i="15" s="1"/>
  <c r="J241" i="15"/>
  <c r="J308" i="15" s="1"/>
  <c r="BS36" i="15"/>
  <c r="BK55" i="15"/>
  <c r="C90" i="15"/>
  <c r="D80" i="15"/>
  <c r="D85" i="15" s="1"/>
  <c r="V228" i="15"/>
  <c r="V235" i="15" s="1"/>
  <c r="AL245" i="15"/>
  <c r="AL312" i="15" s="1"/>
  <c r="AL179" i="15"/>
  <c r="AL347" i="15" s="1"/>
  <c r="AL366" i="15" s="1"/>
  <c r="AL371" i="15" s="1"/>
  <c r="J172" i="15"/>
  <c r="J195" i="15" s="1"/>
  <c r="J256" i="15" s="1"/>
  <c r="AN234" i="15"/>
  <c r="C47" i="15"/>
  <c r="AC49" i="15"/>
  <c r="AN288" i="15"/>
  <c r="D46" i="15"/>
  <c r="AL241" i="15"/>
  <c r="AL308" i="15" s="1"/>
  <c r="AO89" i="15"/>
  <c r="C49" i="15"/>
  <c r="AN43" i="15"/>
  <c r="C277" i="15"/>
  <c r="C279" i="15" s="1"/>
  <c r="I172" i="15"/>
  <c r="I195" i="15" s="1"/>
  <c r="I256" i="15" s="1"/>
  <c r="AB337" i="15"/>
  <c r="AB356" i="15" s="1"/>
  <c r="J350" i="15"/>
  <c r="I192" i="15"/>
  <c r="I253" i="15" s="1"/>
  <c r="AG92" i="15"/>
  <c r="AG339" i="15" s="1"/>
  <c r="AG358" i="15" s="1"/>
  <c r="BS47" i="15"/>
  <c r="BX46" i="15"/>
  <c r="AN220" i="15"/>
  <c r="I348" i="15"/>
  <c r="I367" i="15" s="1"/>
  <c r="C78" i="15"/>
  <c r="C80" i="15" s="1"/>
  <c r="AA250" i="15"/>
  <c r="AA320" i="15" s="1"/>
  <c r="H262" i="15"/>
  <c r="AQ353" i="15"/>
  <c r="AC47" i="15"/>
  <c r="K408" i="15"/>
  <c r="AN231" i="15"/>
  <c r="AH248" i="15"/>
  <c r="AH315" i="15" s="1"/>
  <c r="AL201" i="15"/>
  <c r="AC22" i="15"/>
  <c r="AC24" i="15" s="1"/>
  <c r="AC37" i="15"/>
  <c r="AH46" i="15"/>
  <c r="J187" i="15"/>
  <c r="J196" i="15"/>
  <c r="J257" i="15" s="1"/>
  <c r="V46" i="15"/>
  <c r="J179" i="15"/>
  <c r="J199" i="15" s="1"/>
  <c r="AN442" i="15"/>
  <c r="M371" i="15"/>
  <c r="M372" i="15"/>
  <c r="M321" i="15"/>
  <c r="M324" i="15"/>
  <c r="M320" i="15"/>
  <c r="M323" i="15"/>
  <c r="M327" i="15"/>
  <c r="M326" i="15"/>
  <c r="M279" i="15"/>
  <c r="M359" i="15"/>
  <c r="M369" i="15"/>
  <c r="M370" i="15"/>
  <c r="M283" i="15"/>
  <c r="AF293" i="15"/>
  <c r="AH47" i="15"/>
  <c r="L286" i="15"/>
  <c r="L288" i="15"/>
  <c r="AJ288" i="15"/>
  <c r="AK330" i="15" s="1"/>
  <c r="AH277" i="15"/>
  <c r="AH279" i="15" s="1"/>
  <c r="AP89" i="15"/>
  <c r="L303" i="15"/>
  <c r="C352" i="15"/>
  <c r="G46" i="15"/>
  <c r="Y250" i="15"/>
  <c r="AN89" i="15"/>
  <c r="AB231" i="15"/>
  <c r="L363" i="15"/>
  <c r="AN32" i="15"/>
  <c r="Y193" i="15"/>
  <c r="Y254" i="15" s="1"/>
  <c r="AN303" i="15"/>
  <c r="AO408" i="15"/>
  <c r="BQ50" i="15"/>
  <c r="BQ49" i="15" s="1"/>
  <c r="AN20" i="15"/>
  <c r="AN37" i="15" s="1"/>
  <c r="L277" i="15"/>
  <c r="N278" i="15" s="1"/>
  <c r="C97" i="15"/>
  <c r="C344" i="15" s="1"/>
  <c r="C363" i="15" s="1"/>
  <c r="I196" i="15"/>
  <c r="I257" i="15" s="1"/>
  <c r="AN167" i="15"/>
  <c r="AN241" i="15" s="1"/>
  <c r="AN308" i="15" s="1"/>
  <c r="AA338" i="15"/>
  <c r="AA357" i="15" s="1"/>
  <c r="K37" i="15"/>
  <c r="L299" i="15"/>
  <c r="C982" i="17"/>
  <c r="C987" i="17"/>
  <c r="I187" i="15"/>
  <c r="BQ218" i="15"/>
  <c r="C36" i="15"/>
  <c r="G37" i="15"/>
  <c r="I179" i="15"/>
  <c r="I347" i="15" s="1"/>
  <c r="I366" i="15" s="1"/>
  <c r="G22" i="15"/>
  <c r="G24" i="15" s="1"/>
  <c r="G95" i="15" s="1"/>
  <c r="V49" i="15"/>
  <c r="AP235" i="15"/>
  <c r="K22" i="15"/>
  <c r="K24" i="15" s="1"/>
  <c r="K95" i="15" s="1"/>
  <c r="V47" i="15"/>
  <c r="AO78" i="15"/>
  <c r="AO80" i="15" s="1"/>
  <c r="K47" i="15"/>
  <c r="K90" i="15"/>
  <c r="K49" i="15"/>
  <c r="L297" i="15"/>
  <c r="AH245" i="15"/>
  <c r="AH312" i="15" s="1"/>
  <c r="L296" i="15"/>
  <c r="AE107" i="15"/>
  <c r="AH196" i="15"/>
  <c r="AH257" i="15" s="1"/>
  <c r="L298" i="15"/>
  <c r="AF350" i="15"/>
  <c r="L291" i="15"/>
  <c r="BV43" i="15"/>
  <c r="AN346" i="15"/>
  <c r="AN365" i="15" s="1"/>
  <c r="AH187" i="15"/>
  <c r="L304" i="15"/>
  <c r="L356" i="15"/>
  <c r="AN179" i="15"/>
  <c r="AN199" i="15" s="1"/>
  <c r="C984" i="17"/>
  <c r="AV292" i="15"/>
  <c r="AV225" i="15"/>
  <c r="AV390" i="15"/>
  <c r="AV35" i="15"/>
  <c r="AV10" i="15"/>
  <c r="AV30" i="15"/>
  <c r="AV275" i="15"/>
  <c r="AZ276" i="15" s="1"/>
  <c r="AV211" i="15"/>
  <c r="AZ212" i="15" s="1"/>
  <c r="AV28" i="15"/>
  <c r="AV29" i="15"/>
  <c r="AV31" i="15"/>
  <c r="AV88" i="15"/>
  <c r="AV40" i="15"/>
  <c r="AV219" i="15"/>
  <c r="AV286" i="15"/>
  <c r="Z250" i="15"/>
  <c r="L302" i="15"/>
  <c r="L301" i="15"/>
  <c r="L290" i="15"/>
  <c r="BN43" i="15"/>
  <c r="BN45" i="15" s="1"/>
  <c r="BN49" i="15" s="1"/>
  <c r="AJ94" i="15"/>
  <c r="AJ342" i="15" s="1"/>
  <c r="AJ361" i="15" s="1"/>
  <c r="L362" i="15"/>
  <c r="L300" i="15"/>
  <c r="L293" i="15"/>
  <c r="BM22" i="15"/>
  <c r="BM24" i="15" s="1"/>
  <c r="L295" i="15"/>
  <c r="L317" i="15"/>
  <c r="L292" i="15"/>
  <c r="N283" i="15"/>
  <c r="N359" i="15"/>
  <c r="N369" i="15"/>
  <c r="N370" i="15"/>
  <c r="BM36" i="15"/>
  <c r="L357" i="15"/>
  <c r="L369" i="15" s="1"/>
  <c r="L361" i="15"/>
  <c r="L275" i="15"/>
  <c r="O276" i="15" s="1"/>
  <c r="N327" i="15"/>
  <c r="N326" i="15"/>
  <c r="N321" i="15"/>
  <c r="N320" i="15"/>
  <c r="N324" i="15"/>
  <c r="N323" i="15"/>
  <c r="L305" i="15"/>
  <c r="L318" i="15"/>
  <c r="L327" i="15" s="1"/>
  <c r="L360" i="15"/>
  <c r="L281" i="15"/>
  <c r="M282" i="15" s="1"/>
  <c r="N279" i="15"/>
  <c r="N371" i="15"/>
  <c r="N372" i="15"/>
  <c r="AN34" i="15"/>
  <c r="BM54" i="15"/>
  <c r="AI92" i="15" s="1"/>
  <c r="AS94" i="15"/>
  <c r="AS342" i="15" s="1"/>
  <c r="AS361" i="15" s="1"/>
  <c r="AU94" i="15"/>
  <c r="X187" i="15"/>
  <c r="AN245" i="15"/>
  <c r="AN312" i="15" s="1"/>
  <c r="AF276" i="15"/>
  <c r="AS96" i="15"/>
  <c r="AS343" i="15" s="1"/>
  <c r="AS362" i="15" s="1"/>
  <c r="AU96" i="15"/>
  <c r="AN242" i="15"/>
  <c r="AN309" i="15" s="1"/>
  <c r="C1346" i="17"/>
  <c r="C1353" i="17" s="1"/>
  <c r="C1354" i="17" s="1"/>
  <c r="AD228" i="15"/>
  <c r="AD235" i="15" s="1"/>
  <c r="BL22" i="15"/>
  <c r="BL24" i="15" s="1"/>
  <c r="BL36" i="15"/>
  <c r="AC107" i="15"/>
  <c r="C37" i="15"/>
  <c r="AK94" i="15"/>
  <c r="AK342" i="15" s="1"/>
  <c r="AK361" i="15" s="1"/>
  <c r="AK172" i="15"/>
  <c r="AK204" i="15" s="1"/>
  <c r="AE54" i="15"/>
  <c r="L287" i="15"/>
  <c r="AF53" i="15"/>
  <c r="AF93" i="15" s="1"/>
  <c r="AF341" i="15" s="1"/>
  <c r="AF360" i="15" s="1"/>
  <c r="BP45" i="15"/>
  <c r="BP47" i="15" s="1"/>
  <c r="AT94" i="15"/>
  <c r="AT96" i="15"/>
  <c r="AP283" i="15"/>
  <c r="AT276" i="15"/>
  <c r="AN300" i="15"/>
  <c r="AD78" i="15"/>
  <c r="V179" i="15"/>
  <c r="V248" i="15" s="1"/>
  <c r="V315" i="15" s="1"/>
  <c r="BU45" i="15"/>
  <c r="AH350" i="15"/>
  <c r="AB96" i="15"/>
  <c r="AB343" i="15" s="1"/>
  <c r="AB362" i="15" s="1"/>
  <c r="BU40" i="15"/>
  <c r="L46" i="15"/>
  <c r="W178" i="15"/>
  <c r="W247" i="15" s="1"/>
  <c r="W314" i="15" s="1"/>
  <c r="X53" i="15"/>
  <c r="Z93" i="15" s="1"/>
  <c r="BL49" i="15"/>
  <c r="C248" i="15"/>
  <c r="C315" i="15" s="1"/>
  <c r="C327" i="15" s="1"/>
  <c r="BL47" i="15"/>
  <c r="W54" i="15"/>
  <c r="K46" i="15"/>
  <c r="AF245" i="15"/>
  <c r="AF312" i="15" s="1"/>
  <c r="Z192" i="15"/>
  <c r="Z351" i="15" s="1"/>
  <c r="AG262" i="15"/>
  <c r="W55" i="15"/>
  <c r="AF196" i="15"/>
  <c r="AF257" i="15" s="1"/>
  <c r="Z196" i="15"/>
  <c r="Z257" i="15" s="1"/>
  <c r="Z338" i="15"/>
  <c r="Z357" i="15" s="1"/>
  <c r="X179" i="15"/>
  <c r="X199" i="15" s="1"/>
  <c r="L358" i="15"/>
  <c r="L371" i="15" s="1"/>
  <c r="L294" i="15"/>
  <c r="L289" i="15"/>
  <c r="K187" i="15"/>
  <c r="AS327" i="15"/>
  <c r="AS326" i="15"/>
  <c r="AO279" i="15"/>
  <c r="AS278" i="15"/>
  <c r="AS371" i="15"/>
  <c r="AS372" i="15"/>
  <c r="BV408" i="15"/>
  <c r="AK45" i="15"/>
  <c r="AN221" i="15"/>
  <c r="AN94" i="15"/>
  <c r="AO94" i="15"/>
  <c r="AP94" i="15"/>
  <c r="AM290" i="15"/>
  <c r="BV39" i="15"/>
  <c r="BV64" i="15"/>
  <c r="BV70" i="15" s="1"/>
  <c r="BV78" i="15" s="1"/>
  <c r="AQ222" i="15"/>
  <c r="AQ228" i="15" s="1"/>
  <c r="AQ235" i="15" s="1"/>
  <c r="AQ327" i="15"/>
  <c r="AQ326" i="15"/>
  <c r="AQ371" i="15"/>
  <c r="AQ372" i="15"/>
  <c r="AQ40" i="15"/>
  <c r="AQ45" i="15"/>
  <c r="AQ342" i="15"/>
  <c r="AQ361" i="15" s="1"/>
  <c r="AQ202" i="15"/>
  <c r="AQ289" i="15"/>
  <c r="F1344" i="17"/>
  <c r="C1375" i="17" s="1"/>
  <c r="C1636" i="17"/>
  <c r="C1643" i="17" s="1"/>
  <c r="C1644" i="17" s="1"/>
  <c r="D1360" i="17"/>
  <c r="AD96" i="15"/>
  <c r="AD343" i="15" s="1"/>
  <c r="AD362" i="15" s="1"/>
  <c r="BQ47" i="15"/>
  <c r="AB290" i="15"/>
  <c r="BK399" i="15"/>
  <c r="Y399" i="15"/>
  <c r="X64" i="15"/>
  <c r="AE96" i="15"/>
  <c r="AE343" i="15" s="1"/>
  <c r="AE362" i="15" s="1"/>
  <c r="X219" i="15"/>
  <c r="AF340" i="15"/>
  <c r="AL172" i="15"/>
  <c r="AL188" i="15" s="1"/>
  <c r="Y400" i="15"/>
  <c r="Y408" i="15" s="1"/>
  <c r="K196" i="15"/>
  <c r="K257" i="15" s="1"/>
  <c r="E278" i="15"/>
  <c r="W222" i="15"/>
  <c r="W228" i="15" s="1"/>
  <c r="W235" i="15" s="1"/>
  <c r="K179" i="15"/>
  <c r="K199" i="15" s="1"/>
  <c r="AK241" i="15"/>
  <c r="AK308" i="15" s="1"/>
  <c r="BQ8" i="15"/>
  <c r="AA193" i="15"/>
  <c r="AA254" i="15" s="1"/>
  <c r="BN20" i="15"/>
  <c r="BN36" i="15" s="1"/>
  <c r="BQ65" i="15"/>
  <c r="BQ223" i="15"/>
  <c r="AL78" i="15"/>
  <c r="AL302" i="15" s="1"/>
  <c r="AE55" i="15"/>
  <c r="X245" i="15"/>
  <c r="X312" i="15" s="1"/>
  <c r="AA196" i="15"/>
  <c r="AA257" i="15" s="1"/>
  <c r="AA192" i="15"/>
  <c r="AA351" i="15" s="1"/>
  <c r="C347" i="15"/>
  <c r="C366" i="15" s="1"/>
  <c r="C371" i="15" s="1"/>
  <c r="AF212" i="15"/>
  <c r="AB223" i="15"/>
  <c r="AC96" i="15"/>
  <c r="AC343" i="15" s="1"/>
  <c r="AC362" i="15" s="1"/>
  <c r="D2141" i="17"/>
  <c r="L1671" i="17"/>
  <c r="L1672" i="17" s="1"/>
  <c r="G1283" i="17"/>
  <c r="G1285" i="17" s="1"/>
  <c r="F1692" i="17"/>
  <c r="D1312" i="17"/>
  <c r="C1360" i="17"/>
  <c r="D1711" i="17"/>
  <c r="D1719" i="17" s="1"/>
  <c r="AI295" i="15"/>
  <c r="AI289" i="15"/>
  <c r="G47" i="15"/>
  <c r="AJ300" i="15"/>
  <c r="W292" i="15"/>
  <c r="F1634" i="17"/>
  <c r="C1664" i="17" s="1"/>
  <c r="G49" i="15"/>
  <c r="G277" i="15"/>
  <c r="G278" i="15" s="1"/>
  <c r="AI96" i="15"/>
  <c r="AI343" i="15" s="1"/>
  <c r="AI362" i="15" s="1"/>
  <c r="AM22" i="15"/>
  <c r="AM24" i="15" s="1"/>
  <c r="C2141" i="17"/>
  <c r="K351" i="15"/>
  <c r="AF241" i="15"/>
  <c r="AF308" i="15" s="1"/>
  <c r="AM36" i="15"/>
  <c r="AP45" i="15"/>
  <c r="AP277" i="15" s="1"/>
  <c r="AT278" i="15" s="1"/>
  <c r="AB16" i="15"/>
  <c r="AB89" i="15" s="1"/>
  <c r="AF244" i="15"/>
  <c r="AF311" i="15" s="1"/>
  <c r="AF323" i="15" s="1"/>
  <c r="D1373" i="17"/>
  <c r="G1344" i="17"/>
  <c r="G1346" i="17" s="1"/>
  <c r="X67" i="15"/>
  <c r="X225" i="15" s="1"/>
  <c r="AF20" i="15"/>
  <c r="AF32" i="15"/>
  <c r="AF43" i="15"/>
  <c r="AF45" i="15" s="1"/>
  <c r="AF89" i="15"/>
  <c r="AF296" i="15"/>
  <c r="AF204" i="15"/>
  <c r="Y192" i="15"/>
  <c r="Y253" i="15" s="1"/>
  <c r="AF348" i="15"/>
  <c r="AF367" i="15" s="1"/>
  <c r="AF370" i="15" s="1"/>
  <c r="AF195" i="15"/>
  <c r="AF256" i="15" s="1"/>
  <c r="AF192" i="15"/>
  <c r="AF351" i="15" s="1"/>
  <c r="G1460" i="17"/>
  <c r="Y196" i="15"/>
  <c r="Y257" i="15" s="1"/>
  <c r="AJ34" i="15"/>
  <c r="AJ193" i="15"/>
  <c r="AJ242" i="15"/>
  <c r="AJ309" i="15" s="1"/>
  <c r="AJ167" i="15"/>
  <c r="AJ173" i="15"/>
  <c r="AJ346" i="15"/>
  <c r="AJ365" i="15" s="1"/>
  <c r="AJ369" i="15" s="1"/>
  <c r="AJ301" i="15"/>
  <c r="X215" i="15"/>
  <c r="J363" i="15"/>
  <c r="AM96" i="15"/>
  <c r="AM343" i="15" s="1"/>
  <c r="AM362" i="15" s="1"/>
  <c r="AK179" i="15"/>
  <c r="AK187" i="15"/>
  <c r="AK245" i="15"/>
  <c r="AK312" i="15" s="1"/>
  <c r="AM348" i="15"/>
  <c r="AM367" i="15" s="1"/>
  <c r="K195" i="15"/>
  <c r="K256" i="15" s="1"/>
  <c r="K254" i="15"/>
  <c r="K350" i="15"/>
  <c r="X263" i="15"/>
  <c r="K188" i="15"/>
  <c r="AM276" i="15"/>
  <c r="H1911" i="17"/>
  <c r="AH228" i="15"/>
  <c r="AH235" i="15" s="1"/>
  <c r="AN443" i="15"/>
  <c r="X241" i="15"/>
  <c r="X308" i="15" s="1"/>
  <c r="X192" i="15"/>
  <c r="X351" i="15" s="1"/>
  <c r="Z204" i="15"/>
  <c r="Z244" i="15"/>
  <c r="Z311" i="15" s="1"/>
  <c r="Z188" i="15"/>
  <c r="X359" i="15"/>
  <c r="Z195" i="15"/>
  <c r="Z256" i="15" s="1"/>
  <c r="X348" i="15"/>
  <c r="X367" i="15" s="1"/>
  <c r="X370" i="15" s="1"/>
  <c r="D1913" i="17"/>
  <c r="F1913" i="17"/>
  <c r="H1913" i="17" s="1"/>
  <c r="AH90" i="15"/>
  <c r="C253" i="15"/>
  <c r="C351" i="15"/>
  <c r="C195" i="15"/>
  <c r="C256" i="15" s="1"/>
  <c r="C178" i="15"/>
  <c r="C188" i="15"/>
  <c r="C204" i="15"/>
  <c r="C244" i="15"/>
  <c r="C311" i="15" s="1"/>
  <c r="C323" i="15" s="1"/>
  <c r="AH343" i="15"/>
  <c r="AH362" i="15" s="1"/>
  <c r="BR44" i="15"/>
  <c r="BR40" i="15" s="1"/>
  <c r="Y43" i="15"/>
  <c r="Y45" i="15" s="1"/>
  <c r="BK46" i="15" s="1"/>
  <c r="Y20" i="15"/>
  <c r="Y32" i="15"/>
  <c r="AI45" i="15"/>
  <c r="G1913" i="17"/>
  <c r="AA94" i="15"/>
  <c r="X288" i="15"/>
  <c r="AA330" i="15" s="1"/>
  <c r="Z94" i="15"/>
  <c r="Y94" i="15"/>
  <c r="X221" i="15"/>
  <c r="H241" i="15"/>
  <c r="H308" i="15" s="1"/>
  <c r="H320" i="15" s="1"/>
  <c r="H172" i="15"/>
  <c r="H348" i="15"/>
  <c r="H367" i="15" s="1"/>
  <c r="H370" i="15" s="1"/>
  <c r="H192" i="15"/>
  <c r="X350" i="15"/>
  <c r="X254" i="15"/>
  <c r="F70" i="15"/>
  <c r="F289" i="15"/>
  <c r="AL228" i="15"/>
  <c r="AL235" i="15" s="1"/>
  <c r="AH188" i="15"/>
  <c r="AH244" i="15"/>
  <c r="AH311" i="15" s="1"/>
  <c r="AH204" i="15"/>
  <c r="AH195" i="15"/>
  <c r="AH256" i="15" s="1"/>
  <c r="AH178" i="15"/>
  <c r="AB172" i="15"/>
  <c r="AB241" i="15"/>
  <c r="AB308" i="15" s="1"/>
  <c r="AB348" i="15"/>
  <c r="AB367" i="15" s="1"/>
  <c r="AM241" i="15"/>
  <c r="AM308" i="15" s="1"/>
  <c r="L1894" i="17"/>
  <c r="L1895" i="17" s="1"/>
  <c r="K1895" i="17"/>
  <c r="M1895" i="17" s="1"/>
  <c r="AB187" i="15"/>
  <c r="AB245" i="15"/>
  <c r="AB312" i="15" s="1"/>
  <c r="D1926" i="17"/>
  <c r="D1927" i="17" s="1"/>
  <c r="C1927" i="17"/>
  <c r="H245" i="15"/>
  <c r="H312" i="15" s="1"/>
  <c r="H324" i="15" s="1"/>
  <c r="H179" i="15"/>
  <c r="H187" i="15"/>
  <c r="H196" i="15"/>
  <c r="H257" i="15" s="1"/>
  <c r="BR61" i="15"/>
  <c r="BR64" i="15" s="1"/>
  <c r="BR70" i="15" s="1"/>
  <c r="BR78" i="15" s="1"/>
  <c r="AI286" i="15"/>
  <c r="AI219" i="15"/>
  <c r="AI222" i="15" s="1"/>
  <c r="AJ61" i="15"/>
  <c r="X408" i="15"/>
  <c r="J262" i="15"/>
  <c r="AN61" i="15"/>
  <c r="AM219" i="15"/>
  <c r="AM222" i="15" s="1"/>
  <c r="AM64" i="15"/>
  <c r="AM70" i="15" s="1"/>
  <c r="L1560" i="17"/>
  <c r="D248" i="15"/>
  <c r="D315" i="15" s="1"/>
  <c r="D327" i="15" s="1"/>
  <c r="D199" i="15"/>
  <c r="D347" i="15"/>
  <c r="D366" i="15" s="1"/>
  <c r="D371" i="15" s="1"/>
  <c r="AM187" i="15"/>
  <c r="AM245" i="15"/>
  <c r="AM312" i="15" s="1"/>
  <c r="AM179" i="15"/>
  <c r="AN408" i="15"/>
  <c r="K1443" i="17"/>
  <c r="AM39" i="15"/>
  <c r="AN65" i="15"/>
  <c r="AQ96" i="15" s="1"/>
  <c r="AM223" i="15"/>
  <c r="AF408" i="15"/>
  <c r="AJ408" i="15"/>
  <c r="AA222" i="15"/>
  <c r="AA228" i="15" s="1"/>
  <c r="BR43" i="15"/>
  <c r="X340" i="15"/>
  <c r="F253" i="15"/>
  <c r="F351" i="15"/>
  <c r="J37" i="15"/>
  <c r="J36" i="15"/>
  <c r="J22" i="15"/>
  <c r="J24" i="15" s="1"/>
  <c r="J95" i="15" s="1"/>
  <c r="M1893" i="17"/>
  <c r="F195" i="15"/>
  <c r="F256" i="15" s="1"/>
  <c r="F188" i="15"/>
  <c r="F244" i="15"/>
  <c r="F311" i="15" s="1"/>
  <c r="F323" i="15" s="1"/>
  <c r="F204" i="15"/>
  <c r="F178" i="15"/>
  <c r="AD204" i="15"/>
  <c r="AD188" i="15"/>
  <c r="AD244" i="15"/>
  <c r="AD311" i="15" s="1"/>
  <c r="AL40" i="15"/>
  <c r="AL45" i="15"/>
  <c r="AC188" i="15"/>
  <c r="AC204" i="15"/>
  <c r="AC244" i="15"/>
  <c r="AC311" i="15" s="1"/>
  <c r="G192" i="15"/>
  <c r="G241" i="15"/>
  <c r="G308" i="15" s="1"/>
  <c r="G320" i="15" s="1"/>
  <c r="G348" i="15"/>
  <c r="G367" i="15" s="1"/>
  <c r="G370" i="15" s="1"/>
  <c r="G172" i="15"/>
  <c r="AM44" i="15"/>
  <c r="BV40" i="15" s="1"/>
  <c r="AN56" i="15"/>
  <c r="F279" i="15"/>
  <c r="F278" i="15"/>
  <c r="BT46" i="15"/>
  <c r="BT47" i="15"/>
  <c r="F1861" i="17"/>
  <c r="AE204" i="15"/>
  <c r="AE244" i="15"/>
  <c r="AE311" i="15" s="1"/>
  <c r="AE188" i="15"/>
  <c r="E253" i="15"/>
  <c r="E351" i="15"/>
  <c r="X443" i="15"/>
  <c r="BQ442" i="15"/>
  <c r="AO179" i="15"/>
  <c r="AO187" i="15"/>
  <c r="AO245" i="15"/>
  <c r="AO312" i="15" s="1"/>
  <c r="C1777" i="17"/>
  <c r="W46" i="15"/>
  <c r="W49" i="15"/>
  <c r="W277" i="15"/>
  <c r="W279" i="15" s="1"/>
  <c r="W47" i="15"/>
  <c r="AF232" i="15"/>
  <c r="AF299" i="15"/>
  <c r="G1459" i="17"/>
  <c r="K244" i="15"/>
  <c r="K311" i="15" s="1"/>
  <c r="AA45" i="15"/>
  <c r="AA277" i="15" s="1"/>
  <c r="G1690" i="17"/>
  <c r="G1692" i="17" s="1"/>
  <c r="AH295" i="15"/>
  <c r="C1721" i="17"/>
  <c r="E248" i="15"/>
  <c r="E315" i="15" s="1"/>
  <c r="E327" i="15" s="1"/>
  <c r="E347" i="15"/>
  <c r="E366" i="15" s="1"/>
  <c r="E371" i="15" s="1"/>
  <c r="E199" i="15"/>
  <c r="BP39" i="15"/>
  <c r="BP70" i="15"/>
  <c r="BP78" i="15" s="1"/>
  <c r="BN433" i="15"/>
  <c r="AB433" i="15"/>
  <c r="AB446" i="15"/>
  <c r="AF433" i="15"/>
  <c r="U78" i="15"/>
  <c r="U295" i="15"/>
  <c r="E188" i="15"/>
  <c r="E195" i="15"/>
  <c r="E256" i="15" s="1"/>
  <c r="E178" i="15"/>
  <c r="E204" i="15"/>
  <c r="E244" i="15"/>
  <c r="E311" i="15" s="1"/>
  <c r="E323" i="15" s="1"/>
  <c r="K204" i="15"/>
  <c r="K1441" i="17"/>
  <c r="L1441" i="17" s="1"/>
  <c r="AM225" i="15"/>
  <c r="AN67" i="15"/>
  <c r="AM178" i="15"/>
  <c r="AM188" i="15"/>
  <c r="AM204" i="15"/>
  <c r="AM244" i="15"/>
  <c r="AM311" i="15" s="1"/>
  <c r="AG22" i="15"/>
  <c r="AG24" i="15" s="1"/>
  <c r="AG36" i="15"/>
  <c r="AG37" i="15"/>
  <c r="E1518" i="17"/>
  <c r="C1525" i="17"/>
  <c r="C1526" i="17" s="1"/>
  <c r="AO348" i="15"/>
  <c r="AO367" i="15" s="1"/>
  <c r="AO172" i="15"/>
  <c r="AO241" i="15"/>
  <c r="AO308" i="15" s="1"/>
  <c r="AF236" i="15"/>
  <c r="AF303" i="15"/>
  <c r="BN408" i="15"/>
  <c r="AE300" i="15"/>
  <c r="AE233" i="15"/>
  <c r="AF76" i="15"/>
  <c r="AI254" i="15"/>
  <c r="AI350" i="15"/>
  <c r="BM40" i="15"/>
  <c r="BM45" i="15"/>
  <c r="AF301" i="15"/>
  <c r="AF234" i="15"/>
  <c r="AG277" i="15"/>
  <c r="AG49" i="15"/>
  <c r="AG47" i="15"/>
  <c r="BS46" i="15"/>
  <c r="BL81" i="15"/>
  <c r="I36" i="15"/>
  <c r="I22" i="15"/>
  <c r="I24" i="15" s="1"/>
  <c r="I95" i="15" s="1"/>
  <c r="I37" i="15"/>
  <c r="AI196" i="15"/>
  <c r="AI257" i="15" s="1"/>
  <c r="AI187" i="15"/>
  <c r="AI179" i="15"/>
  <c r="AI245" i="15"/>
  <c r="AI312" i="15" s="1"/>
  <c r="AG295" i="15"/>
  <c r="AG78" i="15"/>
  <c r="AF297" i="15"/>
  <c r="AF230" i="15"/>
  <c r="X195" i="15"/>
  <c r="X256" i="15" s="1"/>
  <c r="X244" i="15"/>
  <c r="X311" i="15" s="1"/>
  <c r="X188" i="15"/>
  <c r="X178" i="15"/>
  <c r="X204" i="15"/>
  <c r="J90" i="15"/>
  <c r="J49" i="15"/>
  <c r="J47" i="15"/>
  <c r="AI241" i="15"/>
  <c r="AI308" i="15" s="1"/>
  <c r="AI348" i="15"/>
  <c r="AI367" i="15" s="1"/>
  <c r="AI370" i="15" s="1"/>
  <c r="AI192" i="15"/>
  <c r="AI172" i="15"/>
  <c r="AA55" i="15"/>
  <c r="AB53" i="15"/>
  <c r="AD93" i="15" s="1"/>
  <c r="AA54" i="15"/>
  <c r="G254" i="15"/>
  <c r="G350" i="15"/>
  <c r="I90" i="15"/>
  <c r="I49" i="15"/>
  <c r="I47" i="15"/>
  <c r="BS81" i="15"/>
  <c r="G245" i="15"/>
  <c r="G312" i="15" s="1"/>
  <c r="G324" i="15" s="1"/>
  <c r="G187" i="15"/>
  <c r="G196" i="15"/>
  <c r="G257" i="15" s="1"/>
  <c r="G179" i="15"/>
  <c r="AH92" i="15"/>
  <c r="BL55" i="15"/>
  <c r="AI39" i="15"/>
  <c r="AJ65" i="15"/>
  <c r="AJ96" i="15" s="1"/>
  <c r="AI290" i="15"/>
  <c r="AI223" i="15"/>
  <c r="Y357" i="15"/>
  <c r="Y340" i="15"/>
  <c r="I275" i="15"/>
  <c r="I276" i="15" s="1"/>
  <c r="I291" i="15"/>
  <c r="I286" i="15"/>
  <c r="I296" i="15"/>
  <c r="I300" i="15"/>
  <c r="I292" i="15"/>
  <c r="I298" i="15"/>
  <c r="I281" i="15"/>
  <c r="I297" i="15"/>
  <c r="I356" i="15"/>
  <c r="I287" i="15"/>
  <c r="I294" i="15"/>
  <c r="I293" i="15"/>
  <c r="I303" i="15"/>
  <c r="I289" i="15"/>
  <c r="I301" i="15"/>
  <c r="I357" i="15"/>
  <c r="I317" i="15"/>
  <c r="I288" i="15"/>
  <c r="I299" i="15"/>
  <c r="I277" i="15"/>
  <c r="I285" i="15"/>
  <c r="I318" i="15"/>
  <c r="I361" i="15"/>
  <c r="I290" i="15"/>
  <c r="I360" i="15"/>
  <c r="I358" i="15"/>
  <c r="J285" i="15"/>
  <c r="J296" i="15"/>
  <c r="J298" i="15"/>
  <c r="J287" i="15"/>
  <c r="J361" i="15"/>
  <c r="J290" i="15"/>
  <c r="J318" i="15"/>
  <c r="J294" i="15"/>
  <c r="J281" i="15"/>
  <c r="J300" i="15"/>
  <c r="J360" i="15"/>
  <c r="J299" i="15"/>
  <c r="J291" i="15"/>
  <c r="J286" i="15"/>
  <c r="J356" i="15"/>
  <c r="J303" i="15"/>
  <c r="J317" i="15"/>
  <c r="J293" i="15"/>
  <c r="J357" i="15"/>
  <c r="J370" i="15" s="1"/>
  <c r="J277" i="15"/>
  <c r="J275" i="15"/>
  <c r="J297" i="15"/>
  <c r="J292" i="15"/>
  <c r="J301" i="15"/>
  <c r="J362" i="15"/>
  <c r="J288" i="15"/>
  <c r="J358" i="15"/>
  <c r="J289" i="15"/>
  <c r="C2132" i="17"/>
  <c r="F1404" i="17"/>
  <c r="K1619" i="17"/>
  <c r="M1614" i="17" s="1"/>
  <c r="F1639" i="17"/>
  <c r="K97" i="15"/>
  <c r="K344" i="15" s="1"/>
  <c r="K363" i="15" s="1"/>
  <c r="K78" i="15"/>
  <c r="K295" i="15"/>
  <c r="AP187" i="15"/>
  <c r="AP245" i="15"/>
  <c r="AP312" i="15" s="1"/>
  <c r="AP179" i="15"/>
  <c r="C1351" i="17" s="1"/>
  <c r="H1516" i="17"/>
  <c r="C1546" i="17"/>
  <c r="F1518" i="17"/>
  <c r="H1518" i="17" s="1"/>
  <c r="BN39" i="15"/>
  <c r="BN70" i="15"/>
  <c r="BN78" i="15" s="1"/>
  <c r="AD202" i="15"/>
  <c r="AD338" i="15"/>
  <c r="AD192" i="15"/>
  <c r="AD193" i="15"/>
  <c r="C2025" i="17"/>
  <c r="AD250" i="15"/>
  <c r="AD196" i="15"/>
  <c r="AD257" i="15" s="1"/>
  <c r="AD195" i="15"/>
  <c r="AD256" i="15" s="1"/>
  <c r="G70" i="15"/>
  <c r="G289" i="15"/>
  <c r="AH262" i="15"/>
  <c r="AJ224" i="15"/>
  <c r="AJ291" i="15"/>
  <c r="AJ359" i="15"/>
  <c r="V78" i="15"/>
  <c r="V295" i="15"/>
  <c r="AP289" i="15"/>
  <c r="BM80" i="15"/>
  <c r="AC192" i="15"/>
  <c r="AC338" i="15"/>
  <c r="AC250" i="15"/>
  <c r="AC202" i="15"/>
  <c r="AC195" i="15"/>
  <c r="AC256" i="15" s="1"/>
  <c r="AC196" i="15"/>
  <c r="AC257" i="15" s="1"/>
  <c r="C2079" i="17"/>
  <c r="AC193" i="15"/>
  <c r="AF219" i="15"/>
  <c r="AF222" i="15" s="1"/>
  <c r="AF286" i="15"/>
  <c r="Z46" i="15"/>
  <c r="Z277" i="15"/>
  <c r="Z47" i="15"/>
  <c r="Z49" i="15"/>
  <c r="BL46" i="15"/>
  <c r="AB448" i="15"/>
  <c r="BN437" i="15"/>
  <c r="AB437" i="15"/>
  <c r="AF437" i="15"/>
  <c r="AB390" i="15"/>
  <c r="AB389" i="15"/>
  <c r="E1402" i="17"/>
  <c r="F1407" i="17"/>
  <c r="H1402" i="17" s="1"/>
  <c r="K1387" i="17"/>
  <c r="C1412" i="17"/>
  <c r="E1404" i="17"/>
  <c r="AB40" i="15"/>
  <c r="AH302" i="15"/>
  <c r="AF359" i="15"/>
  <c r="AF369" i="15"/>
  <c r="F352" i="15"/>
  <c r="F260" i="15"/>
  <c r="U279" i="15"/>
  <c r="F1695" i="17"/>
  <c r="H1690" i="17" s="1"/>
  <c r="K1675" i="17"/>
  <c r="BO46" i="15"/>
  <c r="BO47" i="15"/>
  <c r="C1804" i="17"/>
  <c r="C1806" i="17"/>
  <c r="K299" i="15"/>
  <c r="K287" i="15"/>
  <c r="K291" i="15"/>
  <c r="K281" i="15"/>
  <c r="K293" i="15"/>
  <c r="K296" i="15"/>
  <c r="K361" i="15"/>
  <c r="K301" i="15"/>
  <c r="K317" i="15"/>
  <c r="K288" i="15"/>
  <c r="K303" i="15"/>
  <c r="K360" i="15"/>
  <c r="K297" i="15"/>
  <c r="K298" i="15"/>
  <c r="K290" i="15"/>
  <c r="K362" i="15"/>
  <c r="K275" i="15"/>
  <c r="N276" i="15" s="1"/>
  <c r="K285" i="15"/>
  <c r="K294" i="15"/>
  <c r="K292" i="15"/>
  <c r="K356" i="15"/>
  <c r="K286" i="15"/>
  <c r="K300" i="15"/>
  <c r="K277" i="15"/>
  <c r="K357" i="15"/>
  <c r="AB220" i="15"/>
  <c r="AB222" i="15" s="1"/>
  <c r="AB287" i="15"/>
  <c r="L1325" i="17"/>
  <c r="AB441" i="15"/>
  <c r="C1973" i="17"/>
  <c r="J302" i="15"/>
  <c r="J80" i="15"/>
  <c r="J81" i="15" s="1"/>
  <c r="J305" i="15" s="1"/>
  <c r="I362" i="15"/>
  <c r="Z235" i="15"/>
  <c r="AN276" i="15"/>
  <c r="AN282" i="15"/>
  <c r="AN283" i="15"/>
  <c r="AJ283" i="15"/>
  <c r="AJ282" i="15"/>
  <c r="AF225" i="15"/>
  <c r="AF292" i="15"/>
  <c r="C1433" i="17"/>
  <c r="D247" i="15"/>
  <c r="D314" i="15" s="1"/>
  <c r="D326" i="15" s="1"/>
  <c r="D198" i="15"/>
  <c r="D349" i="15"/>
  <c r="D368" i="15" s="1"/>
  <c r="D372" i="15" s="1"/>
  <c r="X32" i="15"/>
  <c r="X43" i="15"/>
  <c r="X45" i="15" s="1"/>
  <c r="AA89" i="15"/>
  <c r="X20" i="15"/>
  <c r="Z89" i="15"/>
  <c r="Y89" i="15"/>
  <c r="AP348" i="15"/>
  <c r="AP367" i="15" s="1"/>
  <c r="AP172" i="15"/>
  <c r="AP241" i="15"/>
  <c r="AP308" i="15" s="1"/>
  <c r="BT80" i="15"/>
  <c r="AG172" i="15"/>
  <c r="AG192" i="15"/>
  <c r="AG348" i="15"/>
  <c r="AG367" i="15" s="1"/>
  <c r="AG370" i="15" s="1"/>
  <c r="AG241" i="15"/>
  <c r="AG308" i="15" s="1"/>
  <c r="C1606" i="17"/>
  <c r="D1605" i="17"/>
  <c r="D1606" i="17" s="1"/>
  <c r="AP276" i="15"/>
  <c r="AB216" i="15"/>
  <c r="AB215" i="15"/>
  <c r="AF215" i="15"/>
  <c r="H78" i="15"/>
  <c r="H295" i="15"/>
  <c r="H97" i="15"/>
  <c r="H344" i="15" s="1"/>
  <c r="H363" i="15" s="1"/>
  <c r="AF65" i="15"/>
  <c r="AF70" i="15" s="1"/>
  <c r="AE39" i="15"/>
  <c r="AE290" i="15"/>
  <c r="AE223" i="15"/>
  <c r="AE228" i="15" s="1"/>
  <c r="D1690" i="17"/>
  <c r="D1692" i="17" s="1"/>
  <c r="D1488" i="17"/>
  <c r="W188" i="15"/>
  <c r="W244" i="15"/>
  <c r="W311" i="15" s="1"/>
  <c r="AB229" i="15"/>
  <c r="AB296" i="15"/>
  <c r="C1809" i="17"/>
  <c r="AE45" i="15"/>
  <c r="D1473" i="17"/>
  <c r="D1475" i="17" s="1"/>
  <c r="C1475" i="17"/>
  <c r="C1831" i="17"/>
  <c r="D1830" i="17"/>
  <c r="D1831" i="17" s="1"/>
  <c r="AA233" i="15"/>
  <c r="BQ233" i="15" s="1"/>
  <c r="AA300" i="15"/>
  <c r="AB76" i="15"/>
  <c r="Z254" i="15"/>
  <c r="Z350" i="15"/>
  <c r="BK36" i="15"/>
  <c r="BK37" i="15"/>
  <c r="BK22" i="15"/>
  <c r="BK24" i="15" s="1"/>
  <c r="AG196" i="15"/>
  <c r="AG257" i="15" s="1"/>
  <c r="AG245" i="15"/>
  <c r="AG312" i="15" s="1"/>
  <c r="AG187" i="15"/>
  <c r="AG179" i="15"/>
  <c r="C1580" i="17"/>
  <c r="C1582" i="17"/>
  <c r="E1578" i="17"/>
  <c r="BQ219" i="15"/>
  <c r="BQ61" i="15"/>
  <c r="BQ87" i="15" s="1"/>
  <c r="AB285" i="15"/>
  <c r="AB64" i="15"/>
  <c r="AB70" i="15" s="1"/>
  <c r="H37" i="15"/>
  <c r="H36" i="15"/>
  <c r="H22" i="15"/>
  <c r="H24" i="15" s="1"/>
  <c r="H95" i="15" s="1"/>
  <c r="I295" i="15"/>
  <c r="I363" i="15"/>
  <c r="AF298" i="15"/>
  <c r="AF231" i="15"/>
  <c r="G1783" i="17"/>
  <c r="G1802" i="17" s="1"/>
  <c r="G1804" i="17" s="1"/>
  <c r="F1802" i="17"/>
  <c r="AK282" i="15"/>
  <c r="AO282" i="15"/>
  <c r="AK283" i="15"/>
  <c r="J295" i="15"/>
  <c r="I262" i="15"/>
  <c r="AM283" i="15"/>
  <c r="AM282" i="15"/>
  <c r="Z289" i="15"/>
  <c r="AF289" i="15"/>
  <c r="K1328" i="17"/>
  <c r="M1323" i="17" s="1"/>
  <c r="F1349" i="17"/>
  <c r="E1344" i="17"/>
  <c r="AB225" i="15"/>
  <c r="AB292" i="15"/>
  <c r="BK49" i="15"/>
  <c r="BK47" i="15"/>
  <c r="AG46" i="15"/>
  <c r="BQ234" i="15"/>
  <c r="D1578" i="17"/>
  <c r="D1580" i="17" s="1"/>
  <c r="AF263" i="15"/>
  <c r="K198" i="15"/>
  <c r="K247" i="15"/>
  <c r="K314" i="15" s="1"/>
  <c r="K326" i="15" s="1"/>
  <c r="K349" i="15"/>
  <c r="K368" i="15" s="1"/>
  <c r="E1634" i="17"/>
  <c r="C1913" i="17"/>
  <c r="C1915" i="17"/>
  <c r="E1911" i="17"/>
  <c r="AG90" i="15"/>
  <c r="AB400" i="15"/>
  <c r="AB399" i="15"/>
  <c r="AJ220" i="15"/>
  <c r="AJ287" i="15"/>
  <c r="C1918" i="17"/>
  <c r="E289" i="15"/>
  <c r="E70" i="15"/>
  <c r="K289" i="15"/>
  <c r="AD46" i="15"/>
  <c r="AD47" i="15"/>
  <c r="AD277" i="15"/>
  <c r="AD49" i="15"/>
  <c r="AG254" i="15"/>
  <c r="AG350" i="15"/>
  <c r="AK22" i="15"/>
  <c r="AK24" i="15" s="1"/>
  <c r="AK36" i="15"/>
  <c r="AK37" i="15"/>
  <c r="Y289" i="15"/>
  <c r="F1578" i="17"/>
  <c r="G1557" i="17"/>
  <c r="G1578" i="17" s="1"/>
  <c r="G1580" i="17" s="1"/>
  <c r="C1594" i="17"/>
  <c r="D1592" i="17"/>
  <c r="D1594" i="17" s="1"/>
  <c r="E1461" i="17"/>
  <c r="C1468" i="17"/>
  <c r="C1469" i="17" s="1"/>
  <c r="AB282" i="15"/>
  <c r="AB283" i="15"/>
  <c r="AB250" i="15"/>
  <c r="AB338" i="15"/>
  <c r="AB196" i="15"/>
  <c r="AB257" i="15" s="1"/>
  <c r="AB193" i="15"/>
  <c r="AB192" i="15"/>
  <c r="AB202" i="15"/>
  <c r="AE250" i="15"/>
  <c r="C1969" i="17"/>
  <c r="AE338" i="15"/>
  <c r="AE193" i="15"/>
  <c r="AE192" i="15"/>
  <c r="AE202" i="15"/>
  <c r="AE195" i="15"/>
  <c r="AE256" i="15" s="1"/>
  <c r="AE196" i="15"/>
  <c r="AE257" i="15" s="1"/>
  <c r="H277" i="15"/>
  <c r="H47" i="15"/>
  <c r="H90" i="15"/>
  <c r="H46" i="15"/>
  <c r="H49" i="15"/>
  <c r="J46" i="15"/>
  <c r="I46" i="15"/>
  <c r="BN399" i="15"/>
  <c r="I80" i="15"/>
  <c r="I81" i="15" s="1"/>
  <c r="I305" i="15" s="1"/>
  <c r="I302" i="15"/>
  <c r="K1444" i="17"/>
  <c r="M1439" i="17" s="1"/>
  <c r="F1464" i="17"/>
  <c r="H1459" i="17" s="1"/>
  <c r="AA442" i="15"/>
  <c r="BM442" i="15"/>
  <c r="AE442" i="15"/>
  <c r="AA443" i="15"/>
  <c r="K358" i="15"/>
  <c r="C1706" i="17"/>
  <c r="D1704" i="17"/>
  <c r="D1706" i="17" s="1"/>
  <c r="X301" i="15"/>
  <c r="X234" i="15"/>
  <c r="W289" i="15"/>
  <c r="F1966" i="17"/>
  <c r="AL282" i="15"/>
  <c r="AL283" i="15"/>
  <c r="AP282" i="15"/>
  <c r="Y195" i="15"/>
  <c r="Y256" i="15" s="1"/>
  <c r="Y244" i="15"/>
  <c r="Y311" i="15" s="1"/>
  <c r="Y188" i="15"/>
  <c r="Y204" i="15"/>
  <c r="AF389" i="15"/>
  <c r="C1699" i="17"/>
  <c r="C1700" i="17" s="1"/>
  <c r="E1692" i="17"/>
  <c r="C2029" i="17"/>
  <c r="AN293" i="15"/>
  <c r="AN226" i="15"/>
  <c r="AJ43" i="15"/>
  <c r="AJ45" i="15" s="1"/>
  <c r="AJ20" i="15"/>
  <c r="AJ32" i="15"/>
  <c r="AJ89" i="15"/>
  <c r="AK89" i="15"/>
  <c r="AA289" i="15"/>
  <c r="AO276" i="15"/>
  <c r="AK276" i="15"/>
  <c r="BQ67" i="15"/>
  <c r="BQ225" i="15"/>
  <c r="AK85" i="15" l="1"/>
  <c r="AK304" i="15"/>
  <c r="AK81" i="15"/>
  <c r="AK305" i="15" s="1"/>
  <c r="BU80" i="15"/>
  <c r="X70" i="15"/>
  <c r="Z97" i="15" s="1"/>
  <c r="Z344" i="15" s="1"/>
  <c r="Z363" i="15" s="1"/>
  <c r="AP330" i="15"/>
  <c r="AF320" i="15"/>
  <c r="AI324" i="15"/>
  <c r="AJ321" i="15"/>
  <c r="AI320" i="15"/>
  <c r="AF324" i="15"/>
  <c r="Y321" i="15"/>
  <c r="AG324" i="15"/>
  <c r="X323" i="15"/>
  <c r="Z324" i="15"/>
  <c r="AQ330" i="15"/>
  <c r="AH321" i="15"/>
  <c r="J351" i="15"/>
  <c r="AH324" i="15"/>
  <c r="AG320" i="15"/>
  <c r="X324" i="15"/>
  <c r="AH323" i="15"/>
  <c r="X320" i="15"/>
  <c r="AO330" i="15"/>
  <c r="AN330" i="15"/>
  <c r="AM330" i="15"/>
  <c r="J321" i="15"/>
  <c r="J329" i="15"/>
  <c r="J330" i="15"/>
  <c r="Y330" i="15"/>
  <c r="Y329" i="15"/>
  <c r="AH330" i="15"/>
  <c r="X329" i="15"/>
  <c r="X330" i="15"/>
  <c r="I321" i="15"/>
  <c r="I329" i="15"/>
  <c r="I330" i="15"/>
  <c r="L320" i="15"/>
  <c r="L330" i="15"/>
  <c r="L329" i="15"/>
  <c r="AG330" i="15"/>
  <c r="Z330" i="15"/>
  <c r="Z329" i="15"/>
  <c r="AL330" i="15"/>
  <c r="AE317" i="15"/>
  <c r="AC317" i="15"/>
  <c r="AD317" i="15"/>
  <c r="AD323" i="15" s="1"/>
  <c r="AB317" i="15"/>
  <c r="AB320" i="15" s="1"/>
  <c r="K330" i="15"/>
  <c r="K329" i="15"/>
  <c r="AF330" i="15"/>
  <c r="AJ330" i="15"/>
  <c r="AI330" i="15"/>
  <c r="AI321" i="15"/>
  <c r="AA329" i="15"/>
  <c r="J244" i="15"/>
  <c r="J311" i="15" s="1"/>
  <c r="J323" i="15" s="1"/>
  <c r="AC80" i="15"/>
  <c r="AC304" i="15" s="1"/>
  <c r="J204" i="15"/>
  <c r="J178" i="15"/>
  <c r="J188" i="15"/>
  <c r="D237" i="15"/>
  <c r="D238" i="15" s="1"/>
  <c r="D304" i="15"/>
  <c r="D81" i="15"/>
  <c r="D305" i="15" s="1"/>
  <c r="I244" i="15"/>
  <c r="I311" i="15" s="1"/>
  <c r="I323" i="15" s="1"/>
  <c r="I178" i="15"/>
  <c r="I198" i="15" s="1"/>
  <c r="I188" i="15"/>
  <c r="I204" i="15"/>
  <c r="C1585" i="17"/>
  <c r="AL248" i="15"/>
  <c r="AL315" i="15" s="1"/>
  <c r="AL327" i="15" s="1"/>
  <c r="AG202" i="15"/>
  <c r="AG263" i="15" s="1"/>
  <c r="AL199" i="15"/>
  <c r="AL352" i="15" s="1"/>
  <c r="AG251" i="15"/>
  <c r="AG318" i="15" s="1"/>
  <c r="C1864" i="17"/>
  <c r="C1869" i="17" s="1"/>
  <c r="C302" i="15"/>
  <c r="AA321" i="15"/>
  <c r="AF176" i="15"/>
  <c r="AF179" i="15" s="1"/>
  <c r="AF347" i="15" s="1"/>
  <c r="AF366" i="15" s="1"/>
  <c r="I351" i="15"/>
  <c r="Z320" i="15"/>
  <c r="L278" i="15"/>
  <c r="Z321" i="15"/>
  <c r="AA323" i="15"/>
  <c r="C278" i="15"/>
  <c r="D278" i="15"/>
  <c r="AA324" i="15"/>
  <c r="AA340" i="15"/>
  <c r="BU47" i="15"/>
  <c r="BZ46" i="15"/>
  <c r="K347" i="15"/>
  <c r="K366" i="15" s="1"/>
  <c r="K371" i="15" s="1"/>
  <c r="J248" i="15"/>
  <c r="J315" i="15" s="1"/>
  <c r="J327" i="15" s="1"/>
  <c r="J347" i="15"/>
  <c r="J366" i="15" s="1"/>
  <c r="J371" i="15" s="1"/>
  <c r="BQ214" i="15"/>
  <c r="BQ215" i="15" s="1"/>
  <c r="BN53" i="15"/>
  <c r="BN54" i="15" s="1"/>
  <c r="AD295" i="15"/>
  <c r="AN347" i="15"/>
  <c r="AN366" i="15" s="1"/>
  <c r="AN371" i="15" s="1"/>
  <c r="AO302" i="15"/>
  <c r="I248" i="15"/>
  <c r="I315" i="15" s="1"/>
  <c r="I327" i="15" s="1"/>
  <c r="I199" i="15"/>
  <c r="I352" i="15" s="1"/>
  <c r="AN172" i="15"/>
  <c r="AN188" i="15" s="1"/>
  <c r="AM201" i="15"/>
  <c r="AM262" i="15" s="1"/>
  <c r="AB201" i="15"/>
  <c r="AN348" i="15"/>
  <c r="AN367" i="15" s="1"/>
  <c r="AL262" i="15"/>
  <c r="Y350" i="15"/>
  <c r="Z340" i="15"/>
  <c r="L279" i="15"/>
  <c r="AN36" i="15"/>
  <c r="AN248" i="15"/>
  <c r="AN315" i="15" s="1"/>
  <c r="AN327" i="15" s="1"/>
  <c r="AN22" i="15"/>
  <c r="AN24" i="15" s="1"/>
  <c r="AQ95" i="15" s="1"/>
  <c r="M278" i="15"/>
  <c r="M276" i="15"/>
  <c r="Z323" i="15"/>
  <c r="BN22" i="15"/>
  <c r="BN24" i="15" s="1"/>
  <c r="Y323" i="15"/>
  <c r="Y320" i="15"/>
  <c r="BQ443" i="15"/>
  <c r="BQ91" i="15"/>
  <c r="BQ202" i="15" s="1"/>
  <c r="Y324" i="15"/>
  <c r="X248" i="15"/>
  <c r="X315" i="15" s="1"/>
  <c r="X327" i="15" s="1"/>
  <c r="X347" i="15"/>
  <c r="X366" i="15" s="1"/>
  <c r="X371" i="15" s="1"/>
  <c r="C989" i="17"/>
  <c r="AL178" i="15"/>
  <c r="AL349" i="15" s="1"/>
  <c r="AL368" i="15" s="1"/>
  <c r="AL372" i="15" s="1"/>
  <c r="AI78" i="15"/>
  <c r="AI302" i="15" s="1"/>
  <c r="L321" i="15"/>
  <c r="L326" i="15"/>
  <c r="G279" i="15"/>
  <c r="AL90" i="15"/>
  <c r="AA350" i="15"/>
  <c r="AL204" i="15"/>
  <c r="AL244" i="15"/>
  <c r="AL311" i="15" s="1"/>
  <c r="AF55" i="15"/>
  <c r="AF54" i="15"/>
  <c r="BR55" i="15" s="1"/>
  <c r="C1466" i="17"/>
  <c r="AB20" i="15"/>
  <c r="AB22" i="15" s="1"/>
  <c r="AB24" i="15" s="1"/>
  <c r="AP46" i="15"/>
  <c r="BU46" i="15"/>
  <c r="L283" i="15"/>
  <c r="AK47" i="15"/>
  <c r="L276" i="15"/>
  <c r="L359" i="15"/>
  <c r="AJ202" i="15"/>
  <c r="L323" i="15"/>
  <c r="L324" i="15"/>
  <c r="AV96" i="15"/>
  <c r="AV223" i="15"/>
  <c r="AV290" i="15"/>
  <c r="AV39" i="15"/>
  <c r="L370" i="15"/>
  <c r="AV337" i="15"/>
  <c r="AV107" i="15"/>
  <c r="AV11" i="15"/>
  <c r="AV16" i="15"/>
  <c r="AV400" i="15"/>
  <c r="AV408" i="15" s="1"/>
  <c r="AO46" i="15"/>
  <c r="BN37" i="15"/>
  <c r="AS202" i="15"/>
  <c r="AK46" i="15"/>
  <c r="N282" i="15"/>
  <c r="AK277" i="15"/>
  <c r="AK278" i="15" s="1"/>
  <c r="L282" i="15"/>
  <c r="AF253" i="15"/>
  <c r="Y351" i="15"/>
  <c r="AI201" i="15"/>
  <c r="AP47" i="15"/>
  <c r="AK202" i="15"/>
  <c r="AK263" i="15" s="1"/>
  <c r="AS201" i="15"/>
  <c r="AU342" i="15"/>
  <c r="AU361" i="15" s="1"/>
  <c r="AU202" i="15"/>
  <c r="AU343" i="15"/>
  <c r="AU362" i="15" s="1"/>
  <c r="AU201" i="15"/>
  <c r="E1346" i="17"/>
  <c r="AK188" i="15"/>
  <c r="AK244" i="15"/>
  <c r="AK311" i="15" s="1"/>
  <c r="AK178" i="15"/>
  <c r="AL46" i="15"/>
  <c r="F1346" i="17"/>
  <c r="H1346" i="17" s="1"/>
  <c r="Z341" i="15"/>
  <c r="Z360" i="15" s="1"/>
  <c r="Z176" i="15"/>
  <c r="Z178" i="15" s="1"/>
  <c r="AA93" i="15"/>
  <c r="Z253" i="15"/>
  <c r="L372" i="15"/>
  <c r="AA253" i="15"/>
  <c r="AD201" i="15"/>
  <c r="AT343" i="15"/>
  <c r="AT362" i="15" s="1"/>
  <c r="AT201" i="15"/>
  <c r="AE201" i="15"/>
  <c r="AE262" i="15" s="1"/>
  <c r="AT342" i="15"/>
  <c r="AT361" i="15" s="1"/>
  <c r="AT202" i="15"/>
  <c r="Y93" i="15"/>
  <c r="X54" i="15"/>
  <c r="Y92" i="15" s="1"/>
  <c r="X55" i="15"/>
  <c r="K248" i="15"/>
  <c r="K315" i="15" s="1"/>
  <c r="K327" i="15" s="1"/>
  <c r="AO342" i="15"/>
  <c r="AO361" i="15" s="1"/>
  <c r="AO202" i="15"/>
  <c r="AN342" i="15"/>
  <c r="AN361" i="15" s="1"/>
  <c r="AN202" i="15"/>
  <c r="BV45" i="15"/>
  <c r="AP342" i="15"/>
  <c r="AP361" i="15" s="1"/>
  <c r="AP202" i="15"/>
  <c r="AQ46" i="15"/>
  <c r="AQ277" i="15"/>
  <c r="AU278" i="15" s="1"/>
  <c r="AQ47" i="15"/>
  <c r="AQ343" i="15"/>
  <c r="AQ362" i="15" s="1"/>
  <c r="AQ201" i="15"/>
  <c r="AQ295" i="15"/>
  <c r="AQ78" i="15"/>
  <c r="AQ263" i="15"/>
  <c r="E1636" i="17"/>
  <c r="AC89" i="15"/>
  <c r="X222" i="15"/>
  <c r="X228" i="15" s="1"/>
  <c r="X235" i="15" s="1"/>
  <c r="X289" i="15"/>
  <c r="X253" i="15"/>
  <c r="AL295" i="15"/>
  <c r="AL97" i="15"/>
  <c r="AL344" i="15" s="1"/>
  <c r="AL363" i="15" s="1"/>
  <c r="AC201" i="15"/>
  <c r="AL80" i="15"/>
  <c r="F1636" i="17"/>
  <c r="H1636" i="17" s="1"/>
  <c r="H1634" i="17"/>
  <c r="AB43" i="15"/>
  <c r="AB45" i="15" s="1"/>
  <c r="AD90" i="15" s="1"/>
  <c r="AB32" i="15"/>
  <c r="AD89" i="15"/>
  <c r="X292" i="15"/>
  <c r="AE89" i="15"/>
  <c r="G1461" i="17"/>
  <c r="BU81" i="15"/>
  <c r="AJ179" i="15"/>
  <c r="AJ187" i="15"/>
  <c r="AJ196" i="15"/>
  <c r="AJ257" i="15" s="1"/>
  <c r="AJ245" i="15"/>
  <c r="AJ312" i="15" s="1"/>
  <c r="AJ324" i="15" s="1"/>
  <c r="BM55" i="15"/>
  <c r="AJ192" i="15"/>
  <c r="AJ241" i="15"/>
  <c r="AJ308" i="15" s="1"/>
  <c r="AJ320" i="15" s="1"/>
  <c r="AJ348" i="15"/>
  <c r="AJ367" i="15" s="1"/>
  <c r="AJ370" i="15" s="1"/>
  <c r="AJ172" i="15"/>
  <c r="AJ350" i="15"/>
  <c r="AJ254" i="15"/>
  <c r="AN44" i="15"/>
  <c r="AN45" i="15" s="1"/>
  <c r="AF36" i="15"/>
  <c r="AF37" i="15"/>
  <c r="AF22" i="15"/>
  <c r="AF24" i="15" s="1"/>
  <c r="AF95" i="15" s="1"/>
  <c r="C2030" i="17"/>
  <c r="C1641" i="17"/>
  <c r="AK199" i="15"/>
  <c r="AK248" i="15"/>
  <c r="AK315" i="15" s="1"/>
  <c r="AK327" i="15" s="1"/>
  <c r="AK347" i="15"/>
  <c r="AK366" i="15" s="1"/>
  <c r="AK371" i="15" s="1"/>
  <c r="AI49" i="15"/>
  <c r="AI90" i="15"/>
  <c r="AI46" i="15"/>
  <c r="AI47" i="15"/>
  <c r="AI277" i="15"/>
  <c r="AI279" i="15" s="1"/>
  <c r="K276" i="15"/>
  <c r="BQ90" i="15"/>
  <c r="I324" i="15"/>
  <c r="AA49" i="15"/>
  <c r="AA46" i="15"/>
  <c r="AA47" i="15"/>
  <c r="BR45" i="15"/>
  <c r="BR47" i="15" s="1"/>
  <c r="AB408" i="15"/>
  <c r="I371" i="15"/>
  <c r="AE235" i="15"/>
  <c r="BQ92" i="15"/>
  <c r="BN47" i="15"/>
  <c r="AM228" i="15"/>
  <c r="AM235" i="15" s="1"/>
  <c r="C198" i="15"/>
  <c r="C349" i="15"/>
  <c r="C368" i="15" s="1"/>
  <c r="C372" i="15" s="1"/>
  <c r="C247" i="15"/>
  <c r="C314" i="15" s="1"/>
  <c r="C326" i="15" s="1"/>
  <c r="Y37" i="15"/>
  <c r="Y36" i="15"/>
  <c r="Y22" i="15"/>
  <c r="Y277" i="15"/>
  <c r="Y47" i="15"/>
  <c r="Y49" i="15"/>
  <c r="Y46" i="15"/>
  <c r="AC46" i="15"/>
  <c r="AI228" i="15"/>
  <c r="AI235" i="15" s="1"/>
  <c r="AG95" i="15"/>
  <c r="H253" i="15"/>
  <c r="H351" i="15"/>
  <c r="AJ219" i="15"/>
  <c r="AJ222" i="15" s="1"/>
  <c r="AJ286" i="15"/>
  <c r="H244" i="15"/>
  <c r="H311" i="15" s="1"/>
  <c r="H323" i="15" s="1"/>
  <c r="H188" i="15"/>
  <c r="H204" i="15"/>
  <c r="H195" i="15"/>
  <c r="H256" i="15" s="1"/>
  <c r="H178" i="15"/>
  <c r="F78" i="15"/>
  <c r="F295" i="15"/>
  <c r="F97" i="15"/>
  <c r="F344" i="15" s="1"/>
  <c r="F363" i="15" s="1"/>
  <c r="M1616" i="17"/>
  <c r="Y342" i="15"/>
  <c r="Y361" i="15" s="1"/>
  <c r="Y202" i="15"/>
  <c r="Y201" i="15"/>
  <c r="AJ64" i="15"/>
  <c r="Z342" i="15"/>
  <c r="Z361" i="15" s="1"/>
  <c r="Z202" i="15"/>
  <c r="Z201" i="15"/>
  <c r="BM46" i="15"/>
  <c r="H199" i="15"/>
  <c r="H347" i="15"/>
  <c r="H366" i="15" s="1"/>
  <c r="H371" i="15" s="1"/>
  <c r="H248" i="15"/>
  <c r="H315" i="15" s="1"/>
  <c r="H327" i="15" s="1"/>
  <c r="AB188" i="15"/>
  <c r="AB244" i="15"/>
  <c r="AB311" i="15" s="1"/>
  <c r="AB204" i="15"/>
  <c r="AO85" i="15"/>
  <c r="AO237" i="15"/>
  <c r="AO238" i="15" s="1"/>
  <c r="AO304" i="15"/>
  <c r="AH247" i="15"/>
  <c r="AH314" i="15" s="1"/>
  <c r="AH349" i="15"/>
  <c r="AH368" i="15" s="1"/>
  <c r="AA342" i="15"/>
  <c r="AA361" i="15" s="1"/>
  <c r="AA201" i="15"/>
  <c r="AA202" i="15"/>
  <c r="AO81" i="15"/>
  <c r="AO305" i="15" s="1"/>
  <c r="AB195" i="15"/>
  <c r="AB256" i="15" s="1"/>
  <c r="D260" i="15"/>
  <c r="D352" i="15"/>
  <c r="AM347" i="15"/>
  <c r="AM366" i="15" s="1"/>
  <c r="AM371" i="15" s="1"/>
  <c r="AM199" i="15"/>
  <c r="AM248" i="15"/>
  <c r="AM315" i="15" s="1"/>
  <c r="AM327" i="15" s="1"/>
  <c r="C1523" i="17"/>
  <c r="AM289" i="15"/>
  <c r="AM97" i="15"/>
  <c r="AM344" i="15" s="1"/>
  <c r="AM363" i="15" s="1"/>
  <c r="AI95" i="15"/>
  <c r="AN219" i="15"/>
  <c r="AN222" i="15" s="1"/>
  <c r="AN286" i="15"/>
  <c r="AN64" i="15"/>
  <c r="AN70" i="15" s="1"/>
  <c r="AB228" i="15"/>
  <c r="AN96" i="15"/>
  <c r="AN39" i="15"/>
  <c r="AO96" i="15"/>
  <c r="AP96" i="15"/>
  <c r="AN290" i="15"/>
  <c r="AQ329" i="15" s="1"/>
  <c r="AN223" i="15"/>
  <c r="AO199" i="15"/>
  <c r="AO347" i="15"/>
  <c r="AO366" i="15" s="1"/>
  <c r="AO371" i="15" s="1"/>
  <c r="AO248" i="15"/>
  <c r="AO315" i="15" s="1"/>
  <c r="AO327" i="15" s="1"/>
  <c r="C1409" i="17"/>
  <c r="H1404" i="17"/>
  <c r="G347" i="15"/>
  <c r="G366" i="15" s="1"/>
  <c r="G371" i="15" s="1"/>
  <c r="G248" i="15"/>
  <c r="G315" i="15" s="1"/>
  <c r="G327" i="15" s="1"/>
  <c r="G199" i="15"/>
  <c r="AG80" i="15"/>
  <c r="AG81" i="15" s="1"/>
  <c r="AG305" i="15" s="1"/>
  <c r="AG302" i="15"/>
  <c r="BM47" i="15"/>
  <c r="BM49" i="15"/>
  <c r="E349" i="15"/>
  <c r="E368" i="15" s="1"/>
  <c r="E372" i="15" s="1"/>
  <c r="E198" i="15"/>
  <c r="E247" i="15"/>
  <c r="E314" i="15" s="1"/>
  <c r="E326" i="15" s="1"/>
  <c r="K260" i="15"/>
  <c r="K352" i="15"/>
  <c r="AI188" i="15"/>
  <c r="AI204" i="15"/>
  <c r="AI244" i="15"/>
  <c r="AI311" i="15" s="1"/>
  <c r="AI323" i="15" s="1"/>
  <c r="AI178" i="15"/>
  <c r="AI198" i="15" s="1"/>
  <c r="AI195" i="15"/>
  <c r="AI256" i="15" s="1"/>
  <c r="E260" i="15"/>
  <c r="E352" i="15"/>
  <c r="AL47" i="15"/>
  <c r="AL277" i="15"/>
  <c r="AJ201" i="15"/>
  <c r="AJ343" i="15"/>
  <c r="AJ362" i="15" s="1"/>
  <c r="AI351" i="15"/>
  <c r="AI253" i="15"/>
  <c r="G253" i="15"/>
  <c r="G351" i="15"/>
  <c r="X247" i="15"/>
  <c r="X314" i="15" s="1"/>
  <c r="X326" i="15" s="1"/>
  <c r="X198" i="15"/>
  <c r="X349" i="15"/>
  <c r="X368" i="15" s="1"/>
  <c r="X372" i="15" s="1"/>
  <c r="AG279" i="15"/>
  <c r="AG278" i="15"/>
  <c r="AF233" i="15"/>
  <c r="AF300" i="15"/>
  <c r="X260" i="15"/>
  <c r="X352" i="15"/>
  <c r="I320" i="15"/>
  <c r="M1325" i="17"/>
  <c r="BQ222" i="15"/>
  <c r="BQ228" i="15" s="1"/>
  <c r="BQ235" i="15" s="1"/>
  <c r="AJ39" i="15"/>
  <c r="AJ223" i="15"/>
  <c r="AJ290" i="15"/>
  <c r="AK329" i="15" s="1"/>
  <c r="AK96" i="15"/>
  <c r="AB55" i="15"/>
  <c r="AE93" i="15"/>
  <c r="AB54" i="15"/>
  <c r="AC93" i="15"/>
  <c r="AM349" i="15"/>
  <c r="AM368" i="15" s="1"/>
  <c r="AM372" i="15" s="1"/>
  <c r="AM247" i="15"/>
  <c r="AM314" i="15" s="1"/>
  <c r="AM326" i="15" s="1"/>
  <c r="AM198" i="15"/>
  <c r="U302" i="15"/>
  <c r="U80" i="15"/>
  <c r="U81" i="15" s="1"/>
  <c r="U305" i="15" s="1"/>
  <c r="AM45" i="15"/>
  <c r="AM40" i="15"/>
  <c r="F198" i="15"/>
  <c r="F349" i="15"/>
  <c r="F368" i="15" s="1"/>
  <c r="F372" i="15" s="1"/>
  <c r="F247" i="15"/>
  <c r="F314" i="15" s="1"/>
  <c r="F326" i="15" s="1"/>
  <c r="AD341" i="15"/>
  <c r="AD360" i="15" s="1"/>
  <c r="AD176" i="15"/>
  <c r="AB93" i="15"/>
  <c r="AN225" i="15"/>
  <c r="AN292" i="15"/>
  <c r="G195" i="15"/>
  <c r="G256" i="15" s="1"/>
  <c r="G244" i="15"/>
  <c r="G311" i="15" s="1"/>
  <c r="G323" i="15" s="1"/>
  <c r="G188" i="15"/>
  <c r="G178" i="15"/>
  <c r="G204" i="15"/>
  <c r="J320" i="15"/>
  <c r="C1807" i="17"/>
  <c r="E1804" i="17" s="1"/>
  <c r="AH251" i="15"/>
  <c r="AH318" i="15" s="1"/>
  <c r="AH339" i="15"/>
  <c r="AH358" i="15" s="1"/>
  <c r="AH199" i="15"/>
  <c r="AH202" i="15"/>
  <c r="AH198" i="15"/>
  <c r="AI347" i="15"/>
  <c r="AI366" i="15" s="1"/>
  <c r="AI248" i="15"/>
  <c r="AI315" i="15" s="1"/>
  <c r="C1753" i="17"/>
  <c r="AO188" i="15"/>
  <c r="AO204" i="15"/>
  <c r="AO244" i="15"/>
  <c r="AO311" i="15" s="1"/>
  <c r="AO178" i="15"/>
  <c r="AJ22" i="15"/>
  <c r="AJ24" i="15" s="1"/>
  <c r="AJ37" i="15"/>
  <c r="AJ36" i="15"/>
  <c r="K1951" i="17"/>
  <c r="F1969" i="17"/>
  <c r="H1964" i="17" s="1"/>
  <c r="E1964" i="17"/>
  <c r="AD278" i="15"/>
  <c r="AD279" i="15"/>
  <c r="AH278" i="15"/>
  <c r="K372" i="15"/>
  <c r="AA369" i="15"/>
  <c r="AA359" i="15"/>
  <c r="AA370" i="15"/>
  <c r="K359" i="15"/>
  <c r="K369" i="15"/>
  <c r="K370" i="15"/>
  <c r="K324" i="15"/>
  <c r="K321" i="15"/>
  <c r="K320" i="15"/>
  <c r="AI251" i="15"/>
  <c r="AI318" i="15" s="1"/>
  <c r="AI339" i="15"/>
  <c r="AI358" i="15" s="1"/>
  <c r="AI199" i="15"/>
  <c r="AI202" i="15"/>
  <c r="C1751" i="17"/>
  <c r="I279" i="15"/>
  <c r="I278" i="15"/>
  <c r="Y359" i="15"/>
  <c r="Y369" i="15"/>
  <c r="AJ47" i="15"/>
  <c r="AJ46" i="15"/>
  <c r="AJ49" i="15"/>
  <c r="AJ277" i="15"/>
  <c r="H279" i="15"/>
  <c r="H278" i="15"/>
  <c r="AB254" i="15"/>
  <c r="AB350" i="15"/>
  <c r="E295" i="15"/>
  <c r="E97" i="15"/>
  <c r="E78" i="15"/>
  <c r="AF295" i="15"/>
  <c r="AF78" i="15"/>
  <c r="AE277" i="15"/>
  <c r="AE49" i="15"/>
  <c r="AE47" i="15"/>
  <c r="AE46" i="15"/>
  <c r="BP46" i="15"/>
  <c r="X46" i="15"/>
  <c r="AA90" i="15"/>
  <c r="X47" i="15"/>
  <c r="Z90" i="15"/>
  <c r="X49" i="15"/>
  <c r="X277" i="15"/>
  <c r="BQ46" i="15"/>
  <c r="Y90" i="15"/>
  <c r="C1974" i="17"/>
  <c r="M1672" i="17"/>
  <c r="M1670" i="17"/>
  <c r="AC253" i="15"/>
  <c r="AC351" i="15"/>
  <c r="AD340" i="15"/>
  <c r="AD357" i="15"/>
  <c r="C304" i="15"/>
  <c r="C237" i="15"/>
  <c r="C238" i="15" s="1"/>
  <c r="C85" i="15"/>
  <c r="I359" i="15"/>
  <c r="I369" i="15"/>
  <c r="AA295" i="15"/>
  <c r="AA78" i="15"/>
  <c r="AE253" i="15"/>
  <c r="AE351" i="15"/>
  <c r="H1578" i="17"/>
  <c r="F1580" i="17"/>
  <c r="H1580" i="17" s="1"/>
  <c r="H1344" i="17"/>
  <c r="BQ64" i="15"/>
  <c r="M1441" i="17"/>
  <c r="H80" i="15"/>
  <c r="H81" i="15" s="1"/>
  <c r="H305" i="15" s="1"/>
  <c r="H302" i="15"/>
  <c r="AP244" i="15"/>
  <c r="AP311" i="15" s="1"/>
  <c r="AP178" i="15"/>
  <c r="AP204" i="15"/>
  <c r="AP188" i="15"/>
  <c r="AK90" i="15"/>
  <c r="E1966" i="17"/>
  <c r="K279" i="15"/>
  <c r="K278" i="15"/>
  <c r="K283" i="15"/>
  <c r="K282" i="15"/>
  <c r="AA235" i="15"/>
  <c r="AC254" i="15"/>
  <c r="AC350" i="15"/>
  <c r="AC263" i="15"/>
  <c r="I370" i="15"/>
  <c r="J260" i="15"/>
  <c r="J352" i="15"/>
  <c r="AD302" i="15"/>
  <c r="G78" i="15"/>
  <c r="G295" i="15"/>
  <c r="G97" i="15"/>
  <c r="G344" i="15" s="1"/>
  <c r="G363" i="15" s="1"/>
  <c r="AG97" i="15"/>
  <c r="AG344" i="15" s="1"/>
  <c r="AG363" i="15" s="1"/>
  <c r="AH97" i="15"/>
  <c r="AH344" i="15" s="1"/>
  <c r="AH363" i="15" s="1"/>
  <c r="E2025" i="17"/>
  <c r="D2020" i="17"/>
  <c r="AD263" i="15"/>
  <c r="AP347" i="15"/>
  <c r="AP366" i="15" s="1"/>
  <c r="AP371" i="15" s="1"/>
  <c r="AP248" i="15"/>
  <c r="AP315" i="15" s="1"/>
  <c r="AP327" i="15" s="1"/>
  <c r="AP199" i="15"/>
  <c r="K302" i="15"/>
  <c r="K80" i="15"/>
  <c r="BV80" i="15" s="1"/>
  <c r="J276" i="15"/>
  <c r="J283" i="15"/>
  <c r="J282" i="15"/>
  <c r="I282" i="15"/>
  <c r="I283" i="15"/>
  <c r="AN260" i="15"/>
  <c r="AN352" i="15"/>
  <c r="D2022" i="17"/>
  <c r="W78" i="15"/>
  <c r="W295" i="15"/>
  <c r="I85" i="15"/>
  <c r="I237" i="15"/>
  <c r="I238" i="15" s="1"/>
  <c r="I304" i="15"/>
  <c r="AE350" i="15"/>
  <c r="AE254" i="15"/>
  <c r="AB263" i="15"/>
  <c r="AB357" i="15"/>
  <c r="AB340" i="15"/>
  <c r="AF90" i="15"/>
  <c r="AP279" i="15"/>
  <c r="C1920" i="17"/>
  <c r="C1921" i="17" s="1"/>
  <c r="E1913" i="17"/>
  <c r="K259" i="15"/>
  <c r="K353" i="15"/>
  <c r="H1461" i="17"/>
  <c r="Z78" i="15"/>
  <c r="Z295" i="15"/>
  <c r="F1804" i="17"/>
  <c r="Y370" i="15"/>
  <c r="AB289" i="15"/>
  <c r="AD97" i="15"/>
  <c r="AD344" i="15" s="1"/>
  <c r="AD363" i="15" s="1"/>
  <c r="E1580" i="17"/>
  <c r="C1587" i="17"/>
  <c r="C1588" i="17" s="1"/>
  <c r="AB300" i="15"/>
  <c r="AB233" i="15"/>
  <c r="C1833" i="17"/>
  <c r="AE78" i="15"/>
  <c r="AE295" i="15"/>
  <c r="AF223" i="15"/>
  <c r="AF228" i="15" s="1"/>
  <c r="AF39" i="15"/>
  <c r="AF290" i="15"/>
  <c r="AG329" i="15" s="1"/>
  <c r="AF96" i="15"/>
  <c r="X22" i="15"/>
  <c r="X24" i="15" s="1"/>
  <c r="X37" i="15"/>
  <c r="X36" i="15"/>
  <c r="D353" i="15"/>
  <c r="D259" i="15"/>
  <c r="J237" i="15"/>
  <c r="J238" i="15" s="1"/>
  <c r="J85" i="15"/>
  <c r="J304" i="15"/>
  <c r="AJ90" i="15"/>
  <c r="AB442" i="15"/>
  <c r="AB443" i="15"/>
  <c r="AF442" i="15"/>
  <c r="BN442" i="15"/>
  <c r="C1811" i="17"/>
  <c r="H1692" i="17"/>
  <c r="M1382" i="17"/>
  <c r="M1384" i="17"/>
  <c r="C2084" i="17"/>
  <c r="D2076" i="17"/>
  <c r="D2074" i="17"/>
  <c r="AD254" i="15"/>
  <c r="AD350" i="15"/>
  <c r="AH95" i="15"/>
  <c r="J278" i="15"/>
  <c r="J279" i="15"/>
  <c r="K323" i="15"/>
  <c r="AG204" i="15"/>
  <c r="AG195" i="15"/>
  <c r="AG256" i="15" s="1"/>
  <c r="AG188" i="15"/>
  <c r="AG178" i="15"/>
  <c r="AG244" i="15"/>
  <c r="AG311" i="15" s="1"/>
  <c r="AG323" i="15" s="1"/>
  <c r="AA278" i="15"/>
  <c r="AA279" i="15"/>
  <c r="AE263" i="15"/>
  <c r="AE340" i="15"/>
  <c r="AE357" i="15"/>
  <c r="AB351" i="15"/>
  <c r="AB253" i="15"/>
  <c r="Y78" i="15"/>
  <c r="Y295" i="15"/>
  <c r="AL95" i="15"/>
  <c r="AM95" i="15"/>
  <c r="AI97" i="15"/>
  <c r="AI344" i="15" s="1"/>
  <c r="AI363" i="15" s="1"/>
  <c r="AG347" i="15"/>
  <c r="AG366" i="15" s="1"/>
  <c r="AG371" i="15" s="1"/>
  <c r="AG248" i="15"/>
  <c r="AG315" i="15" s="1"/>
  <c r="AG199" i="15"/>
  <c r="C1866" i="17"/>
  <c r="C1608" i="17"/>
  <c r="AG351" i="15"/>
  <c r="AG253" i="15"/>
  <c r="BT81" i="15"/>
  <c r="AF47" i="15"/>
  <c r="AF49" i="15"/>
  <c r="AF277" i="15"/>
  <c r="Z369" i="15"/>
  <c r="Z359" i="15"/>
  <c r="Z370" i="15"/>
  <c r="J324" i="15"/>
  <c r="Z278" i="15"/>
  <c r="Z279" i="15"/>
  <c r="AC357" i="15"/>
  <c r="AC340" i="15"/>
  <c r="BM81" i="15"/>
  <c r="AP78" i="15"/>
  <c r="AP295" i="15"/>
  <c r="V302" i="15"/>
  <c r="AF97" i="15"/>
  <c r="AF344" i="15" s="1"/>
  <c r="AF363" i="15" s="1"/>
  <c r="AD351" i="15"/>
  <c r="AD253" i="15"/>
  <c r="C81" i="15"/>
  <c r="J369" i="15"/>
  <c r="J359" i="15"/>
  <c r="AJ289" i="15" l="1"/>
  <c r="AJ70" i="15"/>
  <c r="AE320" i="15"/>
  <c r="AE324" i="15"/>
  <c r="AC321" i="15"/>
  <c r="AC323" i="15"/>
  <c r="AC324" i="15"/>
  <c r="J349" i="15"/>
  <c r="J368" i="15" s="1"/>
  <c r="J372" i="15" s="1"/>
  <c r="J198" i="15"/>
  <c r="AD320" i="15"/>
  <c r="AE321" i="15"/>
  <c r="AC320" i="15"/>
  <c r="AD324" i="15"/>
  <c r="AD321" i="15"/>
  <c r="AE323" i="15"/>
  <c r="AB329" i="15"/>
  <c r="AB330" i="15"/>
  <c r="AB321" i="15"/>
  <c r="AD330" i="15"/>
  <c r="AD329" i="15"/>
  <c r="AH329" i="15"/>
  <c r="AM329" i="15"/>
  <c r="AJ329" i="15"/>
  <c r="AC329" i="15"/>
  <c r="AC330" i="15"/>
  <c r="AN329" i="15"/>
  <c r="AL329" i="15"/>
  <c r="AE329" i="15"/>
  <c r="AE330" i="15"/>
  <c r="AF329" i="15"/>
  <c r="AO329" i="15"/>
  <c r="AB323" i="15"/>
  <c r="AP329" i="15"/>
  <c r="AB324" i="15"/>
  <c r="AI329" i="15"/>
  <c r="AD80" i="15"/>
  <c r="J247" i="15"/>
  <c r="J314" i="15" s="1"/>
  <c r="J326" i="15" s="1"/>
  <c r="AC81" i="15"/>
  <c r="AC305" i="15" s="1"/>
  <c r="AC237" i="15"/>
  <c r="AC238" i="15" s="1"/>
  <c r="Y24" i="15"/>
  <c r="Y95" i="15" s="1"/>
  <c r="BQ93" i="15"/>
  <c r="AC85" i="15"/>
  <c r="AF248" i="15"/>
  <c r="AF315" i="15" s="1"/>
  <c r="I247" i="15"/>
  <c r="I314" i="15" s="1"/>
  <c r="I326" i="15" s="1"/>
  <c r="I349" i="15"/>
  <c r="I368" i="15" s="1"/>
  <c r="I372" i="15" s="1"/>
  <c r="AF178" i="15"/>
  <c r="AF349" i="15" s="1"/>
  <c r="AF368" i="15" s="1"/>
  <c r="AL260" i="15"/>
  <c r="AG327" i="15"/>
  <c r="E1861" i="17"/>
  <c r="E1859" i="17"/>
  <c r="AB36" i="15"/>
  <c r="AN244" i="15"/>
  <c r="AN311" i="15" s="1"/>
  <c r="K1846" i="17"/>
  <c r="M1843" i="17" s="1"/>
  <c r="AN204" i="15"/>
  <c r="F1864" i="17"/>
  <c r="H1859" i="17" s="1"/>
  <c r="AX89" i="15"/>
  <c r="AY89" i="15"/>
  <c r="BQ216" i="15"/>
  <c r="AB37" i="15"/>
  <c r="BQ254" i="15"/>
  <c r="AB262" i="15"/>
  <c r="AN178" i="15"/>
  <c r="AN349" i="15" s="1"/>
  <c r="AN368" i="15" s="1"/>
  <c r="AN372" i="15" s="1"/>
  <c r="AW89" i="15"/>
  <c r="AV356" i="15"/>
  <c r="AV359" i="15" s="1"/>
  <c r="AV340" i="15"/>
  <c r="AS46" i="15"/>
  <c r="CA46" i="15"/>
  <c r="BQ201" i="15"/>
  <c r="BQ262" i="15" s="1"/>
  <c r="AL247" i="15"/>
  <c r="AL314" i="15" s="1"/>
  <c r="AL326" i="15" s="1"/>
  <c r="AP95" i="15"/>
  <c r="AI262" i="15"/>
  <c r="I260" i="15"/>
  <c r="AO95" i="15"/>
  <c r="AN95" i="15"/>
  <c r="AF92" i="15"/>
  <c r="AF339" i="15" s="1"/>
  <c r="AF358" i="15" s="1"/>
  <c r="AL198" i="15"/>
  <c r="AL353" i="15" s="1"/>
  <c r="BQ195" i="15"/>
  <c r="BQ256" i="15" s="1"/>
  <c r="BQ198" i="15"/>
  <c r="BQ199" i="15"/>
  <c r="BQ196" i="15"/>
  <c r="AF46" i="15"/>
  <c r="BV46" i="15"/>
  <c r="AQ90" i="15"/>
  <c r="AS262" i="15"/>
  <c r="AD262" i="15"/>
  <c r="AO278" i="15"/>
  <c r="AK279" i="15"/>
  <c r="Z179" i="15"/>
  <c r="Z347" i="15" s="1"/>
  <c r="Z366" i="15" s="1"/>
  <c r="AJ263" i="15"/>
  <c r="AV43" i="15"/>
  <c r="AV45" i="15" s="1"/>
  <c r="AV32" i="15"/>
  <c r="AV20" i="15"/>
  <c r="AV89" i="15"/>
  <c r="AV281" i="15"/>
  <c r="AZ282" i="15" s="1"/>
  <c r="AV214" i="15"/>
  <c r="AZ215" i="15" s="1"/>
  <c r="AV60" i="15"/>
  <c r="C985" i="17"/>
  <c r="AV443" i="15"/>
  <c r="AV201" i="15"/>
  <c r="AV343" i="15"/>
  <c r="AV362" i="15" s="1"/>
  <c r="AS263" i="15"/>
  <c r="Y97" i="15"/>
  <c r="Y344" i="15" s="1"/>
  <c r="Y363" i="15" s="1"/>
  <c r="AB90" i="15"/>
  <c r="AC262" i="15"/>
  <c r="AU263" i="15"/>
  <c r="AU262" i="15"/>
  <c r="X78" i="15"/>
  <c r="X302" i="15" s="1"/>
  <c r="AA97" i="15"/>
  <c r="AA344" i="15" s="1"/>
  <c r="AA363" i="15" s="1"/>
  <c r="X295" i="15"/>
  <c r="AK198" i="15"/>
  <c r="AK247" i="15"/>
  <c r="AK314" i="15" s="1"/>
  <c r="AK326" i="15" s="1"/>
  <c r="AK349" i="15"/>
  <c r="AK368" i="15" s="1"/>
  <c r="AK372" i="15" s="1"/>
  <c r="AT262" i="15"/>
  <c r="Z92" i="15"/>
  <c r="Z251" i="15" s="1"/>
  <c r="Z318" i="15" s="1"/>
  <c r="AA176" i="15"/>
  <c r="AA341" i="15"/>
  <c r="AA360" i="15" s="1"/>
  <c r="AA92" i="15"/>
  <c r="AA339" i="15" s="1"/>
  <c r="AA358" i="15" s="1"/>
  <c r="AT263" i="15"/>
  <c r="Y251" i="15"/>
  <c r="Y318" i="15" s="1"/>
  <c r="Y339" i="15"/>
  <c r="Y358" i="15" s="1"/>
  <c r="AB49" i="15"/>
  <c r="AB277" i="15"/>
  <c r="AB279" i="15" s="1"/>
  <c r="AB46" i="15"/>
  <c r="Y176" i="15"/>
  <c r="Y341" i="15"/>
  <c r="Y360" i="15" s="1"/>
  <c r="BN46" i="15"/>
  <c r="AB47" i="15"/>
  <c r="AC90" i="15"/>
  <c r="AE90" i="15"/>
  <c r="AL304" i="15"/>
  <c r="AN263" i="15"/>
  <c r="AL237" i="15"/>
  <c r="AL238" i="15" s="1"/>
  <c r="AP263" i="15"/>
  <c r="AO263" i="15"/>
  <c r="BV49" i="15"/>
  <c r="BV47" i="15"/>
  <c r="AQ302" i="15"/>
  <c r="AQ279" i="15"/>
  <c r="AQ262" i="15"/>
  <c r="AN40" i="15"/>
  <c r="AL85" i="15"/>
  <c r="AL81" i="15"/>
  <c r="AL305" i="15" s="1"/>
  <c r="AF235" i="15"/>
  <c r="AJ178" i="15"/>
  <c r="AJ204" i="15"/>
  <c r="AJ244" i="15"/>
  <c r="AJ311" i="15" s="1"/>
  <c r="AJ323" i="15" s="1"/>
  <c r="AJ188" i="15"/>
  <c r="AJ195" i="15"/>
  <c r="AJ256" i="15" s="1"/>
  <c r="AJ253" i="15"/>
  <c r="AJ351" i="15"/>
  <c r="AJ347" i="15"/>
  <c r="AJ366" i="15" s="1"/>
  <c r="AJ371" i="15" s="1"/>
  <c r="C1697" i="17"/>
  <c r="AJ199" i="15"/>
  <c r="AJ248" i="15"/>
  <c r="AJ315" i="15" s="1"/>
  <c r="AJ327" i="15" s="1"/>
  <c r="AB235" i="15"/>
  <c r="AI278" i="15"/>
  <c r="BR49" i="15"/>
  <c r="AK352" i="15"/>
  <c r="AK260" i="15"/>
  <c r="BR46" i="15"/>
  <c r="V80" i="15"/>
  <c r="V81" i="15" s="1"/>
  <c r="V305" i="15" s="1"/>
  <c r="C353" i="15"/>
  <c r="C259" i="15"/>
  <c r="Y279" i="15"/>
  <c r="AC278" i="15"/>
  <c r="Y278" i="15"/>
  <c r="H1966" i="17"/>
  <c r="Z263" i="15"/>
  <c r="H247" i="15"/>
  <c r="H314" i="15" s="1"/>
  <c r="H326" i="15" s="1"/>
  <c r="H349" i="15"/>
  <c r="H368" i="15" s="1"/>
  <c r="H372" i="15" s="1"/>
  <c r="H198" i="15"/>
  <c r="Y262" i="15"/>
  <c r="Y263" i="15"/>
  <c r="AA263" i="15"/>
  <c r="AA262" i="15"/>
  <c r="H260" i="15"/>
  <c r="H352" i="15"/>
  <c r="F80" i="15"/>
  <c r="F81" i="15" s="1"/>
  <c r="F305" i="15" s="1"/>
  <c r="F302" i="15"/>
  <c r="AJ228" i="15"/>
  <c r="AJ235" i="15" s="1"/>
  <c r="Z262" i="15"/>
  <c r="AM78" i="15"/>
  <c r="AM295" i="15"/>
  <c r="AP343" i="15"/>
  <c r="AP362" i="15" s="1"/>
  <c r="AP201" i="15"/>
  <c r="AN228" i="15"/>
  <c r="AN235" i="15" s="1"/>
  <c r="AO201" i="15"/>
  <c r="AO343" i="15"/>
  <c r="AO362" i="15" s="1"/>
  <c r="AM260" i="15"/>
  <c r="AM352" i="15"/>
  <c r="AN343" i="15"/>
  <c r="AN362" i="15" s="1"/>
  <c r="AN201" i="15"/>
  <c r="AN289" i="15"/>
  <c r="AQ97" i="15"/>
  <c r="AQ344" i="15" s="1"/>
  <c r="AQ363" i="15" s="1"/>
  <c r="BO80" i="15"/>
  <c r="BP80" i="15" s="1"/>
  <c r="AB97" i="15"/>
  <c r="AB344" i="15" s="1"/>
  <c r="AB363" i="15" s="1"/>
  <c r="AO349" i="15"/>
  <c r="AO368" i="15" s="1"/>
  <c r="AO372" i="15" s="1"/>
  <c r="AO247" i="15"/>
  <c r="AO314" i="15" s="1"/>
  <c r="AO326" i="15" s="1"/>
  <c r="AO198" i="15"/>
  <c r="AH263" i="15"/>
  <c r="AN277" i="15"/>
  <c r="AN47" i="15"/>
  <c r="AN46" i="15"/>
  <c r="AH260" i="15"/>
  <c r="AH352" i="15"/>
  <c r="AM353" i="15"/>
  <c r="AM259" i="15"/>
  <c r="AH372" i="15"/>
  <c r="AH371" i="15"/>
  <c r="AB341" i="15"/>
  <c r="AB360" i="15" s="1"/>
  <c r="AB176" i="15"/>
  <c r="AJ262" i="15"/>
  <c r="AG85" i="15"/>
  <c r="AG237" i="15"/>
  <c r="AG238" i="15" s="1"/>
  <c r="AG304" i="15"/>
  <c r="AH80" i="15"/>
  <c r="K1789" i="17"/>
  <c r="F1807" i="17"/>
  <c r="H1802" i="17" s="1"/>
  <c r="E1802" i="17"/>
  <c r="X259" i="15"/>
  <c r="X353" i="15"/>
  <c r="AC341" i="15"/>
  <c r="AC360" i="15" s="1"/>
  <c r="AC176" i="15"/>
  <c r="AL278" i="15"/>
  <c r="AL279" i="15"/>
  <c r="G198" i="15"/>
  <c r="G349" i="15"/>
  <c r="G368" i="15" s="1"/>
  <c r="G372" i="15" s="1"/>
  <c r="G247" i="15"/>
  <c r="G314" i="15" s="1"/>
  <c r="G326" i="15" s="1"/>
  <c r="F353" i="15"/>
  <c r="F259" i="15"/>
  <c r="AE341" i="15"/>
  <c r="AE360" i="15" s="1"/>
  <c r="AE176" i="15"/>
  <c r="AD95" i="15"/>
  <c r="AC95" i="15"/>
  <c r="AE95" i="15"/>
  <c r="AI349" i="15"/>
  <c r="AI368" i="15" s="1"/>
  <c r="AI372" i="15" s="1"/>
  <c r="AI247" i="15"/>
  <c r="AI314" i="15" s="1"/>
  <c r="AI326" i="15" s="1"/>
  <c r="E259" i="15"/>
  <c r="E353" i="15"/>
  <c r="AE92" i="15"/>
  <c r="AC92" i="15"/>
  <c r="AB92" i="15"/>
  <c r="BN55" i="15"/>
  <c r="AD92" i="15"/>
  <c r="AM47" i="15"/>
  <c r="AM46" i="15"/>
  <c r="AM277" i="15"/>
  <c r="AQ278" i="15" s="1"/>
  <c r="AN90" i="15"/>
  <c r="AO90" i="15"/>
  <c r="AP90" i="15"/>
  <c r="AM90" i="15"/>
  <c r="AK343" i="15"/>
  <c r="AK362" i="15" s="1"/>
  <c r="AK201" i="15"/>
  <c r="AH326" i="15"/>
  <c r="AH327" i="15"/>
  <c r="AD179" i="15"/>
  <c r="AD178" i="15"/>
  <c r="G352" i="15"/>
  <c r="G260" i="15"/>
  <c r="C1812" i="17"/>
  <c r="AP278" i="15"/>
  <c r="AH259" i="15"/>
  <c r="AH353" i="15"/>
  <c r="U85" i="15"/>
  <c r="U304" i="15"/>
  <c r="U237" i="15"/>
  <c r="U238" i="15" s="1"/>
  <c r="AO352" i="15"/>
  <c r="AO260" i="15"/>
  <c r="Z349" i="15"/>
  <c r="Z368" i="15" s="1"/>
  <c r="Z247" i="15"/>
  <c r="Z314" i="15" s="1"/>
  <c r="AP352" i="15"/>
  <c r="AP260" i="15"/>
  <c r="AG247" i="15"/>
  <c r="AG314" i="15" s="1"/>
  <c r="AG326" i="15" s="1"/>
  <c r="AG198" i="15"/>
  <c r="AG349" i="15"/>
  <c r="AG368" i="15" s="1"/>
  <c r="AG372" i="15" s="1"/>
  <c r="K85" i="15"/>
  <c r="K304" i="15"/>
  <c r="K237" i="15"/>
  <c r="K238" i="15" s="1"/>
  <c r="BQ70" i="15"/>
  <c r="X279" i="15"/>
  <c r="AE279" i="15"/>
  <c r="AE278" i="15"/>
  <c r="AI259" i="15"/>
  <c r="AI353" i="15"/>
  <c r="AI371" i="15"/>
  <c r="AK95" i="15"/>
  <c r="AJ95" i="15"/>
  <c r="AE369" i="15"/>
  <c r="AE359" i="15"/>
  <c r="AE370" i="15"/>
  <c r="AD359" i="15"/>
  <c r="AD369" i="15"/>
  <c r="AD370" i="15"/>
  <c r="AF302" i="15"/>
  <c r="AI352" i="15"/>
  <c r="AI260" i="15"/>
  <c r="AC359" i="15"/>
  <c r="AC369" i="15"/>
  <c r="AC370" i="15"/>
  <c r="Y80" i="15"/>
  <c r="Z80" i="15" s="1"/>
  <c r="AA80" i="15" s="1"/>
  <c r="Y302" i="15"/>
  <c r="AE302" i="15"/>
  <c r="I353" i="15"/>
  <c r="I259" i="15"/>
  <c r="AP302" i="15"/>
  <c r="AP80" i="15"/>
  <c r="AP81" i="15" s="1"/>
  <c r="AP305" i="15" s="1"/>
  <c r="AG260" i="15"/>
  <c r="AG352" i="15"/>
  <c r="W302" i="15"/>
  <c r="AA302" i="15"/>
  <c r="E302" i="15"/>
  <c r="E80" i="15"/>
  <c r="E81" i="15" s="1"/>
  <c r="E305" i="15" s="1"/>
  <c r="K1732" i="17"/>
  <c r="E1746" i="17"/>
  <c r="F1751" i="17"/>
  <c r="C1756" i="17"/>
  <c r="E1748" i="17"/>
  <c r="AI327" i="15"/>
  <c r="M1946" i="17"/>
  <c r="M1948" i="17"/>
  <c r="AF201" i="15"/>
  <c r="AF343" i="15"/>
  <c r="AF362" i="15" s="1"/>
  <c r="Z302" i="15"/>
  <c r="G302" i="15"/>
  <c r="G80" i="15"/>
  <c r="C305" i="15"/>
  <c r="C82" i="15"/>
  <c r="BQ263" i="15"/>
  <c r="AF279" i="15"/>
  <c r="AE97" i="15"/>
  <c r="AE344" i="15" s="1"/>
  <c r="AE363" i="15" s="1"/>
  <c r="AB78" i="15"/>
  <c r="AB295" i="15"/>
  <c r="AC97" i="15"/>
  <c r="AC344" i="15" s="1"/>
  <c r="AC363" i="15" s="1"/>
  <c r="AB359" i="15"/>
  <c r="AB369" i="15"/>
  <c r="AB370" i="15"/>
  <c r="K81" i="15"/>
  <c r="K305" i="15" s="1"/>
  <c r="F2020" i="17"/>
  <c r="F2022" i="17"/>
  <c r="AP198" i="15"/>
  <c r="AP349" i="15"/>
  <c r="AP368" i="15" s="1"/>
  <c r="AP372" i="15" s="1"/>
  <c r="AP247" i="15"/>
  <c r="AP314" i="15" s="1"/>
  <c r="AP326" i="15" s="1"/>
  <c r="BN80" i="15"/>
  <c r="H304" i="15"/>
  <c r="H85" i="15"/>
  <c r="H237" i="15"/>
  <c r="H238" i="15" s="1"/>
  <c r="E344" i="15"/>
  <c r="E363" i="15" s="1"/>
  <c r="X97" i="15"/>
  <c r="X344" i="15" s="1"/>
  <c r="X363" i="15" s="1"/>
  <c r="AJ278" i="15"/>
  <c r="AJ279" i="15"/>
  <c r="AI263" i="15"/>
  <c r="J259" i="15" l="1"/>
  <c r="J353" i="15"/>
  <c r="AD237" i="15"/>
  <c r="AD238" i="15" s="1"/>
  <c r="AD304" i="15"/>
  <c r="Z95" i="15"/>
  <c r="AA95" i="15"/>
  <c r="AD81" i="15"/>
  <c r="AD305" i="15" s="1"/>
  <c r="AE80" i="15"/>
  <c r="AD85" i="15"/>
  <c r="AB95" i="15"/>
  <c r="AF372" i="15"/>
  <c r="M1841" i="17"/>
  <c r="AF247" i="15"/>
  <c r="AF314" i="15" s="1"/>
  <c r="H1861" i="17"/>
  <c r="AX90" i="15"/>
  <c r="AY90" i="15"/>
  <c r="AN247" i="15"/>
  <c r="AN314" i="15" s="1"/>
  <c r="AN326" i="15" s="1"/>
  <c r="AN198" i="15"/>
  <c r="AN353" i="15" s="1"/>
  <c r="BQ259" i="15"/>
  <c r="BQ260" i="15"/>
  <c r="AW90" i="15"/>
  <c r="AV46" i="15"/>
  <c r="AV49" i="15"/>
  <c r="AF371" i="15"/>
  <c r="AF199" i="15"/>
  <c r="AF260" i="15" s="1"/>
  <c r="AL259" i="15"/>
  <c r="BQ257" i="15"/>
  <c r="AF251" i="15"/>
  <c r="AF318" i="15" s="1"/>
  <c r="AF327" i="15" s="1"/>
  <c r="AF198" i="15"/>
  <c r="AF259" i="15" s="1"/>
  <c r="F985" i="17"/>
  <c r="K964" i="17"/>
  <c r="E980" i="17"/>
  <c r="E982" i="17"/>
  <c r="Z339" i="15"/>
  <c r="Z358" i="15" s="1"/>
  <c r="Z371" i="15" s="1"/>
  <c r="C990" i="17"/>
  <c r="Z248" i="15"/>
  <c r="Z315" i="15" s="1"/>
  <c r="Z327" i="15" s="1"/>
  <c r="AV47" i="15"/>
  <c r="AV277" i="15"/>
  <c r="AZ278" i="15" s="1"/>
  <c r="AV90" i="15"/>
  <c r="AV251" i="15"/>
  <c r="AV318" i="15" s="1"/>
  <c r="AV327" i="15" s="1"/>
  <c r="AV339" i="15"/>
  <c r="AV358" i="15" s="1"/>
  <c r="AV371" i="15" s="1"/>
  <c r="AV202" i="15"/>
  <c r="AV199" i="15"/>
  <c r="AV218" i="15"/>
  <c r="AV222" i="15" s="1"/>
  <c r="AV228" i="15" s="1"/>
  <c r="AV235" i="15" s="1"/>
  <c r="AV285" i="15"/>
  <c r="AV64" i="15"/>
  <c r="AV70" i="15" s="1"/>
  <c r="AV216" i="15"/>
  <c r="AV262" i="15"/>
  <c r="AV283" i="15"/>
  <c r="AV37" i="15"/>
  <c r="AV22" i="15"/>
  <c r="AV24" i="15" s="1"/>
  <c r="AV36" i="15"/>
  <c r="AF278" i="15"/>
  <c r="AB278" i="15"/>
  <c r="Z326" i="15"/>
  <c r="Z199" i="15"/>
  <c r="Z352" i="15" s="1"/>
  <c r="Z198" i="15"/>
  <c r="Z259" i="15" s="1"/>
  <c r="AK259" i="15"/>
  <c r="AK353" i="15"/>
  <c r="AA179" i="15"/>
  <c r="AA178" i="15"/>
  <c r="AA251" i="15"/>
  <c r="AA318" i="15" s="1"/>
  <c r="Y178" i="15"/>
  <c r="Y179" i="15"/>
  <c r="AQ80" i="15"/>
  <c r="AR80" i="15" s="1"/>
  <c r="V85" i="15"/>
  <c r="V237" i="15"/>
  <c r="V238" i="15" s="1"/>
  <c r="AJ260" i="15"/>
  <c r="AJ352" i="15"/>
  <c r="W80" i="15"/>
  <c r="X80" i="15" s="1"/>
  <c r="V304" i="15"/>
  <c r="AJ247" i="15"/>
  <c r="AJ314" i="15" s="1"/>
  <c r="AJ326" i="15" s="1"/>
  <c r="AJ349" i="15"/>
  <c r="AJ368" i="15" s="1"/>
  <c r="AJ372" i="15" s="1"/>
  <c r="AJ198" i="15"/>
  <c r="BO81" i="15"/>
  <c r="AK97" i="15"/>
  <c r="AK344" i="15" s="1"/>
  <c r="AK363" i="15" s="1"/>
  <c r="AJ295" i="15"/>
  <c r="AJ78" i="15"/>
  <c r="AJ302" i="15" s="1"/>
  <c r="AJ97" i="15"/>
  <c r="AJ344" i="15" s="1"/>
  <c r="AJ363" i="15" s="1"/>
  <c r="H259" i="15"/>
  <c r="H353" i="15"/>
  <c r="F85" i="15"/>
  <c r="F304" i="15"/>
  <c r="F237" i="15"/>
  <c r="F238" i="15" s="1"/>
  <c r="H1804" i="17"/>
  <c r="AO262" i="15"/>
  <c r="AP97" i="15"/>
  <c r="AP344" i="15" s="1"/>
  <c r="AP363" i="15" s="1"/>
  <c r="AN295" i="15"/>
  <c r="AN78" i="15"/>
  <c r="AN302" i="15" s="1"/>
  <c r="AN97" i="15"/>
  <c r="AN344" i="15" s="1"/>
  <c r="AN363" i="15" s="1"/>
  <c r="AO97" i="15"/>
  <c r="AO344" i="15" s="1"/>
  <c r="AO363" i="15" s="1"/>
  <c r="AP262" i="15"/>
  <c r="AN262" i="15"/>
  <c r="AM302" i="15"/>
  <c r="AM80" i="15"/>
  <c r="BP81" i="15"/>
  <c r="AB178" i="15"/>
  <c r="AB179" i="15"/>
  <c r="AE178" i="15"/>
  <c r="AE179" i="15"/>
  <c r="AN279" i="15"/>
  <c r="AN278" i="15"/>
  <c r="AC178" i="15"/>
  <c r="AC179" i="15"/>
  <c r="AD251" i="15"/>
  <c r="AD318" i="15" s="1"/>
  <c r="AD339" i="15"/>
  <c r="AD358" i="15" s="1"/>
  <c r="AH85" i="15"/>
  <c r="AH304" i="15"/>
  <c r="AI80" i="15"/>
  <c r="AH237" i="15"/>
  <c r="AH238" i="15" s="1"/>
  <c r="AH81" i="15"/>
  <c r="AH305" i="15" s="1"/>
  <c r="AB339" i="15"/>
  <c r="AB358" i="15" s="1"/>
  <c r="AB251" i="15"/>
  <c r="AB318" i="15" s="1"/>
  <c r="AK262" i="15"/>
  <c r="AO259" i="15"/>
  <c r="AO353" i="15"/>
  <c r="AE339" i="15"/>
  <c r="AE358" i="15" s="1"/>
  <c r="AE251" i="15"/>
  <c r="AE318" i="15" s="1"/>
  <c r="M1784" i="17"/>
  <c r="M1786" i="17"/>
  <c r="AD349" i="15"/>
  <c r="AD368" i="15" s="1"/>
  <c r="AD247" i="15"/>
  <c r="AD314" i="15" s="1"/>
  <c r="AD198" i="15"/>
  <c r="G353" i="15"/>
  <c r="G259" i="15"/>
  <c r="AC251" i="15"/>
  <c r="AC318" i="15" s="1"/>
  <c r="AC339" i="15"/>
  <c r="AC358" i="15" s="1"/>
  <c r="Z81" i="15"/>
  <c r="Z305" i="15" s="1"/>
  <c r="AD347" i="15"/>
  <c r="AD366" i="15" s="1"/>
  <c r="AD248" i="15"/>
  <c r="AD315" i="15" s="1"/>
  <c r="AD199" i="15"/>
  <c r="AM279" i="15"/>
  <c r="AM278" i="15"/>
  <c r="AA237" i="15"/>
  <c r="AA238" i="15" s="1"/>
  <c r="AA85" i="15"/>
  <c r="AA304" i="15"/>
  <c r="AA81" i="15"/>
  <c r="AA305" i="15" s="1"/>
  <c r="Y237" i="15"/>
  <c r="Y304" i="15"/>
  <c r="BQ80" i="15"/>
  <c r="AB80" i="15"/>
  <c r="AB81" i="15" s="1"/>
  <c r="AB305" i="15" s="1"/>
  <c r="Y85" i="15"/>
  <c r="BQ78" i="15"/>
  <c r="BQ97" i="15"/>
  <c r="D82" i="15"/>
  <c r="C84" i="15"/>
  <c r="G237" i="15"/>
  <c r="G238" i="15" s="1"/>
  <c r="G85" i="15"/>
  <c r="G304" i="15"/>
  <c r="M1727" i="17"/>
  <c r="M1729" i="17"/>
  <c r="AP259" i="15"/>
  <c r="AP353" i="15"/>
  <c r="G81" i="15"/>
  <c r="G305" i="15" s="1"/>
  <c r="AG259" i="15"/>
  <c r="AG353" i="15"/>
  <c r="AP304" i="15"/>
  <c r="AP237" i="15"/>
  <c r="AP238" i="15" s="1"/>
  <c r="AP85" i="15"/>
  <c r="Z304" i="15"/>
  <c r="Z237" i="15"/>
  <c r="Z238" i="15" s="1"/>
  <c r="Z85" i="15"/>
  <c r="BN81" i="15"/>
  <c r="AB302" i="15"/>
  <c r="AF262" i="15"/>
  <c r="H1746" i="17"/>
  <c r="H1748" i="17"/>
  <c r="E304" i="15"/>
  <c r="E85" i="15"/>
  <c r="E237" i="15"/>
  <c r="E238" i="15" s="1"/>
  <c r="Y81" i="15"/>
  <c r="Y305" i="15" s="1"/>
  <c r="AE81" i="15" l="1"/>
  <c r="AE305" i="15" s="1"/>
  <c r="AE237" i="15"/>
  <c r="AE238" i="15" s="1"/>
  <c r="AE304" i="15"/>
  <c r="AE85" i="15"/>
  <c r="AF85" i="15" s="1"/>
  <c r="AF80" i="15"/>
  <c r="AY317" i="15"/>
  <c r="AX317" i="15"/>
  <c r="AW317" i="15"/>
  <c r="AV317" i="15"/>
  <c r="AF326" i="15"/>
  <c r="AX95" i="15"/>
  <c r="AY95" i="15"/>
  <c r="AF353" i="15"/>
  <c r="Z372" i="15"/>
  <c r="AN259" i="15"/>
  <c r="AF352" i="15"/>
  <c r="AV95" i="15"/>
  <c r="AW95" i="15"/>
  <c r="M959" i="17"/>
  <c r="M961" i="17"/>
  <c r="H980" i="17"/>
  <c r="H982" i="17"/>
  <c r="AV279" i="15"/>
  <c r="AV352" i="15"/>
  <c r="AV260" i="15"/>
  <c r="AV263" i="15"/>
  <c r="AV289" i="15"/>
  <c r="Z353" i="15"/>
  <c r="Z260" i="15"/>
  <c r="W237" i="15"/>
  <c r="W238" i="15" s="1"/>
  <c r="AA247" i="15"/>
  <c r="AA314" i="15" s="1"/>
  <c r="AA326" i="15" s="1"/>
  <c r="AA198" i="15"/>
  <c r="AA349" i="15"/>
  <c r="AA368" i="15" s="1"/>
  <c r="AA372" i="15" s="1"/>
  <c r="AA347" i="15"/>
  <c r="AA366" i="15" s="1"/>
  <c r="AA371" i="15" s="1"/>
  <c r="AA248" i="15"/>
  <c r="AA315" i="15" s="1"/>
  <c r="AA327" i="15" s="1"/>
  <c r="AA199" i="15"/>
  <c r="Y248" i="15"/>
  <c r="Y315" i="15" s="1"/>
  <c r="Y327" i="15" s="1"/>
  <c r="Y347" i="15"/>
  <c r="Y366" i="15" s="1"/>
  <c r="Y371" i="15" s="1"/>
  <c r="Y199" i="15"/>
  <c r="Y349" i="15"/>
  <c r="Y368" i="15" s="1"/>
  <c r="Y372" i="15" s="1"/>
  <c r="Y198" i="15"/>
  <c r="Y247" i="15"/>
  <c r="Y314" i="15" s="1"/>
  <c r="Y326" i="15" s="1"/>
  <c r="BV81" i="15"/>
  <c r="AQ81" i="15"/>
  <c r="AQ305" i="15" s="1"/>
  <c r="AQ304" i="15"/>
  <c r="AQ237" i="15"/>
  <c r="AQ238" i="15" s="1"/>
  <c r="AQ85" i="15"/>
  <c r="AR85" i="15" s="1"/>
  <c r="W85" i="15"/>
  <c r="X85" i="15" s="1"/>
  <c r="W304" i="15"/>
  <c r="W81" i="15"/>
  <c r="W305" i="15" s="1"/>
  <c r="AJ353" i="15"/>
  <c r="AJ259" i="15"/>
  <c r="AD372" i="15"/>
  <c r="AM81" i="15"/>
  <c r="AM305" i="15" s="1"/>
  <c r="AN80" i="15"/>
  <c r="AM237" i="15"/>
  <c r="AM238" i="15" s="1"/>
  <c r="AM85" i="15"/>
  <c r="AN85" i="15" s="1"/>
  <c r="AM304" i="15"/>
  <c r="AD371" i="15"/>
  <c r="AC347" i="15"/>
  <c r="AC366" i="15" s="1"/>
  <c r="AC371" i="15" s="1"/>
  <c r="AC248" i="15"/>
  <c r="AC315" i="15" s="1"/>
  <c r="AC327" i="15" s="1"/>
  <c r="AC199" i="15"/>
  <c r="AC247" i="15"/>
  <c r="AC314" i="15" s="1"/>
  <c r="AC326" i="15" s="1"/>
  <c r="AC349" i="15"/>
  <c r="AC368" i="15" s="1"/>
  <c r="AC372" i="15" s="1"/>
  <c r="AC198" i="15"/>
  <c r="AD353" i="15"/>
  <c r="AD259" i="15"/>
  <c r="AD326" i="15"/>
  <c r="AJ80" i="15"/>
  <c r="AI304" i="15"/>
  <c r="AI81" i="15"/>
  <c r="AI305" i="15" s="1"/>
  <c r="BR80" i="15"/>
  <c r="AI85" i="15"/>
  <c r="AJ85" i="15" s="1"/>
  <c r="AI237" i="15"/>
  <c r="AI238" i="15" s="1"/>
  <c r="AE248" i="15"/>
  <c r="AE315" i="15" s="1"/>
  <c r="AE327" i="15" s="1"/>
  <c r="AE199" i="15"/>
  <c r="AE347" i="15"/>
  <c r="AE366" i="15" s="1"/>
  <c r="AE371" i="15" s="1"/>
  <c r="AD352" i="15"/>
  <c r="AD260" i="15"/>
  <c r="AE349" i="15"/>
  <c r="AE368" i="15" s="1"/>
  <c r="AE372" i="15" s="1"/>
  <c r="AE247" i="15"/>
  <c r="AE314" i="15" s="1"/>
  <c r="AE326" i="15" s="1"/>
  <c r="AE198" i="15"/>
  <c r="AB347" i="15"/>
  <c r="AB366" i="15" s="1"/>
  <c r="AB371" i="15" s="1"/>
  <c r="AB248" i="15"/>
  <c r="AB315" i="15" s="1"/>
  <c r="AB327" i="15" s="1"/>
  <c r="AB199" i="15"/>
  <c r="AD327" i="15"/>
  <c r="AB349" i="15"/>
  <c r="AB368" i="15" s="1"/>
  <c r="AB372" i="15" s="1"/>
  <c r="AB198" i="15"/>
  <c r="AB247" i="15"/>
  <c r="AB314" i="15" s="1"/>
  <c r="AB326" i="15" s="1"/>
  <c r="U82" i="15"/>
  <c r="E82" i="15"/>
  <c r="D84" i="15"/>
  <c r="AB304" i="15"/>
  <c r="AB237" i="15"/>
  <c r="AB238" i="15" s="1"/>
  <c r="X304" i="15"/>
  <c r="X237" i="15"/>
  <c r="X238" i="15" s="1"/>
  <c r="X81" i="15"/>
  <c r="X305" i="15" s="1"/>
  <c r="BQ81" i="15"/>
  <c r="AB85" i="15"/>
  <c r="BQ237" i="15"/>
  <c r="BQ238" i="15" s="1"/>
  <c r="Y238" i="15"/>
  <c r="AF237" i="15" l="1"/>
  <c r="AF238" i="15" s="1"/>
  <c r="AF304" i="15"/>
  <c r="AF81" i="15"/>
  <c r="AF305" i="15" s="1"/>
  <c r="AV330" i="15"/>
  <c r="AV329" i="15"/>
  <c r="AV324" i="15"/>
  <c r="AV321" i="15"/>
  <c r="AW329" i="15"/>
  <c r="AW330" i="15"/>
  <c r="AW320" i="15"/>
  <c r="AW324" i="15"/>
  <c r="AW321" i="15"/>
  <c r="AW323" i="15"/>
  <c r="AX329" i="15"/>
  <c r="AX330" i="15"/>
  <c r="AX321" i="15"/>
  <c r="AX324" i="15"/>
  <c r="AX323" i="15"/>
  <c r="AX320" i="15"/>
  <c r="AY330" i="15"/>
  <c r="AY329" i="15"/>
  <c r="AY324" i="15"/>
  <c r="AY321" i="15"/>
  <c r="AY320" i="15"/>
  <c r="AY323" i="15"/>
  <c r="AA353" i="15"/>
  <c r="AA259" i="15"/>
  <c r="AA260" i="15"/>
  <c r="AA352" i="15"/>
  <c r="Y260" i="15"/>
  <c r="Y352" i="15"/>
  <c r="Y353" i="15"/>
  <c r="Y259" i="15"/>
  <c r="AN81" i="15"/>
  <c r="AN305" i="15" s="1"/>
  <c r="AN237" i="15"/>
  <c r="AN238" i="15" s="1"/>
  <c r="AN304" i="15"/>
  <c r="AE353" i="15"/>
  <c r="AE259" i="15"/>
  <c r="AJ237" i="15"/>
  <c r="AJ238" i="15" s="1"/>
  <c r="AJ304" i="15"/>
  <c r="AJ81" i="15"/>
  <c r="AJ305" i="15" s="1"/>
  <c r="AB260" i="15"/>
  <c r="AB352" i="15"/>
  <c r="AC259" i="15"/>
  <c r="AC353" i="15"/>
  <c r="AB353" i="15"/>
  <c r="AB259" i="15"/>
  <c r="AE352" i="15"/>
  <c r="AE260" i="15"/>
  <c r="AC260" i="15"/>
  <c r="AC352" i="15"/>
  <c r="BR81" i="15"/>
  <c r="E84" i="15"/>
  <c r="F82" i="15"/>
  <c r="V82" i="15"/>
  <c r="U84" i="15"/>
  <c r="G82" i="15" l="1"/>
  <c r="G84" i="15" s="1"/>
  <c r="H82" i="15"/>
  <c r="F84" i="15"/>
  <c r="W82" i="15"/>
  <c r="V84" i="15"/>
  <c r="AV345" i="15" l="1"/>
  <c r="AV364" i="15" s="1"/>
  <c r="AV239" i="15"/>
  <c r="AV306" i="15" s="1"/>
  <c r="AV167" i="15"/>
  <c r="AV192" i="15" s="1"/>
  <c r="AV33" i="15"/>
  <c r="BQ165" i="15"/>
  <c r="H84" i="15"/>
  <c r="J82" i="15"/>
  <c r="I82" i="15"/>
  <c r="I84" i="15" s="1"/>
  <c r="W84" i="15"/>
  <c r="X82" i="15"/>
  <c r="AV351" i="15" l="1"/>
  <c r="AV253" i="15"/>
  <c r="AV172" i="15"/>
  <c r="AV195" i="15" s="1"/>
  <c r="AV256" i="15" s="1"/>
  <c r="AV241" i="15"/>
  <c r="AV308" i="15" s="1"/>
  <c r="AV320" i="15" s="1"/>
  <c r="AV348" i="15"/>
  <c r="AV367" i="15" s="1"/>
  <c r="AV370" i="15" s="1"/>
  <c r="AR345" i="15"/>
  <c r="AR364" i="15" s="1"/>
  <c r="AR167" i="15"/>
  <c r="AR239" i="15"/>
  <c r="AR306" i="15" s="1"/>
  <c r="J84" i="15"/>
  <c r="K82" i="15"/>
  <c r="X84" i="15"/>
  <c r="Y82" i="15"/>
  <c r="BQ167" i="15"/>
  <c r="BV82" i="15" l="1"/>
  <c r="M82" i="15"/>
  <c r="AV244" i="15"/>
  <c r="AV311" i="15" s="1"/>
  <c r="AV323" i="15" s="1"/>
  <c r="AV188" i="15"/>
  <c r="AV204" i="15"/>
  <c r="AV178" i="15"/>
  <c r="K84" i="15"/>
  <c r="L82" i="15"/>
  <c r="AR241" i="15"/>
  <c r="AR308" i="15" s="1"/>
  <c r="AR348" i="15"/>
  <c r="AR367" i="15" s="1"/>
  <c r="AR172" i="15"/>
  <c r="Z82" i="15"/>
  <c r="Y84" i="15"/>
  <c r="BQ253" i="15"/>
  <c r="M84" i="15" l="1"/>
  <c r="CA82" i="15"/>
  <c r="AV198" i="15"/>
  <c r="AV349" i="15"/>
  <c r="AV368" i="15" s="1"/>
  <c r="AV372" i="15" s="1"/>
  <c r="AV247" i="15"/>
  <c r="AV314" i="15" s="1"/>
  <c r="AV326" i="15" s="1"/>
  <c r="L84" i="15"/>
  <c r="AR204" i="15"/>
  <c r="AR244" i="15"/>
  <c r="AR311" i="15" s="1"/>
  <c r="AR188" i="15"/>
  <c r="AR178" i="15"/>
  <c r="AA82" i="15"/>
  <c r="Z84" i="15"/>
  <c r="AV353" i="15" l="1"/>
  <c r="AV259" i="15"/>
  <c r="AR349" i="15"/>
  <c r="AR368" i="15" s="1"/>
  <c r="AR247" i="15"/>
  <c r="AR314" i="15" s="1"/>
  <c r="AA84" i="15"/>
  <c r="AB82" i="15"/>
  <c r="BQ82" i="15"/>
  <c r="BQ239" i="15" s="1"/>
  <c r="AC82" i="15" l="1"/>
  <c r="AB84" i="15"/>
  <c r="BK82" i="15"/>
  <c r="AD82" i="15" l="1"/>
  <c r="BL82" i="15"/>
  <c r="AC84" i="15"/>
  <c r="AD84" i="15" l="1"/>
  <c r="AE82" i="15"/>
  <c r="BM82" i="15"/>
  <c r="BN82" i="15" l="1"/>
  <c r="AF82" i="15"/>
  <c r="AE84" i="15"/>
  <c r="AG82" i="15" l="1"/>
  <c r="AF84" i="15"/>
  <c r="BO82" i="15" l="1"/>
  <c r="AG84" i="15"/>
  <c r="AH82" i="15"/>
  <c r="AI82" i="15" l="1"/>
  <c r="AH84" i="15"/>
  <c r="BP82" i="15"/>
  <c r="AI84" i="15" l="1"/>
  <c r="BR82" i="15"/>
  <c r="AJ82" i="15"/>
  <c r="AJ84" i="15" l="1"/>
  <c r="AK82" i="15"/>
  <c r="BS82" i="15" l="1"/>
  <c r="AL82" i="15"/>
  <c r="AK84" i="15"/>
  <c r="BT82" i="15" l="1"/>
  <c r="BU82" i="15" s="1"/>
  <c r="AM82" i="15"/>
  <c r="AL84" i="15"/>
  <c r="AM84" i="15" l="1"/>
  <c r="AN82" i="15"/>
  <c r="AO82" i="15" l="1"/>
  <c r="BX82" i="15" s="1"/>
  <c r="AN84" i="15"/>
  <c r="AP82" i="15" l="1"/>
  <c r="AO84" i="15"/>
  <c r="AQ82" i="15" l="1"/>
  <c r="AQ84" i="15" s="1"/>
  <c r="BY82" i="15"/>
  <c r="BZ82" i="15" s="1"/>
  <c r="AP84" i="15"/>
  <c r="BR395" i="15" l="1"/>
  <c r="BR381" i="15"/>
  <c r="AN382" i="15" s="1"/>
  <c r="BR394" i="15"/>
  <c r="BR393" i="15"/>
  <c r="BR383" i="15"/>
  <c r="AN384" i="15" s="1"/>
  <c r="BR379" i="15"/>
  <c r="BR417" i="15"/>
  <c r="BR418" i="15" s="1"/>
  <c r="C1288" i="17"/>
  <c r="F1288" i="17" s="1"/>
  <c r="BR387" i="15"/>
  <c r="BR396" i="15"/>
  <c r="BR415" i="15"/>
  <c r="AN416" i="15" s="1"/>
  <c r="BR419" i="15"/>
  <c r="BR420" i="15" s="1"/>
  <c r="BR397" i="15"/>
  <c r="BR385" i="15"/>
  <c r="BR413" i="15"/>
  <c r="BR14" i="15"/>
  <c r="AR29" i="15"/>
  <c r="AR31" i="15"/>
  <c r="AR44" i="15"/>
  <c r="AR40" i="15" s="1"/>
  <c r="AR237" i="15"/>
  <c r="AR304" i="15"/>
  <c r="AR214" i="15"/>
  <c r="AR225" i="15"/>
  <c r="AR292" i="15"/>
  <c r="AR234" i="15"/>
  <c r="AR301" i="15"/>
  <c r="AR275" i="15"/>
  <c r="AR290" i="15"/>
  <c r="AR39" i="15"/>
  <c r="AR223" i="15"/>
  <c r="AR94" i="15"/>
  <c r="AR342" i="15" s="1"/>
  <c r="AR361" i="15" s="1"/>
  <c r="AR398" i="15"/>
  <c r="AR219" i="15"/>
  <c r="AR286" i="15"/>
  <c r="AR233" i="15"/>
  <c r="AR300" i="15"/>
  <c r="AR34" i="15"/>
  <c r="AR229" i="15"/>
  <c r="AR296" i="15"/>
  <c r="AR405" i="15"/>
  <c r="AR418" i="15"/>
  <c r="AR426" i="15"/>
  <c r="AR382" i="15"/>
  <c r="AR403" i="15"/>
  <c r="AR441" i="15"/>
  <c r="AR35" i="15"/>
  <c r="AR221" i="15"/>
  <c r="AR288" i="15"/>
  <c r="AR227" i="15"/>
  <c r="AR294" i="15"/>
  <c r="AR297" i="15"/>
  <c r="AR30" i="15"/>
  <c r="AR33" i="15"/>
  <c r="AR28" i="15"/>
  <c r="AR211" i="15"/>
  <c r="AR293" i="15"/>
  <c r="AR226" i="15"/>
  <c r="AR298" i="15"/>
  <c r="AR231" i="15"/>
  <c r="AR10" i="15"/>
  <c r="AR11" i="15" s="1"/>
  <c r="AR281" i="15"/>
  <c r="AV282" i="15" s="1"/>
  <c r="AR287" i="15"/>
  <c r="AR220" i="15"/>
  <c r="AR291" i="15"/>
  <c r="AR224" i="15"/>
  <c r="AR232" i="15"/>
  <c r="AR299" i="15"/>
  <c r="AR303" i="15"/>
  <c r="AR236" i="15"/>
  <c r="AR88" i="15"/>
  <c r="AR337" i="15" s="1"/>
  <c r="AR356" i="15" s="1"/>
  <c r="AR60" i="15"/>
  <c r="AR285" i="15" s="1"/>
  <c r="AR96" i="15"/>
  <c r="AR92" i="15"/>
  <c r="AR380" i="15"/>
  <c r="AR384" i="15"/>
  <c r="AR386" i="15"/>
  <c r="AR390" i="15"/>
  <c r="AR389" i="15"/>
  <c r="AR404" i="15"/>
  <c r="AR406" i="15"/>
  <c r="AR425" i="15"/>
  <c r="AR416" i="15"/>
  <c r="AR427" i="15"/>
  <c r="AR420" i="15"/>
  <c r="AR424" i="15"/>
  <c r="AR414" i="15"/>
  <c r="AR447" i="15"/>
  <c r="AR435" i="15"/>
  <c r="AR448" i="15"/>
  <c r="AR437" i="15"/>
  <c r="AR449" i="15"/>
  <c r="AR439" i="15"/>
  <c r="AR446" i="15"/>
  <c r="AR433" i="15"/>
  <c r="AU317" i="15" l="1"/>
  <c r="AT317" i="15"/>
  <c r="AS317" i="15"/>
  <c r="AR317" i="15"/>
  <c r="AR443" i="15"/>
  <c r="AR215" i="15"/>
  <c r="AV215" i="15"/>
  <c r="AR276" i="15"/>
  <c r="AV276" i="15"/>
  <c r="AR212" i="15"/>
  <c r="AV212" i="15"/>
  <c r="AR399" i="15"/>
  <c r="AR64" i="15"/>
  <c r="AR283" i="15"/>
  <c r="AR218" i="15"/>
  <c r="AR222" i="15" s="1"/>
  <c r="AR228" i="15" s="1"/>
  <c r="AR235" i="15" s="1"/>
  <c r="AR238" i="15" s="1"/>
  <c r="AR199" i="15"/>
  <c r="AR352" i="15" s="1"/>
  <c r="C1216" i="17"/>
  <c r="AR201" i="15"/>
  <c r="AR262" i="15" s="1"/>
  <c r="BR398" i="15"/>
  <c r="BR400" i="15" s="1"/>
  <c r="C1293" i="17"/>
  <c r="E1285" i="17"/>
  <c r="K1267" i="17"/>
  <c r="M1262" i="17" s="1"/>
  <c r="BR416" i="15"/>
  <c r="BR426" i="15"/>
  <c r="AN420" i="15"/>
  <c r="AN418" i="15"/>
  <c r="BR406" i="15"/>
  <c r="BR388" i="15"/>
  <c r="BR390" i="15" s="1"/>
  <c r="BR404" i="15"/>
  <c r="BR425" i="15"/>
  <c r="BR382" i="15"/>
  <c r="BR447" i="15"/>
  <c r="BR424" i="15"/>
  <c r="BR403" i="15"/>
  <c r="BR446" i="15"/>
  <c r="BR16" i="15"/>
  <c r="BR31" i="15"/>
  <c r="H1285" i="17"/>
  <c r="H1283" i="17"/>
  <c r="AR251" i="15"/>
  <c r="AR318" i="15" s="1"/>
  <c r="AR400" i="15"/>
  <c r="AR408" i="15" s="1"/>
  <c r="AR216" i="15"/>
  <c r="BR449" i="15"/>
  <c r="AR107" i="15"/>
  <c r="AR282" i="15"/>
  <c r="AR16" i="15"/>
  <c r="AU89" i="15" s="1"/>
  <c r="AR198" i="15"/>
  <c r="AR442" i="15"/>
  <c r="AN414" i="15"/>
  <c r="AN386" i="15"/>
  <c r="E1283" i="17"/>
  <c r="AN380" i="15"/>
  <c r="BR448" i="15"/>
  <c r="AR202" i="15"/>
  <c r="BR405" i="15"/>
  <c r="AR339" i="15"/>
  <c r="AR358" i="15" s="1"/>
  <c r="AR343" i="15"/>
  <c r="AR362" i="15" s="1"/>
  <c r="BR414" i="15"/>
  <c r="BR386" i="15"/>
  <c r="BR380" i="15"/>
  <c r="BR384" i="15"/>
  <c r="BR427" i="15"/>
  <c r="AR289" i="15" l="1"/>
  <c r="AR70" i="15"/>
  <c r="AR329" i="15"/>
  <c r="AR330" i="15"/>
  <c r="AS330" i="15"/>
  <c r="AS329" i="15"/>
  <c r="AS321" i="15"/>
  <c r="AS324" i="15"/>
  <c r="AS320" i="15"/>
  <c r="AS323" i="15"/>
  <c r="AT329" i="15"/>
  <c r="AT330" i="15"/>
  <c r="AT321" i="15"/>
  <c r="AT324" i="15"/>
  <c r="AT320" i="15"/>
  <c r="AT323" i="15"/>
  <c r="AU330" i="15"/>
  <c r="AU329" i="15"/>
  <c r="AU321" i="15"/>
  <c r="AU320" i="15"/>
  <c r="AU324" i="15"/>
  <c r="AU323" i="15"/>
  <c r="AR260" i="15"/>
  <c r="BR399" i="15"/>
  <c r="AN399" i="15"/>
  <c r="AS89" i="15"/>
  <c r="AT89" i="15"/>
  <c r="BR408" i="15"/>
  <c r="K1195" i="17"/>
  <c r="F1216" i="17"/>
  <c r="E1211" i="17"/>
  <c r="E1213" i="17"/>
  <c r="C1221" i="17"/>
  <c r="M1264" i="17"/>
  <c r="AN389" i="15"/>
  <c r="BR389" i="15"/>
  <c r="AR263" i="15"/>
  <c r="AR20" i="15"/>
  <c r="AR32" i="15"/>
  <c r="AR89" i="15"/>
  <c r="AR43" i="15"/>
  <c r="AR45" i="15" s="1"/>
  <c r="AR327" i="15"/>
  <c r="AR326" i="15"/>
  <c r="BR20" i="15"/>
  <c r="BR32" i="15"/>
  <c r="AR372" i="15"/>
  <c r="AR371" i="15"/>
  <c r="AR353" i="15"/>
  <c r="AR259" i="15"/>
  <c r="AR97" i="15" l="1"/>
  <c r="AR344" i="15" s="1"/>
  <c r="AR363" i="15" s="1"/>
  <c r="AR78" i="15"/>
  <c r="AR302" i="15" s="1"/>
  <c r="AU90" i="15"/>
  <c r="AR295" i="15"/>
  <c r="AS90" i="15"/>
  <c r="AT90" i="15"/>
  <c r="H1211" i="17"/>
  <c r="H1213" i="17"/>
  <c r="M1190" i="17"/>
  <c r="M1192" i="17"/>
  <c r="AR22" i="15"/>
  <c r="AR24" i="15" s="1"/>
  <c r="AR36" i="15"/>
  <c r="AR37" i="15"/>
  <c r="BR36" i="15"/>
  <c r="BR22" i="15"/>
  <c r="BR24" i="15" s="1"/>
  <c r="BR37" i="15"/>
  <c r="AR46" i="15"/>
  <c r="AR90" i="15"/>
  <c r="AR277" i="15"/>
  <c r="AV278" i="15" s="1"/>
  <c r="AR47" i="15"/>
  <c r="AR81" i="15" l="1"/>
  <c r="AR82" i="15" s="1"/>
  <c r="AT95" i="15"/>
  <c r="AU95" i="15"/>
  <c r="AR95" i="15"/>
  <c r="AS95" i="15"/>
  <c r="AR278" i="15"/>
  <c r="AR279" i="15"/>
  <c r="AR305" i="15" l="1"/>
  <c r="AR84" i="15"/>
  <c r="S317" i="15" l="1"/>
  <c r="BD358" i="15"/>
  <c r="BD372" i="15" s="1"/>
  <c r="BD277" i="15"/>
  <c r="BD318" i="15"/>
  <c r="BD327" i="15" s="1"/>
  <c r="BD357" i="15"/>
  <c r="BD369" i="15" s="1"/>
  <c r="BD281" i="15"/>
  <c r="BD356" i="15"/>
  <c r="BD362" i="15"/>
  <c r="BD275" i="15"/>
  <c r="BD300" i="15"/>
  <c r="BD289" i="15"/>
  <c r="BD292" i="15"/>
  <c r="BD301" i="15"/>
  <c r="BD290" i="15"/>
  <c r="BD287" i="15"/>
  <c r="BD288" i="15"/>
  <c r="BD361" i="15"/>
  <c r="BD296" i="15"/>
  <c r="BD285" i="15"/>
  <c r="BD303" i="15"/>
  <c r="BD360" i="15"/>
  <c r="BD291" i="15"/>
  <c r="BD293" i="15"/>
  <c r="BD297" i="15"/>
  <c r="BD294" i="15"/>
  <c r="BD286" i="15"/>
  <c r="BD298" i="15"/>
  <c r="BD299" i="15"/>
  <c r="Q266" i="15"/>
  <c r="Q277" i="15" s="1"/>
  <c r="R278" i="15" s="1"/>
  <c r="BD276" i="15" l="1"/>
  <c r="BH276" i="15"/>
  <c r="BD282" i="15"/>
  <c r="BH282" i="15"/>
  <c r="BD278" i="15"/>
  <c r="BH278" i="15"/>
  <c r="BG317" i="15"/>
  <c r="BE317" i="15"/>
  <c r="BD317" i="15"/>
  <c r="BF317" i="15"/>
  <c r="S360" i="15"/>
  <c r="Q303" i="15"/>
  <c r="BD359" i="15"/>
  <c r="S294" i="15"/>
  <c r="Q318" i="15"/>
  <c r="Q300" i="15"/>
  <c r="Q299" i="15"/>
  <c r="Q289" i="15"/>
  <c r="S303" i="15"/>
  <c r="S361" i="15"/>
  <c r="Q317" i="15"/>
  <c r="BD283" i="15"/>
  <c r="S362" i="15"/>
  <c r="Q281" i="15"/>
  <c r="Q291" i="15"/>
  <c r="S289" i="15"/>
  <c r="Q288" i="15"/>
  <c r="Q298" i="15"/>
  <c r="Q294" i="15"/>
  <c r="S275" i="15"/>
  <c r="Q287" i="15"/>
  <c r="Q357" i="15"/>
  <c r="Q370" i="15" s="1"/>
  <c r="Q278" i="15"/>
  <c r="BD326" i="15"/>
  <c r="S290" i="15"/>
  <c r="S277" i="15"/>
  <c r="Q358" i="15"/>
  <c r="Q361" i="15"/>
  <c r="Q293" i="15"/>
  <c r="BD279" i="15"/>
  <c r="S285" i="15"/>
  <c r="S293" i="15"/>
  <c r="S358" i="15"/>
  <c r="S357" i="15"/>
  <c r="S296" i="15"/>
  <c r="Q296" i="15"/>
  <c r="Q286" i="15"/>
  <c r="Q290" i="15"/>
  <c r="BD370" i="15"/>
  <c r="BD371" i="15"/>
  <c r="S297" i="15"/>
  <c r="S287" i="15"/>
  <c r="S286" i="15"/>
  <c r="S318" i="15"/>
  <c r="Q275" i="15"/>
  <c r="S292" i="15"/>
  <c r="Q362" i="15"/>
  <c r="Q356" i="15"/>
  <c r="S301" i="15"/>
  <c r="S291" i="15"/>
  <c r="S300" i="15"/>
  <c r="S356" i="15"/>
  <c r="Q285" i="15"/>
  <c r="Q297" i="15"/>
  <c r="Q292" i="15"/>
  <c r="Q301" i="15"/>
  <c r="Q360" i="15"/>
  <c r="S288" i="15"/>
  <c r="S330" i="15" s="1"/>
  <c r="S299" i="15"/>
  <c r="S298" i="15"/>
  <c r="S281" i="15"/>
  <c r="Q279" i="15" l="1"/>
  <c r="R276" i="15"/>
  <c r="Q282" i="15"/>
  <c r="R282" i="15"/>
  <c r="S329" i="15"/>
  <c r="BF329" i="15"/>
  <c r="BF330" i="15"/>
  <c r="BF324" i="15"/>
  <c r="BF323" i="15"/>
  <c r="BF321" i="15"/>
  <c r="BF320" i="15"/>
  <c r="BD330" i="15"/>
  <c r="BD329" i="15"/>
  <c r="BD323" i="15"/>
  <c r="Q320" i="15"/>
  <c r="Q329" i="15"/>
  <c r="Q330" i="15"/>
  <c r="BD320" i="15"/>
  <c r="BE330" i="15"/>
  <c r="BE329" i="15"/>
  <c r="BE323" i="15"/>
  <c r="BE321" i="15"/>
  <c r="BE324" i="15"/>
  <c r="BE320" i="15"/>
  <c r="BD324" i="15"/>
  <c r="BG329" i="15"/>
  <c r="BG330" i="15"/>
  <c r="BG323" i="15"/>
  <c r="BG321" i="15"/>
  <c r="BG320" i="15"/>
  <c r="BG324" i="15"/>
  <c r="BD321" i="15"/>
  <c r="Q359" i="15"/>
  <c r="Q369" i="15"/>
  <c r="Q327" i="15"/>
  <c r="Q326" i="15"/>
  <c r="Q323" i="15"/>
  <c r="Q324" i="15"/>
  <c r="S279" i="15"/>
  <c r="Q321" i="15"/>
  <c r="Q372" i="15"/>
  <c r="Q371" i="15"/>
  <c r="S359" i="15"/>
  <c r="S283" i="15"/>
  <c r="Q276" i="15"/>
  <c r="Q283" i="15"/>
  <c r="P78" i="15" l="1"/>
  <c r="O78" i="15"/>
  <c r="O80" i="15" s="1"/>
  <c r="R78" i="15"/>
  <c r="R80" i="15" s="1"/>
  <c r="N78" i="15"/>
  <c r="Q78" i="15"/>
  <c r="Q80" i="15" s="1"/>
  <c r="R295" i="15"/>
  <c r="R97" i="15"/>
  <c r="R344" i="15" s="1"/>
  <c r="R363" i="15" s="1"/>
  <c r="P295" i="15"/>
  <c r="P97" i="15"/>
  <c r="P344" i="15" s="1"/>
  <c r="P363" i="15" s="1"/>
  <c r="Q295" i="15"/>
  <c r="Q97" i="15"/>
  <c r="Q344" i="15" s="1"/>
  <c r="Q363" i="15" s="1"/>
  <c r="S295" i="15"/>
  <c r="S97" i="15"/>
  <c r="S344" i="15" s="1"/>
  <c r="S363" i="15" s="1"/>
  <c r="N295" i="15"/>
  <c r="N97" i="15"/>
  <c r="N344" i="15" s="1"/>
  <c r="N363" i="15" s="1"/>
  <c r="O295" i="15"/>
  <c r="O97" i="15"/>
  <c r="O344" i="15" s="1"/>
  <c r="O363" i="15" s="1"/>
  <c r="O304" i="15" l="1"/>
  <c r="O237" i="15"/>
  <c r="O238" i="15" s="1"/>
  <c r="CE80" i="15"/>
  <c r="CE81" i="15" s="1"/>
  <c r="O85" i="15"/>
  <c r="Q304" i="15"/>
  <c r="Q85" i="15"/>
  <c r="Q237" i="15"/>
  <c r="Q238" i="15" s="1"/>
  <c r="R304" i="15"/>
  <c r="R237" i="15"/>
  <c r="R238" i="15" s="1"/>
  <c r="R85" i="15"/>
  <c r="Q302" i="15"/>
  <c r="R302" i="15"/>
  <c r="O302" i="15"/>
  <c r="O81" i="15"/>
  <c r="Q81" i="15"/>
  <c r="Q305" i="15" s="1"/>
  <c r="R81" i="15"/>
  <c r="R305" i="15" s="1"/>
  <c r="P80" i="15"/>
  <c r="N80" i="15"/>
  <c r="S302" i="15"/>
  <c r="N302" i="15"/>
  <c r="P302" i="15"/>
  <c r="P85" i="15" l="1"/>
  <c r="P304" i="15"/>
  <c r="P237" i="15"/>
  <c r="P238" i="15" s="1"/>
  <c r="P81" i="15"/>
  <c r="P305" i="15" s="1"/>
  <c r="N85" i="15"/>
  <c r="N304" i="15"/>
  <c r="N237" i="15"/>
  <c r="N238" i="15" s="1"/>
  <c r="O305" i="15"/>
  <c r="O82" i="15"/>
  <c r="N81" i="15"/>
  <c r="N82" i="15" l="1"/>
  <c r="N84" i="15" s="1"/>
  <c r="N305" i="15"/>
  <c r="CE82" i="15"/>
  <c r="P82" i="15"/>
  <c r="O84" i="15"/>
  <c r="P84" i="15" l="1"/>
  <c r="CI82" i="15"/>
  <c r="Q82" i="15"/>
  <c r="R82" i="15" l="1"/>
  <c r="R84" i="15" s="1"/>
  <c r="Q84" i="15"/>
  <c r="AY97" i="15"/>
  <c r="AY344" i="15" s="1"/>
  <c r="AY363" i="15" s="1"/>
  <c r="BH97" i="15"/>
  <c r="BH344" i="15" s="1"/>
  <c r="BH363" i="15" s="1"/>
  <c r="AZ97" i="15"/>
  <c r="AZ344" i="15" s="1"/>
  <c r="AZ363" i="15" s="1"/>
  <c r="BB97" i="15"/>
  <c r="BB344" i="15" s="1"/>
  <c r="BB363" i="15" s="1"/>
  <c r="AW97" i="15"/>
  <c r="AW344" i="15" s="1"/>
  <c r="AW363" i="15" s="1"/>
  <c r="AX97" i="15"/>
  <c r="AX344" i="15" s="1"/>
  <c r="AX363" i="15" s="1"/>
  <c r="BE97" i="15"/>
  <c r="BE344" i="15" s="1"/>
  <c r="BE363" i="15" s="1"/>
  <c r="BC97" i="15"/>
  <c r="BC344" i="15"/>
  <c r="BC363" i="15" s="1"/>
  <c r="AV97" i="15"/>
  <c r="AV344" i="15" s="1"/>
  <c r="AV363" i="15" s="1"/>
  <c r="BE295" i="15"/>
  <c r="AT97" i="15"/>
  <c r="AT344" i="15" s="1"/>
  <c r="AT363" i="15" s="1"/>
  <c r="BH78" i="15"/>
  <c r="BH302" i="15" s="1"/>
  <c r="BG97" i="15"/>
  <c r="BG344" i="15" s="1"/>
  <c r="BG363" i="15" s="1"/>
  <c r="BA97" i="15"/>
  <c r="BA344" i="15" s="1"/>
  <c r="BA363" i="15" s="1"/>
  <c r="BD78" i="15"/>
  <c r="BD302" i="15" s="1"/>
  <c r="BF295" i="15"/>
  <c r="AW295" i="15"/>
  <c r="BD97" i="15"/>
  <c r="BD344" i="15" s="1"/>
  <c r="BD363" i="15" s="1"/>
  <c r="AV302" i="15"/>
  <c r="BH295" i="15"/>
  <c r="BB295" i="15"/>
  <c r="AX295" i="15"/>
  <c r="AV78" i="15"/>
  <c r="BC295" i="15"/>
  <c r="BA78" i="15"/>
  <c r="BA80" i="15" s="1"/>
  <c r="AU97" i="15"/>
  <c r="AU344" i="15"/>
  <c r="AU363" i="15" s="1"/>
  <c r="BF78" i="15"/>
  <c r="BF302" i="15" s="1"/>
  <c r="AY295" i="15"/>
  <c r="BD295" i="15"/>
  <c r="AV295" i="15"/>
  <c r="AS295" i="15"/>
  <c r="AW78" i="15"/>
  <c r="BG295" i="15"/>
  <c r="AZ78" i="15"/>
  <c r="AZ302" i="15" s="1"/>
  <c r="AT295" i="15"/>
  <c r="BG78" i="15"/>
  <c r="BG302" i="15" s="1"/>
  <c r="BC78" i="15"/>
  <c r="BC302" i="15" s="1"/>
  <c r="BA295" i="15"/>
  <c r="AU78" i="15"/>
  <c r="BF97" i="15"/>
  <c r="BF344" i="15" s="1"/>
  <c r="BF363" i="15" s="1"/>
  <c r="AX78" i="15"/>
  <c r="AX302" i="15" s="1"/>
  <c r="AU295" i="15"/>
  <c r="AY78" i="15"/>
  <c r="AY302" i="15"/>
  <c r="AS97" i="15"/>
  <c r="AS344" i="15" s="1"/>
  <c r="AS363" i="15" s="1"/>
  <c r="AS78" i="15"/>
  <c r="AS80" i="15" s="1"/>
  <c r="AS85" i="15" s="1"/>
  <c r="BB78" i="15"/>
  <c r="BB302" i="15" s="1"/>
  <c r="AT78" i="15"/>
  <c r="AT302" i="15" s="1"/>
  <c r="AZ295" i="15"/>
  <c r="BE78" i="15"/>
  <c r="AS302" i="15" l="1"/>
  <c r="BA302" i="15"/>
  <c r="AT80" i="15"/>
  <c r="AU80" i="15" s="1"/>
  <c r="AU81" i="15" s="1"/>
  <c r="AU305" i="15" s="1"/>
  <c r="AW302" i="15"/>
  <c r="AS237" i="15"/>
  <c r="AS238" i="15" s="1"/>
  <c r="AW80" i="15"/>
  <c r="AT304" i="15"/>
  <c r="AT237" i="15"/>
  <c r="AT238" i="15" s="1"/>
  <c r="BA237" i="15"/>
  <c r="BA238" i="15" s="1"/>
  <c r="BA304" i="15"/>
  <c r="BA81" i="15"/>
  <c r="BA305" i="15" s="1"/>
  <c r="BA85" i="15"/>
  <c r="AS304" i="15"/>
  <c r="AU302" i="15"/>
  <c r="BB80" i="15"/>
  <c r="BC80" i="15" s="1"/>
  <c r="AS81" i="15"/>
  <c r="BE302" i="15"/>
  <c r="BE80" i="15"/>
  <c r="AW85" i="15" l="1"/>
  <c r="AW237" i="15"/>
  <c r="AW238" i="15" s="1"/>
  <c r="AT81" i="15"/>
  <c r="AT305" i="15" s="1"/>
  <c r="AT85" i="15"/>
  <c r="AX80" i="15"/>
  <c r="AW304" i="15"/>
  <c r="AW81" i="15"/>
  <c r="AW305" i="15" s="1"/>
  <c r="BC304" i="15"/>
  <c r="BC85" i="15"/>
  <c r="BC81" i="15"/>
  <c r="BC305" i="15" s="1"/>
  <c r="BD80" i="15"/>
  <c r="BC237" i="15"/>
  <c r="BC238" i="15" s="1"/>
  <c r="BE237" i="15"/>
  <c r="BE238" i="15" s="1"/>
  <c r="BE304" i="15"/>
  <c r="BE85" i="15"/>
  <c r="BE81" i="15"/>
  <c r="BE305" i="15" s="1"/>
  <c r="AS82" i="15"/>
  <c r="AS305" i="15"/>
  <c r="BB304" i="15"/>
  <c r="BB85" i="15"/>
  <c r="BB237" i="15"/>
  <c r="BB238" i="15" s="1"/>
  <c r="BF80" i="15"/>
  <c r="AU85" i="15"/>
  <c r="AU304" i="15"/>
  <c r="AV80" i="15"/>
  <c r="AU237" i="15"/>
  <c r="AU238" i="15" s="1"/>
  <c r="BB81" i="15"/>
  <c r="BB305" i="15" s="1"/>
  <c r="BD85" i="15" l="1"/>
  <c r="AX304" i="15"/>
  <c r="AX85" i="15"/>
  <c r="AX81" i="15"/>
  <c r="AX305" i="15" s="1"/>
  <c r="AY80" i="15"/>
  <c r="AX237" i="15"/>
  <c r="AX238" i="15" s="1"/>
  <c r="AV85" i="15"/>
  <c r="BF81" i="15"/>
  <c r="BF305" i="15" s="1"/>
  <c r="BG80" i="15"/>
  <c r="BH80" i="15" s="1"/>
  <c r="BF304" i="15"/>
  <c r="BF85" i="15"/>
  <c r="BF237" i="15"/>
  <c r="BF238" i="15" s="1"/>
  <c r="BD237" i="15"/>
  <c r="BD238" i="15" s="1"/>
  <c r="BD304" i="15"/>
  <c r="BD81" i="15"/>
  <c r="BD305" i="15" s="1"/>
  <c r="AT82" i="15"/>
  <c r="AS84" i="15"/>
  <c r="CB82" i="15"/>
  <c r="AV304" i="15"/>
  <c r="AV237" i="15"/>
  <c r="AV238" i="15" s="1"/>
  <c r="AV81" i="15"/>
  <c r="AV305" i="15" s="1"/>
  <c r="S80" i="15" l="1"/>
  <c r="S81" i="15" s="1"/>
  <c r="AY81" i="15"/>
  <c r="AY305" i="15" s="1"/>
  <c r="AY85" i="15"/>
  <c r="AZ85" i="15" s="1"/>
  <c r="AY304" i="15"/>
  <c r="AY237" i="15"/>
  <c r="AY238" i="15" s="1"/>
  <c r="AZ80" i="15"/>
  <c r="AT84" i="15"/>
  <c r="AU82" i="15"/>
  <c r="CC82" i="15"/>
  <c r="CD82" i="15" s="1"/>
  <c r="BH237" i="15"/>
  <c r="BH238" i="15" s="1"/>
  <c r="BH81" i="15"/>
  <c r="BH305" i="15" s="1"/>
  <c r="BH304" i="15"/>
  <c r="BG237" i="15"/>
  <c r="BG238" i="15" s="1"/>
  <c r="BG85" i="15"/>
  <c r="BG304" i="15"/>
  <c r="BG81" i="15"/>
  <c r="BG305" i="15" s="1"/>
  <c r="AZ81" i="15" l="1"/>
  <c r="AZ305" i="15" s="1"/>
  <c r="AZ237" i="15"/>
  <c r="AZ238" i="15" s="1"/>
  <c r="AZ304" i="15"/>
  <c r="S304" i="15"/>
  <c r="S305" i="15"/>
  <c r="S237" i="15"/>
  <c r="S238" i="15" s="1"/>
  <c r="AV82" i="15"/>
  <c r="AU84" i="15"/>
  <c r="AV84" i="15" l="1"/>
  <c r="AW82" i="15"/>
  <c r="AW84" i="15" l="1"/>
  <c r="AX82" i="15"/>
  <c r="AX84" i="15" l="1"/>
  <c r="AY82" i="15"/>
  <c r="AY84" i="15" l="1"/>
  <c r="AZ82" i="15"/>
  <c r="AZ84" i="15" l="1"/>
  <c r="BA82" i="15"/>
  <c r="BB82" i="15" l="1"/>
  <c r="BA84" i="15"/>
  <c r="BC82" i="15" l="1"/>
  <c r="BB84" i="15"/>
  <c r="BC84" i="15" l="1"/>
  <c r="BD82" i="15"/>
  <c r="BD84" i="15" l="1"/>
  <c r="BE82" i="15"/>
  <c r="S82" i="15" s="1"/>
  <c r="S84" i="15" s="1"/>
  <c r="BE84" i="15" l="1"/>
  <c r="BF82" i="15"/>
  <c r="BF84" i="15" l="1"/>
  <c r="BG82" i="15"/>
  <c r="BH82" i="15" l="1"/>
  <c r="BG84" i="15"/>
  <c r="CF78" i="15"/>
  <c r="CH78" i="15"/>
  <c r="BH84" i="15" l="1"/>
  <c r="BI82" i="15"/>
  <c r="BI84" i="15" s="1"/>
  <c r="CF80" i="15"/>
  <c r="CG80" i="15"/>
  <c r="CG81" i="15" l="1"/>
  <c r="CH80" i="15"/>
  <c r="CH81" i="15" s="1"/>
  <c r="CF81" i="15"/>
  <c r="CF82" i="15" s="1"/>
  <c r="CG82" i="15" l="1"/>
  <c r="CH82" i="15"/>
  <c r="CI80" i="15"/>
  <c r="CI81" i="15" s="1"/>
  <c r="R367" i="15"/>
  <c r="R370" i="15" s="1"/>
  <c r="R315" i="15"/>
  <c r="R327" i="15" s="1"/>
  <c r="R365" i="15"/>
  <c r="R369" i="15" s="1"/>
  <c r="R309" i="15"/>
  <c r="R321" i="15" s="1"/>
  <c r="R308" i="15"/>
  <c r="R320" i="15" s="1"/>
  <c r="R312" i="15"/>
  <c r="R324" i="15" s="1"/>
  <c r="R366" i="15"/>
  <c r="R371" i="15" s="1"/>
  <c r="R368" i="15"/>
  <c r="R372" i="15" s="1"/>
  <c r="R314" i="15"/>
  <c r="R326" i="15" s="1"/>
  <c r="R311" i="15"/>
  <c r="R323" i="15" s="1"/>
  <c r="R306" i="15"/>
  <c r="R364" i="15"/>
  <c r="BH306" i="15"/>
  <c r="BH367" i="15"/>
  <c r="BH370" i="15" s="1"/>
  <c r="BH366" i="15" l="1"/>
  <c r="BH371" i="15" s="1"/>
  <c r="BH315" i="15"/>
  <c r="BH327" i="15" s="1"/>
  <c r="BH312" i="15"/>
  <c r="BH324" i="15" s="1"/>
  <c r="BH365" i="15"/>
  <c r="BH369" i="15" s="1"/>
  <c r="BH314" i="15"/>
  <c r="BH326" i="15" s="1"/>
  <c r="BH309" i="15"/>
  <c r="BH321" i="15" s="1"/>
  <c r="BH311" i="15"/>
  <c r="BH323" i="15" s="1"/>
  <c r="BH368" i="15"/>
  <c r="BH372" i="15" s="1"/>
  <c r="BH308" i="15"/>
  <c r="BH320" i="15" s="1"/>
  <c r="BH364" i="15"/>
  <c r="S268" i="15" l="1"/>
  <c r="I93" i="17"/>
  <c r="D116" i="17" s="1"/>
  <c r="S315" i="15"/>
  <c r="S327" i="15" s="1"/>
  <c r="S309" i="15"/>
  <c r="S321" i="15" s="1"/>
  <c r="S306" i="15"/>
  <c r="S314" i="15"/>
  <c r="S326" i="15" s="1"/>
  <c r="S365" i="15"/>
  <c r="S369" i="15" s="1"/>
  <c r="S312" i="15"/>
  <c r="S324" i="15" s="1"/>
  <c r="S364" i="15"/>
  <c r="S367" i="15"/>
  <c r="S370" i="15" s="1"/>
  <c r="S368" i="15"/>
  <c r="S372" i="15" s="1"/>
  <c r="S311" i="15"/>
  <c r="S323" i="15" s="1"/>
  <c r="S366" i="15"/>
  <c r="S371" i="15" s="1"/>
  <c r="S308" i="15"/>
  <c r="S320" i="15" s="1"/>
  <c r="D111" i="17" l="1"/>
  <c r="D142" i="17"/>
  <c r="D136" i="17"/>
  <c r="D123" i="17"/>
  <c r="D135" i="17"/>
  <c r="J100" i="17"/>
  <c r="D114" i="17"/>
  <c r="D109" i="17"/>
  <c r="D137" i="17"/>
  <c r="D121" i="17"/>
  <c r="D163" i="17"/>
  <c r="D103" i="17"/>
  <c r="D101" i="17"/>
  <c r="D162" i="17"/>
  <c r="D104" i="17"/>
  <c r="D161" i="17"/>
  <c r="D131" i="17"/>
  <c r="D158" i="17"/>
  <c r="J98" i="17"/>
  <c r="D126" i="17"/>
  <c r="D105" i="17"/>
  <c r="D110" i="17"/>
  <c r="D106" i="17"/>
  <c r="D108" i="17"/>
  <c r="D112" i="17"/>
  <c r="D132" i="17"/>
  <c r="D160" i="17"/>
  <c r="D113" i="17"/>
  <c r="D97" i="17"/>
  <c r="D130" i="17"/>
  <c r="D128" i="17"/>
  <c r="D127" i="17"/>
  <c r="D152" i="17"/>
  <c r="D153" i="17" s="1"/>
  <c r="D140" i="17"/>
  <c r="D124" i="17"/>
  <c r="D133" i="17"/>
  <c r="D122" i="17"/>
  <c r="J101" i="17"/>
  <c r="D159" i="17"/>
  <c r="D134" i="17"/>
  <c r="J99" i="17"/>
  <c r="D118" i="17"/>
  <c r="D125" i="17"/>
  <c r="D119" i="17"/>
  <c r="D115" i="17"/>
  <c r="D120" i="17"/>
  <c r="D117" i="17"/>
  <c r="D102" i="17"/>
  <c r="D129" i="17"/>
  <c r="D107" i="17"/>
  <c r="D164" i="17" l="1"/>
  <c r="D51" i="17"/>
  <c r="F51" i="17" s="1"/>
  <c r="D139" i="17"/>
  <c r="F139" i="17" s="1"/>
  <c r="D143" i="17" l="1"/>
  <c r="D141" i="17"/>
  <c r="F141" i="17" s="1"/>
  <c r="D55" i="17"/>
  <c r="D53" i="17"/>
  <c r="F53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  <author>Crisil GR&amp;RS</author>
    <author>Dion Babu</author>
    <author>Vivek Panchal</author>
    <author>Crisil GR&amp;A</author>
    <author>Onabule, Yejide</author>
  </authors>
  <commentList>
    <comment ref="I8" authorId="0" shapeId="0" xr:uid="{2D58D7B9-40C5-459D-B0BB-53BD07CC32D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excludes leases</t>
        </r>
      </text>
    </comment>
    <comment ref="C81" authorId="0" shapeId="0" xr:uid="{5742747C-D00F-48E7-AFB1-E5504CB67A5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I98" authorId="0" shapeId="0" xr:uid="{271176B7-8BE9-431F-94A3-21CB6DB56AA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excludes leases</t>
        </r>
      </text>
    </comment>
    <comment ref="B159" authorId="1" shapeId="0" xr:uid="{2765FDDC-5386-48B2-804E-1898B3994003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- 61/161</t>
        </r>
      </text>
    </comment>
    <comment ref="C169" authorId="0" shapeId="0" xr:uid="{1121D507-AC74-46AD-8BBE-F2D0C557D0A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Filings - Pg 10/161</t>
        </r>
      </text>
    </comment>
    <comment ref="I183" authorId="0" shapeId="0" xr:uid="{27EBAF61-90CD-47B1-8216-4D06E923E2B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excludes leases</t>
        </r>
      </text>
    </comment>
    <comment ref="B242" authorId="1" shapeId="0" xr:uid="{F8439DD3-DBE6-47CD-9D54-440FC2A1AB1D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243" authorId="1" shapeId="0" xr:uid="{6D2D59E2-F4E8-49A8-83BD-45D53C714455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244" authorId="1" shapeId="0" xr:uid="{536C5742-6FB2-4003-83FA-8496B85D47EE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245" authorId="1" shapeId="0" xr:uid="{973963D4-A4F7-4969-B5D4-812FE2738DF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- 78/175</t>
        </r>
      </text>
    </comment>
    <comment ref="C313" authorId="2" shapeId="0" xr:uid="{205C3B3B-D8C7-46D4-9C54-68C04014E92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B321" authorId="1" shapeId="0" xr:uid="{97F6C03B-FF41-4916-8A94-90F2C58BBC3F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322" authorId="1" shapeId="0" xr:uid="{71953367-45D0-45AC-85B0-D583BE749A06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323" authorId="1" shapeId="0" xr:uid="{7EA48AA6-40A9-4CF9-A4C1-096679AD176A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324" authorId="1" shapeId="0" xr:uid="{03C48858-D972-410F-9185-7776E4C5BBF2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- 78/175</t>
        </r>
      </text>
    </comment>
    <comment ref="C387" authorId="2" shapeId="0" xr:uid="{516B5EB9-BAE7-4967-8778-A078CEF2948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B395" authorId="1" shapeId="0" xr:uid="{1664224A-A7A2-40BD-9071-F67E0FCF79B7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396" authorId="1" shapeId="0" xr:uid="{64BCC7D2-773E-45A7-8967-1AAE02866361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397" authorId="1" shapeId="0" xr:uid="{AE4F83C8-139F-44A1-9DE1-9549290EF9DF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398" authorId="1" shapeId="0" xr:uid="{D918B5F2-1A08-429E-9C0A-564F8B662991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- 78/175</t>
        </r>
      </text>
    </comment>
    <comment ref="C460" authorId="2" shapeId="0" xr:uid="{8BBBFC21-8C59-4FB8-8116-E60A89C4B8C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B468" authorId="1" shapeId="0" xr:uid="{338A5A01-0C59-47C2-9F39-64E229E87D97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469" authorId="1" shapeId="0" xr:uid="{516C3D68-A6BA-47CE-A998-BC2D5877A633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470" authorId="1" shapeId="0" xr:uid="{4474F804-ABB5-4472-9FC1-FB2E662EF423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471" authorId="1" shapeId="0" xr:uid="{2883B9AA-ACEC-4E35-AE8D-2E6D79FF28A1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- 78/175</t>
        </r>
      </text>
    </comment>
    <comment ref="C518" authorId="3" shapeId="0" xr:uid="{9ED38048-55E2-414A-AFDC-827E7233C317}">
      <text>
        <r>
          <rPr>
            <b/>
            <sz val="9"/>
            <color indexed="81"/>
            <rFont val="Tahoma"/>
            <family val="2"/>
          </rPr>
          <t>Redeemed</t>
        </r>
      </text>
    </comment>
    <comment ref="C533" authorId="2" shapeId="0" xr:uid="{11706A5A-7300-4EBC-AB6C-3CA6D8FD223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B541" authorId="1" shapeId="0" xr:uid="{424182C4-761F-47E9-9F00-C15C4D73ACEA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542" authorId="1" shapeId="0" xr:uid="{3CA32395-00F7-4798-865B-C60DD7BC7E88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543" authorId="1" shapeId="0" xr:uid="{6F8778D1-1082-4104-AE77-EDE2A8C5BA60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544" authorId="1" shapeId="0" xr:uid="{E888CF47-7E6A-47F5-8C8F-D6DD9134FC10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- 78/177</t>
        </r>
      </text>
    </comment>
    <comment ref="B545" authorId="1" shapeId="0" xr:uid="{00E03490-AF40-4066-B68D-6480A8C31156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- 78/175</t>
        </r>
      </text>
    </comment>
    <comment ref="C591" authorId="3" shapeId="0" xr:uid="{B993A18E-87DE-49D9-9441-DBD64BBE5B34}">
      <text>
        <r>
          <rPr>
            <b/>
            <sz val="9"/>
            <color indexed="81"/>
            <rFont val="Tahoma"/>
            <family val="2"/>
          </rPr>
          <t>Redeemed</t>
        </r>
      </text>
    </comment>
    <comment ref="C606" authorId="2" shapeId="0" xr:uid="{6BDE9A63-A885-4199-B5C1-AF92A19A39D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B614" authorId="1" shapeId="0" xr:uid="{9DAB0B8B-44BA-45E5-8285-A21E85EAE760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- 78/175</t>
        </r>
      </text>
    </comment>
    <comment ref="B615" authorId="1" shapeId="0" xr:uid="{B058E8DB-790B-4A49-8428-032B8A198C7A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- 78/175</t>
        </r>
      </text>
    </comment>
    <comment ref="B616" authorId="1" shapeId="0" xr:uid="{0BDD887B-AD46-4A2D-8773-B7B38A1CF597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- 78/175</t>
        </r>
      </text>
    </comment>
    <comment ref="B617" authorId="1" shapeId="0" xr:uid="{B18825BF-B533-4C59-A135-58BC27EC7B55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- 78/175</t>
        </r>
      </text>
    </comment>
    <comment ref="B618" authorId="1" shapeId="0" xr:uid="{5AB57A1E-DCB4-42D9-8151-E6D614E9614E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- 78/175</t>
        </r>
      </text>
    </comment>
    <comment ref="C662" authorId="3" shapeId="0" xr:uid="{7A3EC58E-883F-45FC-AF0B-CA2485D4A8DE}">
      <text>
        <r>
          <rPr>
            <b/>
            <sz val="9"/>
            <color indexed="81"/>
            <rFont val="Tahoma"/>
            <family val="2"/>
          </rPr>
          <t>Redeemed</t>
        </r>
      </text>
    </comment>
    <comment ref="C677" authorId="2" shapeId="0" xr:uid="{76849613-3439-416E-AD24-3FF9141612F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B685" authorId="1" shapeId="0" xr:uid="{8C849FFC-9DD5-44F8-8522-543C7123EA09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- 79/175</t>
        </r>
      </text>
    </comment>
    <comment ref="B686" authorId="1" shapeId="0" xr:uid="{46AFB046-768B-4B28-B7FF-2C3C23B2BBD7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- 79/175</t>
        </r>
      </text>
    </comment>
    <comment ref="B687" authorId="1" shapeId="0" xr:uid="{09EAB656-B05B-46F9-92D4-77FF260348E1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- 79/175</t>
        </r>
      </text>
    </comment>
    <comment ref="B688" authorId="1" shapeId="0" xr:uid="{9B583134-8505-48DD-AE9F-DE6B485D40AF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- 79/175</t>
        </r>
      </text>
    </comment>
    <comment ref="B689" authorId="1" shapeId="0" xr:uid="{1C76B1A2-8B49-44B9-AD36-420D111B4CC0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- 83/184</t>
        </r>
      </text>
    </comment>
    <comment ref="C733" authorId="3" shapeId="0" xr:uid="{5278E143-108F-4D60-B9A6-49A3F1BFD431}">
      <text>
        <r>
          <rPr>
            <b/>
            <sz val="9"/>
            <color indexed="81"/>
            <rFont val="Tahoma"/>
            <family val="2"/>
          </rPr>
          <t>Redeemed</t>
        </r>
      </text>
    </comment>
    <comment ref="C748" authorId="2" shapeId="0" xr:uid="{7A31FAFF-3880-4E8D-AF79-172412867BD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B756" authorId="1" shapeId="0" xr:uid="{1A3F7534-7A08-4210-A0EE-6C1724E07237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- 83/184</t>
        </r>
      </text>
    </comment>
    <comment ref="B757" authorId="1" shapeId="0" xr:uid="{4F9EDC2B-91AF-4D2E-9FDD-818AC00B245F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- 83/184</t>
        </r>
      </text>
    </comment>
    <comment ref="B758" authorId="1" shapeId="0" xr:uid="{C1C412C3-29D1-42FB-81BE-0CC53C6241FC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- 83/184</t>
        </r>
      </text>
    </comment>
    <comment ref="B759" authorId="1" shapeId="0" xr:uid="{DB5FEDEF-9FAD-499A-9A1D-962CEE6AE328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Filings - 83/184</t>
        </r>
      </text>
    </comment>
    <comment ref="C797" authorId="3" shapeId="0" xr:uid="{762AC616-A2CB-4CB6-8AFC-BA8D6DC8EF0C}">
      <text>
        <r>
          <rPr>
            <b/>
            <sz val="9"/>
            <color indexed="81"/>
            <rFont val="Tahoma"/>
            <family val="2"/>
          </rPr>
          <t>Redeemed</t>
        </r>
      </text>
    </comment>
    <comment ref="C812" authorId="2" shapeId="0" xr:uid="{50EA274A-6756-4672-B300-E355F04EEA8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C860" authorId="3" shapeId="0" xr:uid="{E9C6FD46-F5DC-43E6-AB2D-466AD2CB2962}">
      <text>
        <r>
          <rPr>
            <b/>
            <sz val="9"/>
            <color indexed="81"/>
            <rFont val="Tahoma"/>
            <family val="2"/>
          </rPr>
          <t>Redeemed</t>
        </r>
      </text>
    </comment>
    <comment ref="C875" authorId="2" shapeId="0" xr:uid="{22252818-F6A2-4628-A62A-0DEC2EEAE2B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C935" authorId="2" shapeId="0" xr:uid="{CB5DFF9E-82B5-4981-B567-842B71E3980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C994" authorId="2" shapeId="0" xr:uid="{5C2773DE-BB06-410A-95EA-007366DE485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C1053" authorId="2" shapeId="0" xr:uid="{BE860540-041D-4F9E-B796-43CBEC4ECE5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US$634mn - revolver credit facilities 
(taken from pg 7/9 of 3Q22 PR)</t>
        </r>
      </text>
    </comment>
    <comment ref="C1112" authorId="2" shapeId="0" xr:uid="{54DF47CF-682C-4161-AD2F-A281FD61F0D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US$1.55 in undrawn committed revolver facilities (taken from 2Q22 presentation)</t>
        </r>
      </text>
    </comment>
    <comment ref="C1169" authorId="2" shapeId="0" xr:uid="{95F20237-D46C-4F40-A3C7-A2C7B6D2203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US$1.55 in undrawn committed revolver facilities (taken from 1Q22 presentation)</t>
        </r>
      </text>
    </comment>
    <comment ref="K1190" authorId="4" shapeId="0" xr:uid="{51539E88-9533-49D0-B11B-B9F3278317F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225" authorId="2" shapeId="0" xr:uid="{2BED68B8-F950-4733-B00E-8DD8D663848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US$1.75 in undrawn committed revolver facilities (taken from 4Q21 presentation page:15/18)</t>
        </r>
      </text>
    </comment>
    <comment ref="K1262" authorId="4" shapeId="0" xr:uid="{00000000-0006-0000-0000-00000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297" authorId="2" shapeId="0" xr:uid="{00000000-0006-0000-0000-00000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US$2bn in undrawn committed revolver facilities (taken from 2Q21 presentation page:15/18)</t>
        </r>
      </text>
    </comment>
    <comment ref="K1323" authorId="4" shapeId="0" xr:uid="{00000000-0006-0000-0000-00000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358" authorId="2" shapeId="0" xr:uid="{00000000-0006-0000-0000-00000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US$2bn in undrawn committed revolver facilities (taken from 2Q21 presentation page:15/18)</t>
        </r>
      </text>
    </comment>
    <comment ref="K1382" authorId="4" shapeId="0" xr:uid="{00000000-0006-0000-0000-00000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416" authorId="2" shapeId="0" xr:uid="{00000000-0006-0000-0000-00000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US$2bn in undrawn committed revolver facilities (taken from 1Q21 presentation page:15/18)</t>
        </r>
      </text>
    </comment>
    <comment ref="K1439" authorId="4" shapeId="0" xr:uid="{00000000-0006-0000-0000-00000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473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US$2bn in undrawn committed revolver facilities (taken from 4Q20 presentation page:18/22)</t>
        </r>
      </text>
    </comment>
    <comment ref="K1496" authorId="4" shapeId="0" xr:uid="{00000000-0006-0000-0000-00000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530" authorId="4" shapeId="0" xr:uid="{00000000-0006-0000-0000-00000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US$1.9bn in undrawn committed revolver facilities (taken from 3Q20 presentation page:21/25)</t>
        </r>
      </text>
    </comment>
    <comment ref="K1558" authorId="4" shapeId="0" xr:uid="{00000000-0006-0000-0000-00000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592" authorId="4" shapeId="0" xr:uid="{00000000-0006-0000-0000-00000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US$1.3bn in undrawn committed revolver facilities (taken from 1Q20 presentation page:1619)</t>
        </r>
      </text>
    </comment>
    <comment ref="K1614" authorId="4" shapeId="0" xr:uid="{00000000-0006-0000-0000-00000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648" authorId="4" shapeId="0" xr:uid="{00000000-0006-0000-0000-00000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US$1.3bn in undrawn committed revolver facilities (taken from 1Q20 presentation page:1619)</t>
        </r>
      </text>
    </comment>
    <comment ref="K1670" authorId="4" shapeId="0" xr:uid="{00000000-0006-0000-0000-00000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704" authorId="4" shapeId="0" xr:uid="{00000000-0006-0000-0000-00001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US$2.0bn in undrawn committed revolver facilities (taken from 4Q19 presentation page:1014)</t>
        </r>
      </text>
    </comment>
    <comment ref="K1727" authorId="4" shapeId="0" xr:uid="{00000000-0006-0000-0000-00001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760" authorId="4" shapeId="0" xr:uid="{00000000-0006-0000-0000-00001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US$2.0bn in undrawn committed revolver facilities (taken from 3Q19 presentation page:12/16)</t>
        </r>
      </text>
    </comment>
    <comment ref="B1782" authorId="5" shapeId="0" xr:uid="{00000000-0006-0000-0000-000013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use whatever is relevant-  REPORTING CURRENCY</t>
        </r>
      </text>
    </comment>
    <comment ref="K1784" authorId="4" shapeId="0" xr:uid="{00000000-0006-0000-0000-00001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816" authorId="4" shapeId="0" xr:uid="{00000000-0006-0000-0000-00001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US$2.0bn in undrawn committed revolver facilities (taken from 2Q19 presentation page:14/17)</t>
        </r>
      </text>
    </comment>
    <comment ref="B1839" authorId="5" shapeId="0" xr:uid="{00000000-0006-0000-0000-000016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use whatever is relevant-  REPORTING CURRENCY</t>
        </r>
      </text>
    </comment>
    <comment ref="K1841" authorId="4" shapeId="0" xr:uid="{00000000-0006-0000-0000-00001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company doesn't include lease liabilities in debt</t>
        </r>
      </text>
    </comment>
    <comment ref="C1873" authorId="4" shapeId="0" xr:uid="{00000000-0006-0000-0000-00001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US$2.0bn in undrawn committed revolver facilities (taken from 1Q19 presentation page:15/18)</t>
        </r>
      </text>
    </comment>
    <comment ref="B1892" authorId="5" shapeId="0" xr:uid="{00000000-0006-0000-0000-000019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use whatever is relevant-  REPORTING CURRENCY</t>
        </r>
      </text>
    </comment>
    <comment ref="C1925" authorId="4" shapeId="0" xr:uid="{00000000-0006-0000-0000-00001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US$2.0bn in undrawn committed revolver facilities (taken from 4Q18 presentation page:16/19)</t>
        </r>
      </text>
    </comment>
    <comment ref="B1945" authorId="5" shapeId="0" xr:uid="{00000000-0006-0000-0000-00001B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use whatever is relevant-  REPORTING CURRENCY</t>
        </r>
      </text>
    </comment>
    <comment ref="C1978" authorId="4" shapeId="0" xr:uid="{00000000-0006-0000-0000-00001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350 million Euros and 2000 million US dollar</t>
        </r>
      </text>
    </comment>
    <comment ref="B2001" authorId="5" shapeId="0" xr:uid="{00000000-0006-0000-0000-00001D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use whatever is relevant-  REPORTING CURRENCY</t>
        </r>
      </text>
    </comment>
    <comment ref="F2040" authorId="4" shapeId="0" xr:uid="{00000000-0006-0000-0000-00001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unavailable as press release is not available</t>
        </r>
      </text>
    </comment>
    <comment ref="B2056" authorId="5" shapeId="0" xr:uid="{00000000-0006-0000-0000-00001F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use whatever is relevant-  REPORTING CURRENCY</t>
        </r>
      </text>
    </comment>
    <comment ref="B2108" authorId="5" shapeId="0" xr:uid="{00000000-0006-0000-0000-000020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use whatever is relevant-  REPORTING CURRENCY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Onabule, Yejide</author>
    <author>MOHIT JAIN</author>
    <author>Yogesh Sheth</author>
    <author>CRISIL</author>
    <author>Dion Babu</author>
    <author>CRISIL GR&amp;A</author>
    <author>Vishal K Mirwani</author>
    <author>Nikhil Arora</author>
    <author>Crisil GR&amp;A</author>
    <author>Stuti Menon</author>
    <author>Rishabh Saraf</author>
    <author>Nayeem Shakir</author>
  </authors>
  <commentList>
    <comment ref="B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input this exactly how the company have put it in.
if you have to change the tiles, pls do…..</t>
        </r>
      </text>
    </comment>
    <comment ref="BY23" authorId="1" shapeId="0" xr:uid="{E56DDD14-EBEE-474E-AC88-FA8A230C1850}">
      <text>
        <r>
          <rPr>
            <b/>
            <sz val="9"/>
            <color indexed="81"/>
            <rFont val="Tahoma"/>
            <family val="2"/>
          </rPr>
          <t>MOHIT JAIN:</t>
        </r>
        <r>
          <rPr>
            <sz val="9"/>
            <color indexed="81"/>
            <rFont val="Tahoma"/>
            <family val="2"/>
          </rPr>
          <t xml:space="preserve">
This is Profit
</t>
        </r>
      </text>
    </comment>
    <comment ref="U53" authorId="2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(FY2016) value divided by 4</t>
        </r>
      </text>
    </comment>
    <comment ref="V53" authorId="2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(FY2016) value divided by 4</t>
        </r>
      </text>
    </comment>
    <comment ref="W53" authorId="2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(FY2016) value divided by 4</t>
        </r>
      </text>
    </comment>
    <comment ref="X53" authorId="2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(FY2016) value divided by 4</t>
        </r>
      </text>
    </comment>
    <comment ref="Y53" authorId="2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(FY2017) value divided by 4</t>
        </r>
      </text>
    </comment>
    <comment ref="Z53" authorId="2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(FY2017) value divided by 4</t>
        </r>
      </text>
    </comment>
    <comment ref="AA53" authorId="2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(FY2017) value divided by 4</t>
        </r>
      </text>
    </comment>
    <comment ref="AB53" authorId="2" shapeId="0" xr:uid="{00000000-0006-0000-0100-00000B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(FY2017) value divided by 4</t>
        </r>
      </text>
    </comment>
    <comment ref="AC53" authorId="2" shapeId="0" xr:uid="{00000000-0006-0000-0100-00000C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(FY2018) value divided by 4</t>
        </r>
      </text>
    </comment>
    <comment ref="AD53" authorId="2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(FY2018) value divided by 4</t>
        </r>
      </text>
    </comment>
    <comment ref="AE53" authorId="2" shapeId="0" xr:uid="{00000000-0006-0000-0100-00000E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(FY2018) value divided by 4</t>
        </r>
      </text>
    </comment>
    <comment ref="AF53" authorId="2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(FY2018) value divided by 4</t>
        </r>
      </text>
    </comment>
    <comment ref="BK53" authorId="2" shapeId="0" xr:uid="{00000000-0006-0000-0100-000010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(FY2018) value divided by 4</t>
        </r>
      </text>
    </comment>
    <comment ref="BL53" authorId="2" shapeId="0" xr:uid="{00000000-0006-0000-0100-000011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(FY2018) value divided by 4</t>
        </r>
      </text>
    </comment>
    <comment ref="BM53" authorId="2" shapeId="0" xr:uid="{00000000-0006-0000-0100-000012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(FY2018) value divided by 4</t>
        </r>
      </text>
    </comment>
    <comment ref="BN53" authorId="2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(FY2018) value divided by 4</t>
        </r>
      </text>
    </comment>
    <comment ref="BR53" authorId="2" shapeId="0" xr:uid="{00000000-0006-0000-0100-000014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Assumed to be annual (FY2018) value divided by 4</t>
        </r>
      </text>
    </comment>
    <comment ref="BA56" authorId="3" shapeId="0" xr:uid="{CA2D3B98-4362-4FB4-88D4-C074A262877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depreciation and amortization</t>
        </r>
      </text>
    </comment>
    <comment ref="BE56" authorId="3" shapeId="0" xr:uid="{AA5B5B16-6609-4740-A6CF-8370E762168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depreciation and amortization</t>
        </r>
      </text>
    </comment>
    <comment ref="BF56" authorId="3" shapeId="0" xr:uid="{F29BA7F9-55CC-487E-BDAE-34E759D1AFC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depreciation and amortization</t>
        </r>
      </text>
    </comment>
    <comment ref="BG56" authorId="3" shapeId="0" xr:uid="{D44115AA-E727-4B11-8986-3084C40C2DE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depreciation and amortization</t>
        </r>
      </text>
    </comment>
    <comment ref="BI56" authorId="3" shapeId="0" xr:uid="{CCAEE8C2-189F-48BB-9B18-1FD43B427EA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depreciation and amortization</t>
        </r>
      </text>
    </comment>
    <comment ref="B59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1" authorId="3" shapeId="0" xr:uid="{0A947C05-A8E6-4250-987F-3676A34F144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inventories
* trade accounts receivable
* other operating receivables
* trade accounts payable
* other operating payables</t>
        </r>
      </text>
    </comment>
    <comment ref="K65" authorId="4" shapeId="0" xr:uid="{00000000-0006-0000-0100-000017000000}">
      <text>
        <r>
          <rPr>
            <b/>
            <sz val="9"/>
            <color indexed="81"/>
            <rFont val="Tahoma"/>
            <family val="2"/>
          </rPr>
          <t xml:space="preserve">Crisil GR&amp;A : 
</t>
        </r>
        <r>
          <rPr>
            <sz val="9"/>
            <color indexed="81"/>
            <rFont val="Tahoma"/>
            <family val="2"/>
          </rPr>
          <t>Included purchase of other long term assets</t>
        </r>
      </text>
    </comment>
    <comment ref="L65" authorId="4" shapeId="0" xr:uid="{DA746695-1833-4078-B2E3-F57E7870E0FE}">
      <text>
        <r>
          <rPr>
            <b/>
            <sz val="9"/>
            <color indexed="81"/>
            <rFont val="Tahoma"/>
            <family val="2"/>
          </rPr>
          <t xml:space="preserve">Crisil GR&amp;A : 
</t>
        </r>
        <r>
          <rPr>
            <sz val="9"/>
            <color indexed="81"/>
            <rFont val="Tahoma"/>
            <family val="2"/>
          </rPr>
          <t>Included purchase of other long term assets</t>
        </r>
      </text>
    </comment>
    <comment ref="M65" authorId="4" shapeId="0" xr:uid="{A89EF9A9-D4AF-4246-9C8D-9DBA459FFC35}">
      <text>
        <r>
          <rPr>
            <b/>
            <sz val="9"/>
            <color indexed="81"/>
            <rFont val="Tahoma"/>
            <family val="2"/>
          </rPr>
          <t xml:space="preserve">Crisil GR&amp;A : 
</t>
        </r>
        <r>
          <rPr>
            <sz val="9"/>
            <color indexed="81"/>
            <rFont val="Tahoma"/>
            <family val="2"/>
          </rPr>
          <t>Included purchase of other long term assets</t>
        </r>
      </text>
    </comment>
    <comment ref="N65" authorId="4" shapeId="0" xr:uid="{5320D8DA-257C-479D-B52D-5EF9D965A6F4}">
      <text>
        <r>
          <rPr>
            <b/>
            <sz val="9"/>
            <color indexed="81"/>
            <rFont val="Tahoma"/>
            <family val="2"/>
          </rPr>
          <t xml:space="preserve">Crisil GR&amp;A : 
</t>
        </r>
        <r>
          <rPr>
            <sz val="9"/>
            <color indexed="81"/>
            <rFont val="Tahoma"/>
            <family val="2"/>
          </rPr>
          <t>Included purchase of other long term assets</t>
        </r>
      </text>
    </comment>
    <comment ref="O65" authorId="4" shapeId="0" xr:uid="{DA7268AF-FCE9-4E06-ACD2-FBA8A2360F62}">
      <text>
        <r>
          <rPr>
            <b/>
            <sz val="9"/>
            <color indexed="81"/>
            <rFont val="Tahoma"/>
            <family val="2"/>
          </rPr>
          <t xml:space="preserve">Crisil GR&amp;A : 
</t>
        </r>
        <r>
          <rPr>
            <sz val="9"/>
            <color indexed="81"/>
            <rFont val="Tahoma"/>
            <family val="2"/>
          </rPr>
          <t>Included purchase of other long term assets</t>
        </r>
      </text>
    </comment>
    <comment ref="P65" authorId="4" shapeId="0" xr:uid="{29538402-0106-435C-A541-D99CE3CB97C7}">
      <text>
        <r>
          <rPr>
            <b/>
            <sz val="9"/>
            <color indexed="81"/>
            <rFont val="Tahoma"/>
            <family val="2"/>
          </rPr>
          <t xml:space="preserve">Crisil GR&amp;A : 
</t>
        </r>
        <r>
          <rPr>
            <sz val="9"/>
            <color indexed="81"/>
            <rFont val="Tahoma"/>
            <family val="2"/>
          </rPr>
          <t>Included purchase of other long term assets</t>
        </r>
      </text>
    </comment>
    <comment ref="Q65" authorId="4" shapeId="0" xr:uid="{6B2A260D-4030-4A66-A893-1E5988103B33}">
      <text>
        <r>
          <rPr>
            <b/>
            <sz val="9"/>
            <color indexed="81"/>
            <rFont val="Tahoma"/>
            <family val="2"/>
          </rPr>
          <t xml:space="preserve">Crisil GR&amp;A : 
</t>
        </r>
        <r>
          <rPr>
            <sz val="9"/>
            <color indexed="81"/>
            <rFont val="Tahoma"/>
            <family val="2"/>
          </rPr>
          <t>Included purchase of other long term assets</t>
        </r>
      </text>
    </comment>
    <comment ref="R65" authorId="3" shapeId="0" xr:uid="{3DE2AE57-78F9-4C5D-8EAE-57B6C207470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Included purchase of other long term assets</t>
        </r>
      </text>
    </comment>
    <comment ref="P71" authorId="3" shapeId="0" xr:uid="{4A5A5AC7-4517-45AE-BACB-A086C1407C8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Dividends received: 85.956</t>
        </r>
      </text>
    </comment>
    <comment ref="Q71" authorId="3" shapeId="0" xr:uid="{2E1DE9EF-2AE7-420E-939F-9684935E3A6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Dividends received: 207</t>
        </r>
      </text>
    </comment>
    <comment ref="R71" authorId="3" shapeId="0" xr:uid="{304A09D6-B91C-40CE-9951-2E104419372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Dividends received: 158</t>
        </r>
      </text>
    </comment>
    <comment ref="BG71" authorId="3" shapeId="0" xr:uid="{1C5F0B04-0E63-4A46-A074-B45A4FC78DA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9M includes:
* Dividends received: 144.627
* Interest received: 563.396</t>
        </r>
      </text>
    </comment>
    <comment ref="BI71" authorId="3" shapeId="0" xr:uid="{58129030-AA2A-4E3E-BB72-321CA8EA1C3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3M includes:
* Dividend received: 6mn
* Purchase of other long term assets: -718.175mn</t>
        </r>
      </text>
    </comment>
    <comment ref="AM72" authorId="5" shapeId="0" xr:uid="{00000000-0006-0000-0100-000019000000}">
      <text>
        <r>
          <rPr>
            <sz val="9"/>
            <color indexed="81"/>
            <rFont val="Tahoma"/>
            <family val="2"/>
          </rPr>
          <t xml:space="preserve">Includes proceeds from other equity instruments
</t>
        </r>
      </text>
    </comment>
    <comment ref="AQ72" authorId="5" shapeId="0" xr:uid="{00000000-0006-0000-0100-00001A000000}">
      <text>
        <r>
          <rPr>
            <sz val="9"/>
            <color indexed="81"/>
            <rFont val="Tahoma"/>
            <family val="2"/>
          </rPr>
          <t xml:space="preserve">Includes proceeds from other equity instruments
</t>
        </r>
      </text>
    </comment>
    <comment ref="AU72" authorId="5" shapeId="0" xr:uid="{A27524F0-D167-47FF-9C40-94ECD9948D77}">
      <text>
        <r>
          <rPr>
            <sz val="9"/>
            <color indexed="81"/>
            <rFont val="Tahoma"/>
            <family val="2"/>
          </rPr>
          <t xml:space="preserve">Includes proceeds from other equity instruments
</t>
        </r>
      </text>
    </comment>
    <comment ref="BP72" authorId="5" shapeId="0" xr:uid="{00000000-0006-0000-0100-00001B000000}">
      <text>
        <r>
          <rPr>
            <sz val="9"/>
            <color indexed="81"/>
            <rFont val="Tahoma"/>
            <family val="2"/>
          </rPr>
          <t xml:space="preserve">Includes proceeds from other equity instruments
</t>
        </r>
      </text>
    </comment>
    <comment ref="BU72" authorId="5" shapeId="0" xr:uid="{00000000-0006-0000-0100-00001C000000}">
      <text>
        <r>
          <rPr>
            <sz val="9"/>
            <color indexed="81"/>
            <rFont val="Tahoma"/>
            <family val="2"/>
          </rPr>
          <t xml:space="preserve">Includes proceeds from other equity instruments
</t>
        </r>
      </text>
    </comment>
    <comment ref="BZ72" authorId="5" shapeId="0" xr:uid="{86F63BE5-5C7C-4150-A7C8-A1B5A95090CC}">
      <text>
        <r>
          <rPr>
            <sz val="9"/>
            <color indexed="81"/>
            <rFont val="Tahoma"/>
            <family val="2"/>
          </rPr>
          <t xml:space="preserve">Includes proceeds from other equity instruments
</t>
        </r>
      </text>
    </comment>
    <comment ref="N76" authorId="6" shapeId="0" xr:uid="{ADFAFFA2-CC62-4736-A654-EB9D3EB09189}">
      <text>
        <r>
          <rPr>
            <b/>
            <sz val="9"/>
            <color indexed="81"/>
            <rFont val="Tahoma"/>
            <family val="2"/>
          </rPr>
          <t>Crisil GR&amp;A : 
Includes proceeds &amp; repayments of borrowings &amp; leases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76" authorId="6" shapeId="0" xr:uid="{9ED539DC-5EA6-4D19-BFDF-50829E45DCD7}">
      <text>
        <r>
          <rPr>
            <b/>
            <sz val="9"/>
            <color indexed="81"/>
            <rFont val="Tahoma"/>
            <family val="2"/>
          </rPr>
          <t>Crisil GR&amp;A : 
Includes proceeds &amp; repayments of borrowings &amp; leases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76" authorId="6" shapeId="0" xr:uid="{785537B4-56B7-433D-8FB4-54BAC41265C9}">
      <text>
        <r>
          <rPr>
            <b/>
            <sz val="9"/>
            <color indexed="81"/>
            <rFont val="Tahoma"/>
            <family val="2"/>
          </rPr>
          <t>Crisil GR&amp;A : 
Includes proceeds &amp; repayments of borrowings &amp; leases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76" authorId="6" shapeId="0" xr:uid="{233D3D87-6680-46BF-98E4-F6D7D806DF1F}">
      <text>
        <r>
          <rPr>
            <b/>
            <sz val="9"/>
            <color indexed="81"/>
            <rFont val="Tahoma"/>
            <family val="2"/>
          </rPr>
          <t>Crisil GR&amp;A : 
Includes proceeds &amp; repayments of borrowings &amp; leases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76" authorId="3" shapeId="0" xr:uid="{4190739D-46D8-43DC-B448-6A654983FB5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proceeds &amp; repayments of borrowings &amp; leases
</t>
        </r>
      </text>
    </comment>
    <comment ref="B77" authorId="7" shapeId="0" xr:uid="{00000000-0006-0000-0100-00001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Includes:
- Payment of contingent liability
- Derivative financial instruments collected
- Acquisition of non-controlling interest</t>
        </r>
      </text>
    </comment>
    <comment ref="N80" authorId="8" shapeId="0" xr:uid="{054E11E7-2C34-4873-8B39-D60791FCB58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O80" authorId="8" shapeId="0" xr:uid="{99B5270A-E9A8-4782-8D2D-3717EED461F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P80" authorId="8" shapeId="0" xr:uid="{10B22D7F-6E44-4BA1-9E7F-E75E8A9F86B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Q80" authorId="8" shapeId="0" xr:uid="{44BAE05B-CB35-45FB-8FF0-FCCD3D03FBF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R80" authorId="3" shapeId="0" xr:uid="{EC82342C-0FE3-4150-ABF3-EA62E591833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net profit and other adjustments apart from working capital, majorly:
* Adjustments for finance costs: 14,001.057
* Adjustments for provisions: 2,968.270
* Adjustments for losses (gains) on disposal of non-current assets: 67.882</t>
        </r>
      </text>
    </comment>
    <comment ref="AT80" authorId="8" shapeId="0" xr:uid="{A974FFCC-9B95-4DD0-AA88-5C42DD38CA3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U80" authorId="8" shapeId="0" xr:uid="{940245D6-A744-4F65-B730-89FC54FA4AE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W80" authorId="8" shapeId="0" xr:uid="{3CD7BF47-E908-497E-9165-57EEBC86449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X80" authorId="8" shapeId="0" xr:uid="{52643881-7C54-4A3F-8CA6-04F02764EBB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Y80" authorId="8" shapeId="0" xr:uid="{6719438E-7226-4828-8AF6-6B1C203CE92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BA80" authorId="8" shapeId="0" xr:uid="{7B83D298-3A46-414C-82D5-1E7302B5FBD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BB80" authorId="8" shapeId="0" xr:uid="{E0E74101-5943-41AD-92B7-92F21B1A436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BC80" authorId="8" shapeId="0" xr:uid="{BAE36CAF-6667-4572-8594-95106D55248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BE80" authorId="8" shapeId="0" xr:uid="{042A8A6F-1AA4-48CA-88A1-AC71A3EECC9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BF80" authorId="8" shapeId="0" xr:uid="{870A293D-D6DC-4807-8DF4-C4C85B7E0AF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BG80" authorId="8" shapeId="0" xr:uid="{2F86B514-916E-4E05-9638-D7EABA16F9E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BH80" authorId="3" shapeId="0" xr:uid="{A7A4B705-A419-455C-87A9-72FB9279F2D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BI80" authorId="3" shapeId="0" xr:uid="{E1E18D89-4900-4C3B-BE54-D31171FE3E2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net profit to calculate CFO and other adjustments apart from working capital, majorly:
* Adjustments for provisions: 746.677
* Adjustments for losses (gains) on disposal of non-current assets: (441.080)</t>
        </r>
      </text>
    </comment>
    <comment ref="U84" authorId="2" shapeId="0" xr:uid="{00000000-0006-0000-0100-00001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 Cash restated in 1Q17 cash flow statement
</t>
        </r>
      </text>
    </comment>
    <comment ref="V84" authorId="2" shapeId="0" xr:uid="{00000000-0006-0000-0100-00002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 Cash restated in 2Q17 cash flow statement
</t>
        </r>
      </text>
    </comment>
    <comment ref="W84" authorId="2" shapeId="0" xr:uid="{00000000-0006-0000-0100-00002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 Cash restated in 3Q17 cash flow statement
</t>
        </r>
      </text>
    </comment>
    <comment ref="B85" authorId="2" shapeId="0" xr:uid="{00000000-0006-0000-0100-000022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Balancing figure for Operating cash flow
</t>
        </r>
      </text>
    </comment>
    <comment ref="B101" authorId="3" shapeId="0" xr:uid="{F4BD19DB-4F57-47C4-AC2B-621ADD9BE33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PPE
* rights of use</t>
        </r>
      </text>
    </comment>
    <comment ref="AG101" authorId="8" shapeId="0" xr:uid="{00000000-0006-0000-0100-00002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H101" authorId="8" shapeId="0" xr:uid="{00000000-0006-0000-0100-00002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I101" authorId="8" shapeId="0" xr:uid="{00000000-0006-0000-0100-00002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J101" authorId="8" shapeId="0" xr:uid="{00000000-0006-0000-0100-00002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K101" authorId="8" shapeId="0" xr:uid="{00000000-0006-0000-0100-00002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L101" authorId="8" shapeId="0" xr:uid="{00000000-0006-0000-0100-00002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M101" authorId="8" shapeId="0" xr:uid="{00000000-0006-0000-0100-00002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N101" authorId="8" shapeId="0" xr:uid="{00000000-0006-0000-0100-00002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O101" authorId="8" shapeId="0" xr:uid="{00000000-0006-0000-0100-00002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P101" authorId="8" shapeId="0" xr:uid="{00000000-0006-0000-0100-00002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Q101" authorId="8" shapeId="0" xr:uid="{00000000-0006-0000-0100-00002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R101" authorId="8" shapeId="0" xr:uid="{C19A5F99-FE39-4DF0-A7D1-68612A08914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S101" authorId="8" shapeId="0" xr:uid="{2FDFD652-1701-454A-B0A6-D6E611D476F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T101" authorId="8" shapeId="0" xr:uid="{F7DA3DC9-292E-4E86-810E-B987DAF7D70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U101" authorId="8" shapeId="0" xr:uid="{6A388058-D09B-461E-865A-EEB06ECFFF5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V101" authorId="8" shapeId="0" xr:uid="{EDEAC0D2-4668-4094-A526-4397EF2C09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W101" authorId="8" shapeId="0" xr:uid="{29BD2EC8-4A86-45C4-91A5-6DDA626AF0F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X101" authorId="8" shapeId="0" xr:uid="{319AF7C6-9AAD-4A00-B211-7CF5CB48744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AZ101" authorId="8" shapeId="0" xr:uid="{EC5CE99D-C1E3-4199-B39D-32C0070972C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Also includes rights of use assets</t>
        </r>
      </text>
    </comment>
    <comment ref="B102" authorId="2" shapeId="0" xr:uid="{00000000-0006-0000-0100-00002E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Non-current provisions for employee benefits
</t>
        </r>
      </text>
    </comment>
    <comment ref="B114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if possible, list the bonds
</t>
        </r>
      </text>
    </comment>
    <comment ref="R114" authorId="3" shapeId="0" xr:uid="{5F7AE77F-B87A-4888-BF91-7C33C11A0F0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Stock market loans current</t>
        </r>
      </text>
    </comment>
    <comment ref="BG114" authorId="3" shapeId="0" xr:uid="{E0E7CC0D-B8B2-4EBD-9DD1-C97E71D6F53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Stock market loans current</t>
        </r>
      </text>
    </comment>
    <comment ref="BI114" authorId="3" shapeId="0" xr:uid="{B312BFA5-2832-4ECB-A533-68BD7867627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Stock market loans current</t>
        </r>
      </text>
    </comment>
    <comment ref="AE115" authorId="8" shapeId="0" xr:uid="{00000000-0006-0000-0100-00003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excluding derivatives</t>
        </r>
      </text>
    </comment>
    <comment ref="F117" authorId="9" shapeId="0" xr:uid="{00000000-0006-0000-0100-00003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Breakdown of debt is net of amortization costs for each item. Comparable numbers with FY16 will be reported in the FY17 annual report which is not yet out
</t>
        </r>
      </text>
    </comment>
    <comment ref="I176" authorId="10" shapeId="0" xr:uid="{00000000-0006-0000-0100-000032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These are balance sheet lease liabilities</t>
        </r>
      </text>
    </comment>
    <comment ref="J176" authorId="10" shapeId="0" xr:uid="{00000000-0006-0000-0100-000033000000}">
      <text>
        <r>
          <rPr>
            <sz val="9"/>
            <color indexed="81"/>
            <rFont val="Tahoma"/>
            <family val="2"/>
          </rPr>
          <t xml:space="preserve">
These are balance sheet lease liabilities</t>
        </r>
      </text>
    </comment>
    <comment ref="AG176" authorId="10" shapeId="0" xr:uid="{00000000-0006-0000-0100-000034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These are balance sheet lease liabilities</t>
        </r>
      </text>
    </comment>
    <comment ref="AH176" authorId="10" shapeId="0" xr:uid="{00000000-0006-0000-0100-000035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These are balance sheet lease liabilities</t>
        </r>
      </text>
    </comment>
    <comment ref="AI176" authorId="10" shapeId="0" xr:uid="{00000000-0006-0000-0100-000036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These are balance sheet lease liabilities</t>
        </r>
      </text>
    </comment>
    <comment ref="AK176" authorId="10" shapeId="0" xr:uid="{00000000-0006-0000-0100-000037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These are balance sheet lease liabilities</t>
        </r>
      </text>
    </comment>
    <comment ref="AL176" authorId="10" shapeId="0" xr:uid="{00000000-0006-0000-0100-000038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These are balance sheet lease liabilities</t>
        </r>
      </text>
    </comment>
    <comment ref="AM176" authorId="10" shapeId="0" xr:uid="{00000000-0006-0000-0100-000039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These are balance sheet lease liabilities</t>
        </r>
      </text>
    </comment>
    <comment ref="AO176" authorId="10" shapeId="0" xr:uid="{00000000-0006-0000-0100-00003A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These are balance sheet lease liabilities</t>
        </r>
      </text>
    </comment>
    <comment ref="AK185" authorId="10" shapeId="0" xr:uid="{00000000-0006-0000-0100-00003B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Market cap as of 28-04-2020</t>
        </r>
      </text>
    </comment>
    <comment ref="AL185" authorId="10" shapeId="0" xr:uid="{00000000-0006-0000-0100-00003C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Market cap as of 30-07-2020</t>
        </r>
      </text>
    </comment>
    <comment ref="AM185" authorId="10" shapeId="0" xr:uid="{00000000-0006-0000-0100-00003D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Market cap as of 30-09-2020</t>
        </r>
      </text>
    </comment>
    <comment ref="AO185" authorId="10" shapeId="0" xr:uid="{00000000-0006-0000-0100-00003E000000}">
      <text>
        <r>
          <rPr>
            <sz val="9"/>
            <color indexed="81"/>
            <rFont val="Tahoma"/>
            <family val="2"/>
          </rPr>
          <t>Market cap as of 03-05-2021</t>
        </r>
      </text>
    </comment>
    <comment ref="BA185" authorId="11" shapeId="0" xr:uid="{EEE8F55B-82BD-46C9-BC40-03CA03906A3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Ycharts.com</t>
        </r>
      </text>
    </comment>
    <comment ref="R379" authorId="3" shapeId="0" xr:uid="{BFADADA0-9B27-4915-8B14-188B18DE39B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BG379" authorId="3" shapeId="0" xr:uid="{364C2624-6B56-4732-87E2-C09508DBADD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BI379" authorId="3" shapeId="0" xr:uid="{883BF9D9-1F3B-4352-A1C8-FA601F02E5A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Y383" authorId="9" shapeId="0" xr:uid="{00000000-0006-0000-0100-00006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Restated in 2Q17
</t>
        </r>
      </text>
    </comment>
    <comment ref="B390" authorId="2" shapeId="0" xr:uid="{00000000-0006-0000-0100-000070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Difference is due to inter-company transactions
</t>
        </r>
      </text>
    </comment>
    <comment ref="R393" authorId="3" shapeId="0" xr:uid="{D80C0D16-1735-470D-9513-E595C05C27E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AB393" authorId="9" shapeId="0" xr:uid="{00000000-0006-0000-0100-00007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>Doesn’t match with company reported number due to some restatements in 4Q17
for the previous quarters</t>
        </r>
      </text>
    </comment>
    <comment ref="BG393" authorId="3" shapeId="0" xr:uid="{B1EEFAB5-A8D5-4B6F-B460-809D85F2210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BI393" authorId="3" shapeId="0" xr:uid="{A66AAFA0-C738-49BF-9D49-3E9A46E1F55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B400" authorId="2" shapeId="0" xr:uid="{00000000-0006-0000-0100-000072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Difference is due to inter-company transactions
</t>
        </r>
      </text>
    </comment>
    <comment ref="R413" authorId="3" shapeId="0" xr:uid="{334ABB89-ABAD-487A-A3AF-4726DA921C3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BG413" authorId="3" shapeId="0" xr:uid="{1B26D9B0-104C-40E6-9734-CECD2E60AF0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BI413" authorId="3" shapeId="0" xr:uid="{F49A4AA0-0339-4964-B761-C9C2A4A1E39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  <comment ref="AK441" authorId="10" shapeId="0" xr:uid="{00000000-0006-0000-0100-000073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L441" authorId="10" shapeId="0" xr:uid="{00000000-0006-0000-0100-000074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M441" authorId="10" shapeId="0" xr:uid="{00000000-0006-0000-0100-000075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O441" authorId="10" shapeId="0" xr:uid="{00000000-0006-0000-0100-000076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P441" authorId="10" shapeId="0" xr:uid="{00000000-0006-0000-0100-000077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Q441" authorId="10" shapeId="0" xr:uid="{00000000-0006-0000-0100-000078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S441" authorId="10" shapeId="0" xr:uid="{723E5463-511E-4CD3-9149-159B468DD99D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T441" authorId="10" shapeId="0" xr:uid="{C4A71CE7-370F-42CE-9CB9-D317797249F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U441" authorId="10" shapeId="0" xr:uid="{BE952532-A4E4-46D1-8941-1688916188BB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W441" authorId="10" shapeId="0" xr:uid="{C21408C4-1973-4C3F-91E5-79DBAB081B93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X441" authorId="10" shapeId="0" xr:uid="{35FB86FC-254B-44C1-B8E9-5A90A976B69F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AY441" authorId="10" shapeId="0" xr:uid="{D1904CF8-3524-4248-A3E2-BCD73DDE56C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B441" authorId="10" shapeId="0" xr:uid="{A8DFE0B7-55AA-4E4A-81AE-1617B4D3813E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C441" authorId="10" shapeId="0" xr:uid="{883684DB-584E-4B47-8BC7-3CD6484A1505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F441" authorId="10" shapeId="0" xr:uid="{256221E6-C743-4E0F-A1FD-20B020D4E705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G441" authorId="10" shapeId="0" xr:uid="{95F0CA5A-410F-4BE2-B71F-E200F68E712C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H441" authorId="10" shapeId="0" xr:uid="{93BF710D-47F0-49F4-8029-12DEE801117C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S441" authorId="10" shapeId="0" xr:uid="{00000000-0006-0000-0100-000079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T441" authorId="10" shapeId="0" xr:uid="{00000000-0006-0000-0100-00007A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U441" authorId="10" shapeId="0" xr:uid="{00000000-0006-0000-0100-00007B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X441" authorId="10" shapeId="0" xr:uid="{8910EC35-5610-42B4-8C84-4C2488860665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Y441" authorId="10" shapeId="0" xr:uid="{30C8DC98-8DE0-41CE-BE02-9E901B4450AD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BZ441" authorId="10" shapeId="0" xr:uid="{45BF44F9-E471-4A69-AFBC-8C4D0CF67ABB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CB441" authorId="10" shapeId="0" xr:uid="{F666A6E2-AF77-4662-90C4-4994E8337DF1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CC441" authorId="10" shapeId="0" xr:uid="{63EC0A6D-F8D6-49EE-ABB2-8D56D5A7FBFA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CD441" authorId="10" shapeId="0" xr:uid="{D82AB7C4-8BEB-4D12-B5F0-0FE6AAAF541A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CG441" authorId="10" shapeId="0" xr:uid="{892F0CEB-12E9-42F4-8F0F-AA92B5D5E8DC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  <comment ref="CH441" authorId="10" shapeId="0" xr:uid="{28FC3E19-D8B8-4F0B-BC44-CBB5228562BD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This is IFRS 16 adjusted EBITDA which includes rent</t>
        </r>
      </text>
    </comment>
  </commentList>
</comments>
</file>

<file path=xl/sharedStrings.xml><?xml version="1.0" encoding="utf-8"?>
<sst xmlns="http://schemas.openxmlformats.org/spreadsheetml/2006/main" count="2953" uniqueCount="440">
  <si>
    <t>1Q26</t>
  </si>
  <si>
    <t>Exchange rate EOP</t>
  </si>
  <si>
    <t>Average LTM exchange rate</t>
  </si>
  <si>
    <t>Amount outstanding as on 31-Mar-2026</t>
  </si>
  <si>
    <t>MXN (m)</t>
  </si>
  <si>
    <t>USD (m)</t>
  </si>
  <si>
    <t>Leverage (MXN)</t>
  </si>
  <si>
    <t>Leverage (USD)</t>
  </si>
  <si>
    <t>Company Reported</t>
  </si>
  <si>
    <t>Leverage (MX)</t>
  </si>
  <si>
    <t>Lease Liabilities</t>
  </si>
  <si>
    <t>Foreign currency denominated debt:</t>
  </si>
  <si>
    <t>Total Loans &amp; Borrows</t>
  </si>
  <si>
    <t>Cash &amp; Equivalents</t>
  </si>
  <si>
    <t xml:space="preserve">Net debt </t>
  </si>
  <si>
    <t>4.875% Notes due 2044</t>
  </si>
  <si>
    <t>Equity</t>
  </si>
  <si>
    <t>3.875% Notes due 2024</t>
  </si>
  <si>
    <t xml:space="preserve">Total Capitalisation </t>
  </si>
  <si>
    <t>4.5% Notes due 2022</t>
  </si>
  <si>
    <t xml:space="preserve">LTM Adjusted EBITDA </t>
  </si>
  <si>
    <t>4.875% Notes due 2020</t>
  </si>
  <si>
    <t>Syndicated Revolving Euro Credit Facility</t>
  </si>
  <si>
    <t xml:space="preserve">Syndicated Revolving Credit Facility </t>
  </si>
  <si>
    <t>Rerported Net Debt / Adj. EBITDA</t>
  </si>
  <si>
    <t>2.5x</t>
  </si>
  <si>
    <t>7.56% Notes due 2026</t>
  </si>
  <si>
    <t>TIIE 28 days + 0.10% Notes due 2026</t>
  </si>
  <si>
    <t>6.83% Notes due 2018</t>
  </si>
  <si>
    <t>Variable interest rate of TIIE Funding plus 0.34% due 2028</t>
  </si>
  <si>
    <t>8.18% Notes due 2027</t>
  </si>
  <si>
    <t>10.06% Notes due 2032</t>
  </si>
  <si>
    <t>9.24% Notes due 2033</t>
  </si>
  <si>
    <t>4.7% Notes due 2047</t>
  </si>
  <si>
    <t>4.0% Notes due 2049</t>
  </si>
  <si>
    <t>9.22% noted due 2035</t>
  </si>
  <si>
    <t>TIIE de Fonde + 0.45% noted due 2030</t>
  </si>
  <si>
    <t>Eurobor plus 0.95% line of credit</t>
  </si>
  <si>
    <t>Issued June 15, 2009, matured June 2016, and
bore interest at a rate of 10.60%</t>
  </si>
  <si>
    <t>US bond Fixed Interest rate of 6.050% expiring 2029</t>
  </si>
  <si>
    <t>US bond Fixed Interest rate of 6.4% expiring 2034</t>
  </si>
  <si>
    <t>Bond issued in 2018</t>
  </si>
  <si>
    <t>Issuance Fixed interest at a rate of 5.375% expiring 2036</t>
  </si>
  <si>
    <t>UDI denominated, Issued June 15, 2009,
matured June 2016, and bore interest at a rate
of 6.05%</t>
  </si>
  <si>
    <t>Short-term working capital facilities</t>
  </si>
  <si>
    <t>Lines of credit of SOFR+0.95% till 2027</t>
  </si>
  <si>
    <t>Lines of credit of SOFR+1.20% till 2028</t>
  </si>
  <si>
    <t>Lines of credit of SOFR+1.25% till 2029</t>
  </si>
  <si>
    <t>Lines of credit of SOFR+1.20% till 2029</t>
  </si>
  <si>
    <t>Lines of credit of SOFR+1.10% till 2030</t>
  </si>
  <si>
    <t>Lines of credit of CORRA+1.10% till 2030</t>
  </si>
  <si>
    <t>Lines of credit of SOFR+1.20% till 2027</t>
  </si>
  <si>
    <t>Line of Credit TIIE Interest rate +0.85% till 2028</t>
  </si>
  <si>
    <t>Line of Credit Syndicate SOFR+1.10%</t>
  </si>
  <si>
    <t>Credit Facility EURIBOR + 0.95%</t>
  </si>
  <si>
    <t>Credit Facility EURIBOR + 0.90%</t>
  </si>
  <si>
    <t>Other loans</t>
  </si>
  <si>
    <t>4.0% Notes due 2051</t>
  </si>
  <si>
    <t>Less; Debt issuance costs</t>
  </si>
  <si>
    <t>check</t>
  </si>
  <si>
    <t>EV</t>
  </si>
  <si>
    <t>EV/EBITDA</t>
  </si>
  <si>
    <t>Liquidity Table as of 31-Mar-2026</t>
  </si>
  <si>
    <t>Cash</t>
  </si>
  <si>
    <t>Total Liquidity</t>
  </si>
  <si>
    <t>Debt maturity Table as of 31-Mar-2026</t>
  </si>
  <si>
    <t>2030 &amp; thereafter</t>
  </si>
  <si>
    <t>Lease liabilities</t>
  </si>
  <si>
    <t>Total debt</t>
  </si>
  <si>
    <t>Debt Currency Mix as on 31-Mar-2026</t>
  </si>
  <si>
    <t>USD</t>
  </si>
  <si>
    <t>CAD</t>
  </si>
  <si>
    <t>MXN</t>
  </si>
  <si>
    <t>EUR</t>
  </si>
  <si>
    <t>GBP</t>
  </si>
  <si>
    <t>Total</t>
  </si>
  <si>
    <t>FY25</t>
  </si>
  <si>
    <t>Amount outstanding as on 31-Dec-2025</t>
  </si>
  <si>
    <t>Rerported Net Debt / Adju. EBITDA</t>
  </si>
  <si>
    <t>2.7x</t>
  </si>
  <si>
    <t>Liquidity Table as of 31-Dec-2025</t>
  </si>
  <si>
    <t>Currency Mix as on 31-Dec-2025</t>
  </si>
  <si>
    <t>3Q25</t>
  </si>
  <si>
    <t>Exchange rate as at 3Q 2025</t>
  </si>
  <si>
    <t>Amount outstanding as on 30-Sep-2025</t>
  </si>
  <si>
    <t>Leverage</t>
  </si>
  <si>
    <t>10.05% Notes due 2032</t>
  </si>
  <si>
    <t>Lines of credit of SOFR+1.25% till 2028</t>
  </si>
  <si>
    <t>Liquidity Table as of 30-Sep-2025</t>
  </si>
  <si>
    <t>2029 &amp; thereafter</t>
  </si>
  <si>
    <t>Currency Mix as on 30-Sep-2025</t>
  </si>
  <si>
    <t>2Q25</t>
  </si>
  <si>
    <t>Exchange rate as at 2Q 2025</t>
  </si>
  <si>
    <t>Amount outstanding as on 30-Jun-2025</t>
  </si>
  <si>
    <t>Leverage with Perp Bond</t>
  </si>
  <si>
    <t>Leverage without Perp Bond</t>
  </si>
  <si>
    <t>4.700% Notes due 2047</t>
  </si>
  <si>
    <t>Denominated in Mexican pesos:</t>
  </si>
  <si>
    <t>Credit facilities:</t>
  </si>
  <si>
    <t>Credit facilities denominated in Canadian dollars</t>
  </si>
  <si>
    <t>Credit facility denominated in Euro (350 mn Euros)</t>
  </si>
  <si>
    <t>Credit facilities denominated in MXN</t>
  </si>
  <si>
    <t>Credit facilities denominated in Multi-currency</t>
  </si>
  <si>
    <t>Bonds Issued</t>
  </si>
  <si>
    <t>Lines of credit</t>
  </si>
  <si>
    <t>Other secured debt from banks</t>
  </si>
  <si>
    <t>Line of Credit Syndicate</t>
  </si>
  <si>
    <t>Liquidity Table as of 30-Jun-2025</t>
  </si>
  <si>
    <t xml:space="preserve">RCF </t>
  </si>
  <si>
    <t>Currency Mix as on 30-Jun-2025</t>
  </si>
  <si>
    <t>1Q25</t>
  </si>
  <si>
    <t>Exchange rate as at 1Q 2025</t>
  </si>
  <si>
    <t>Amount outstanding as on 31-Mar- 2025</t>
  </si>
  <si>
    <t>Amount outstanding as on 31-Mar-2025</t>
  </si>
  <si>
    <t>Liquidity Table as of 31-Mar-25</t>
  </si>
  <si>
    <t>Currency Mix as on 31-Mar-25</t>
  </si>
  <si>
    <t>Exchange rate as at FY 2024</t>
  </si>
  <si>
    <t>Amount outstanding as on 31-Dec- 2024</t>
  </si>
  <si>
    <t>Amount outstanding as on 31-Dec-2024</t>
  </si>
  <si>
    <t>Liquidity Table as of 31-Dec-24</t>
  </si>
  <si>
    <t>Currency Mix as on 31-Dec-24</t>
  </si>
  <si>
    <t>Exchange rate as at 3Q 2024</t>
  </si>
  <si>
    <t>Amount outstanding as on 30-Sep- 2024</t>
  </si>
  <si>
    <t>Amount outstanding as on 30-Sep-2024</t>
  </si>
  <si>
    <t>5.95% USD500mn perpetual bond</t>
  </si>
  <si>
    <t>Liquidity Table as of 30-Jun-24</t>
  </si>
  <si>
    <t>Currency Mix as on 30-Jun-24</t>
  </si>
  <si>
    <t>Exchange rate as at 2Q 2024</t>
  </si>
  <si>
    <t>Amount outstanding as on 30-Jun 2024</t>
  </si>
  <si>
    <t>Amount outstanding as on 30-Jun-2024</t>
  </si>
  <si>
    <t>Exchange rate as at 1Q 2024</t>
  </si>
  <si>
    <t>Amount outstanding as on 31-Mar-24</t>
  </si>
  <si>
    <t>Liquidity Table as of 31-Mar-24</t>
  </si>
  <si>
    <t>Currency Mix as on 31-Mar-2024</t>
  </si>
  <si>
    <t>Exchange rate as at 4Q 2023</t>
  </si>
  <si>
    <t>Amount outstanding as on 31-Dec-23</t>
  </si>
  <si>
    <t>Liquidity Table as of 30-Sep-23</t>
  </si>
  <si>
    <t>Liquidity Table as of 31-Dec-23</t>
  </si>
  <si>
    <t>Currency Mix as on 31-Dec-2023</t>
  </si>
  <si>
    <t>2028 &amp; thereafter</t>
  </si>
  <si>
    <t>Exchange rate as at 3Q 2023</t>
  </si>
  <si>
    <t>Amount outstanding as on 30-Sep-23</t>
  </si>
  <si>
    <t>Currency Mix as on 30-Sep-2023</t>
  </si>
  <si>
    <t>2027 &amp; thereafter</t>
  </si>
  <si>
    <t>Exchange rate as at 2Q 2023</t>
  </si>
  <si>
    <t>Amount outstanding as on 30-Jun-23</t>
  </si>
  <si>
    <t>Amount outstanding as on 30-Jun-2023</t>
  </si>
  <si>
    <t>Liquidity Table as of 30-Jun-2023</t>
  </si>
  <si>
    <t>Currency Mix as on 30-Jun-2023</t>
  </si>
  <si>
    <t>Exchange rate as at 1Q 2023</t>
  </si>
  <si>
    <t>Amount outstanding as on 31-Mar-23</t>
  </si>
  <si>
    <t>Amount outstanding as on 31-Mar-2023</t>
  </si>
  <si>
    <t>Liquidity Table as of 31-Mar-2023</t>
  </si>
  <si>
    <t>Currency Mix as on 31-Mar-2023</t>
  </si>
  <si>
    <t>Exchange rate as at 4Q 2022</t>
  </si>
  <si>
    <t>Amount outstanding as on 31-Dec-22</t>
  </si>
  <si>
    <t>Amount outstanding as on 31-Dec-2022</t>
  </si>
  <si>
    <t>Liquidity Table as of 31-Dec-2022</t>
  </si>
  <si>
    <t>Currency Mix as on 31-Dec-2022</t>
  </si>
  <si>
    <t>Exchange rate as at 3Q 2022</t>
  </si>
  <si>
    <t>Amount outstanding as on 30-Sep-22</t>
  </si>
  <si>
    <t>Amount outstanding as on 30-Sep-2022</t>
  </si>
  <si>
    <t>4.50% Notes due 2022</t>
  </si>
  <si>
    <t>Liquidity Table as of 30-Sep-2022</t>
  </si>
  <si>
    <t>Currency Mix as on 30-Sep-2022</t>
  </si>
  <si>
    <t>Exchange rate as at 2Q 2022</t>
  </si>
  <si>
    <t>Amount outstanding as on 30-Jun-22</t>
  </si>
  <si>
    <t>Amount outstanding as on 30-Jun-2022</t>
  </si>
  <si>
    <t>Liquidity Table as of 30-Jun-2022</t>
  </si>
  <si>
    <t>Currency Mix as on 30-Jun-2022</t>
  </si>
  <si>
    <t>Exchange rate as at 1Q 2022</t>
  </si>
  <si>
    <t>Amount outstanding as on 31-Mar-22</t>
  </si>
  <si>
    <t>Amount outstanding as on 31-Mar-2022</t>
  </si>
  <si>
    <t>Liquidity Table as of 31-Mar-2022</t>
  </si>
  <si>
    <t>Currency Mix as on 31-Mar-2022</t>
  </si>
  <si>
    <t>Exchange rate as at 4Q 2021</t>
  </si>
  <si>
    <t>Amount outstanding as on 31-Dec-21</t>
  </si>
  <si>
    <t>Amount outstanding as on 31-Dec-2021</t>
  </si>
  <si>
    <t>Liquidity Table as of 31-Dec-2021</t>
  </si>
  <si>
    <t>Currency Mix as on 31-Dec-2021</t>
  </si>
  <si>
    <t>2026 &amp; thereafter</t>
  </si>
  <si>
    <t>Exchange rate as at 3Q 2021</t>
  </si>
  <si>
    <t>Amount outstanding as on 30-Sept-21</t>
  </si>
  <si>
    <t>Amount outstanding as on 30-Jun-2021</t>
  </si>
  <si>
    <t>Liquidity Table as of 30-Sep-2021</t>
  </si>
  <si>
    <t>Debt Maturity Profile  - 30-Sep-2021</t>
  </si>
  <si>
    <t>Currency Mix as on 31-Sep-2021</t>
  </si>
  <si>
    <t>Exchange rate as at 2Q 2021</t>
  </si>
  <si>
    <t>Amount outstanding as on 30-Jun-21</t>
  </si>
  <si>
    <t>Liquidity Table as of 30-Jun-2021</t>
  </si>
  <si>
    <t>Debt Maturity Profile  - 30-Jun-2021</t>
  </si>
  <si>
    <t>Currency Mix as on 31-Jun-2021</t>
  </si>
  <si>
    <t>Exchange rate as at 1Q 2021</t>
  </si>
  <si>
    <t>Amount outstanding as on 31-Mar-21</t>
  </si>
  <si>
    <t>Amount outstanding as on 31-Mar-2021</t>
  </si>
  <si>
    <t>Liquidity Table as of 31-Dec-2020</t>
  </si>
  <si>
    <t>Debt Maturity Profile  - 31-Dec-2020</t>
  </si>
  <si>
    <t>Currency Mix as on 31-Dec-2020</t>
  </si>
  <si>
    <t>Exchange rate as at 4Q 2020</t>
  </si>
  <si>
    <t>Amount outstanding as on 31-Dec-20</t>
  </si>
  <si>
    <t>Amount outstanding as on 31-Dec-2020</t>
  </si>
  <si>
    <t>Exchange rate as at 3Q 2020</t>
  </si>
  <si>
    <t>Amount outstanding as on 30-Sept-2020</t>
  </si>
  <si>
    <t>Liquidity Table as of 30-Sept-2020</t>
  </si>
  <si>
    <t>Debt Maturity Profile  - 30-Sept-2020</t>
  </si>
  <si>
    <t>Currency Mix as on 30-Sept-2020</t>
  </si>
  <si>
    <t>2025 &amp; thereafter</t>
  </si>
  <si>
    <t>Exchange rate as at 2Q 2020</t>
  </si>
  <si>
    <t>Amount outstanding as on 30-June-2020</t>
  </si>
  <si>
    <t>Liquidity Table as of 30-Jun-2020</t>
  </si>
  <si>
    <t>Debt Maturity Profile  - 30-Jun-2020</t>
  </si>
  <si>
    <t>Currency Mix as on 30-Jun-2020</t>
  </si>
  <si>
    <t>Exchange rate as at 1Q 2020</t>
  </si>
  <si>
    <t>Amount outstanding as on 31-Mar-2020</t>
  </si>
  <si>
    <t>Liquidity Table as of 31-Mar-2020</t>
  </si>
  <si>
    <t>Debt Maturity Profile  - 31-Mar-2020</t>
  </si>
  <si>
    <t>Currency Mix as on 31-Mar-2020</t>
  </si>
  <si>
    <t>Exchange rate as at 4Q 2019</t>
  </si>
  <si>
    <t>Amount outstanding as on 31-Dec-2019</t>
  </si>
  <si>
    <t>Liquidity Table as of 31-Dec-2019</t>
  </si>
  <si>
    <t>Debt Maturity Profile  - 31-Dec-2019</t>
  </si>
  <si>
    <t>Currency Mix as on 31-Dec-2019</t>
  </si>
  <si>
    <t>Exchange rate as at 3Q 2019</t>
  </si>
  <si>
    <t>Amount outstanding as on 30-Sep-2019</t>
  </si>
  <si>
    <t>Liquidity Table as of 30-Sep-2019</t>
  </si>
  <si>
    <t>Debt Maturity Profile  - 30-Sep-2019</t>
  </si>
  <si>
    <t>Currency Mix as on 30-Sep-2019</t>
  </si>
  <si>
    <t>Exchange rate as at 2Q 2019</t>
  </si>
  <si>
    <t>Amount outstanding as on 30-Jun-2019</t>
  </si>
  <si>
    <t>LTM Adjusted EBITDA (Jun 2019)</t>
  </si>
  <si>
    <t>Liquidity Table as of 30-Jun-2019</t>
  </si>
  <si>
    <t>Debt Maturity Profile  - 30-Jun-2019</t>
  </si>
  <si>
    <t>Currency Mix as on 30-Jun-2019</t>
  </si>
  <si>
    <t>Exchange rate as at 1Q 2019</t>
  </si>
  <si>
    <t>Amount outstanding as on 31-Mar-2019</t>
  </si>
  <si>
    <t>LTM Adjusted EBITDA (Mar 2019)</t>
  </si>
  <si>
    <t>Liquidity Table as of 31-Mar-2019</t>
  </si>
  <si>
    <t>Debt Maturity Profile  - 31-Mar-2019</t>
  </si>
  <si>
    <t>Currency Mix as on 31-Mar-2019</t>
  </si>
  <si>
    <t>Exchange rate as at 4Q 2018</t>
  </si>
  <si>
    <t>Amount outstanding as on 31-Dec-2018</t>
  </si>
  <si>
    <t>LTM Adjusted EBITDA (Sep 2018)</t>
  </si>
  <si>
    <t>Other debt (subsidiaries)</t>
  </si>
  <si>
    <t>LTM Adjusted EBITDA (Dec 2018)</t>
  </si>
  <si>
    <t>Liquidity Table as of 31-Dec-2018</t>
  </si>
  <si>
    <t>Debt Maturity Profile  - 31-Dec-2018</t>
  </si>
  <si>
    <t>Currency Mix as on 31-Dec-2018</t>
  </si>
  <si>
    <t>Exchange rate as at 3Q 2018</t>
  </si>
  <si>
    <t>Amount outstanding as on 30-Sep-2018</t>
  </si>
  <si>
    <t>Liquidity Table as of 30-Sep-2018</t>
  </si>
  <si>
    <t>Debt Maturity Profile  - 30-Sep-2018</t>
  </si>
  <si>
    <t>Currency Mix as on 30-Sep-2018</t>
  </si>
  <si>
    <t>2024 &amp; thereafter</t>
  </si>
  <si>
    <t>Exchange rate as at 2Q 2018</t>
  </si>
  <si>
    <t>Amount outstanding as on 30-Jun-2018</t>
  </si>
  <si>
    <t>Leverage with Perp</t>
  </si>
  <si>
    <t>Leverage without Perp</t>
  </si>
  <si>
    <t>LTM Adjusted EBITDA (Jun 2018)</t>
  </si>
  <si>
    <t>Liquidity Table as of 30-Jun-2018</t>
  </si>
  <si>
    <t>Debt Maturity Profile  - 30-Jun-2018</t>
  </si>
  <si>
    <t>Currency Mix as on 30-Jun-2018</t>
  </si>
  <si>
    <t>Exchange rate as at 1Q 2018</t>
  </si>
  <si>
    <t>Amount outstanding as on 31-Mar-2018</t>
  </si>
  <si>
    <t xml:space="preserve">Leverage </t>
  </si>
  <si>
    <t>LTM Adjusted EBITDA (Mar 2018)</t>
  </si>
  <si>
    <t>Liquidity Table as of 31-Mar-2018</t>
  </si>
  <si>
    <t>Debt Maturity Profile  - 31-Mar-2018</t>
  </si>
  <si>
    <t>Currency Mix as on 31-Mar-2018</t>
  </si>
  <si>
    <t>Exchange rate as at 4Q 2017</t>
  </si>
  <si>
    <t>Amount outstanding as on 31-Dec-2017</t>
  </si>
  <si>
    <t>LTM Adjusted EBITDA (Sept 2017)</t>
  </si>
  <si>
    <t>Liquidity Table as of 31-Dec-2017</t>
  </si>
  <si>
    <t>Debt Maturity Profile  - 31-Dec-2017</t>
  </si>
  <si>
    <t>Currency Mix as on 31-Dec-2017</t>
  </si>
  <si>
    <t>2023 &amp; thereafter</t>
  </si>
  <si>
    <t>Grupo Bimbo</t>
  </si>
  <si>
    <t>Annual</t>
  </si>
  <si>
    <t>LTM</t>
  </si>
  <si>
    <t>Quarterly</t>
  </si>
  <si>
    <t>(Pesos millions)</t>
  </si>
  <si>
    <t>Act</t>
  </si>
  <si>
    <t>Exp</t>
  </si>
  <si>
    <t>FY</t>
  </si>
  <si>
    <t>Q1</t>
  </si>
  <si>
    <t>Q2</t>
  </si>
  <si>
    <t>Q3</t>
  </si>
  <si>
    <t>Q4</t>
  </si>
  <si>
    <t>INCOME STATEMENT</t>
  </si>
  <si>
    <t>Restated</t>
  </si>
  <si>
    <t>Revenues</t>
  </si>
  <si>
    <t xml:space="preserve">% y-o-y growth </t>
  </si>
  <si>
    <t>COGS</t>
  </si>
  <si>
    <t>Gross Profit</t>
  </si>
  <si>
    <t>Gross Profit margin</t>
  </si>
  <si>
    <t>Distribution costs</t>
  </si>
  <si>
    <t>Administrative expenses</t>
  </si>
  <si>
    <t>Other income</t>
  </si>
  <si>
    <t>Other expense</t>
  </si>
  <si>
    <t>Operating Profit</t>
  </si>
  <si>
    <t>Finance Income</t>
  </si>
  <si>
    <t>Finance costs</t>
  </si>
  <si>
    <t>Share of profit (loss) of associates and joint ventures accounted for
using equity method</t>
  </si>
  <si>
    <t>Profit before tax</t>
  </si>
  <si>
    <t>Income tax benefit/(expense)</t>
  </si>
  <si>
    <t>Profit/(loss) from continuing operations</t>
  </si>
  <si>
    <t>Loss  from discontinued  Operations</t>
  </si>
  <si>
    <t xml:space="preserve">Profit for the year </t>
  </si>
  <si>
    <t>As % of revenues unless stated otherwise</t>
  </si>
  <si>
    <t>NA</t>
  </si>
  <si>
    <t>Finance Income as a % of cash at end of period</t>
  </si>
  <si>
    <t>Finance costs as a % of debt at end of period</t>
  </si>
  <si>
    <t>Income tax benefit/(expense) as a % of Profit before tax</t>
  </si>
  <si>
    <t>capex/sales</t>
  </si>
  <si>
    <t>D/A/sales</t>
  </si>
  <si>
    <t xml:space="preserve">EBITDA </t>
  </si>
  <si>
    <t xml:space="preserve">Operating profit </t>
  </si>
  <si>
    <t>Depreciation &amp; amortisation</t>
  </si>
  <si>
    <t xml:space="preserve">% growth </t>
  </si>
  <si>
    <t>% margin</t>
  </si>
  <si>
    <t xml:space="preserve">Adjustment </t>
  </si>
  <si>
    <t xml:space="preserve">Adj. EBITDA </t>
  </si>
  <si>
    <t xml:space="preserve">Rent </t>
  </si>
  <si>
    <t>Adj. EBITDAR / Adjusted EBITDA (post IFRS 16)</t>
  </si>
  <si>
    <t>rent % of sales</t>
  </si>
  <si>
    <t xml:space="preserve">Depreciation </t>
  </si>
  <si>
    <t>Amortisation</t>
  </si>
  <si>
    <t>CASH FLOW</t>
  </si>
  <si>
    <t xml:space="preserve">Adjusted EBITDA </t>
  </si>
  <si>
    <t>Working Capital</t>
  </si>
  <si>
    <t>Taxes</t>
  </si>
  <si>
    <t>Cash interest paid</t>
  </si>
  <si>
    <t xml:space="preserve">Net cash from operations </t>
  </si>
  <si>
    <t>Capex</t>
  </si>
  <si>
    <t>Net Payment for acquisition  of intangible assets</t>
  </si>
  <si>
    <t>Disposals/ Acquisition, of subsidiaries</t>
  </si>
  <si>
    <t>Deposits interest received</t>
  </si>
  <si>
    <t>Disposed Cash from discontinued operations and Others</t>
  </si>
  <si>
    <t xml:space="preserve">Free cash flow </t>
  </si>
  <si>
    <t>Other Investing</t>
  </si>
  <si>
    <t>Equity Issuance/Buyback</t>
  </si>
  <si>
    <t>Perpetual bond</t>
  </si>
  <si>
    <t>Dividends Paid</t>
  </si>
  <si>
    <t>Acquisition of bonds</t>
  </si>
  <si>
    <t>Change in debt /Finance Costs</t>
  </si>
  <si>
    <t>Other Finance</t>
  </si>
  <si>
    <t>Cash flow after financing activities</t>
  </si>
  <si>
    <t xml:space="preserve">FX </t>
  </si>
  <si>
    <t>Balancing figure</t>
  </si>
  <si>
    <t xml:space="preserve">Net change in cash </t>
  </si>
  <si>
    <t>Cash and cash equivalents</t>
  </si>
  <si>
    <t>Check 1</t>
  </si>
  <si>
    <t>Check 2</t>
  </si>
  <si>
    <t xml:space="preserve">LTM </t>
  </si>
  <si>
    <t>EBITDA</t>
  </si>
  <si>
    <t>Adjusted EBITDA</t>
  </si>
  <si>
    <t>Adjusted EBITDAR/ Adjusted EBITDA (post IFRS 16)</t>
  </si>
  <si>
    <t>LTM Rent</t>
  </si>
  <si>
    <t>Net Income</t>
  </si>
  <si>
    <t xml:space="preserve">BALANCE SHEET </t>
  </si>
  <si>
    <t>Tangible fixed assets</t>
  </si>
  <si>
    <t xml:space="preserve">Net pension liability </t>
  </si>
  <si>
    <t>Inventory</t>
  </si>
  <si>
    <t>Trade debtors/receivables</t>
  </si>
  <si>
    <t>Trade creditors /payables</t>
  </si>
  <si>
    <t>Net working capital</t>
  </si>
  <si>
    <t>% of revenues</t>
  </si>
  <si>
    <t>Inventory Days</t>
  </si>
  <si>
    <t>Receivable Days</t>
  </si>
  <si>
    <t>Payable Days</t>
  </si>
  <si>
    <t xml:space="preserve">Debt  Breakdown </t>
  </si>
  <si>
    <t>Short term debt</t>
  </si>
  <si>
    <t>Long term debt</t>
  </si>
  <si>
    <t>Debt items</t>
  </si>
  <si>
    <t>Line of Credit Syndicate SOFR+1.10% due 2029</t>
  </si>
  <si>
    <t>Credit Facility EURIBOR + 0.95% 2028</t>
  </si>
  <si>
    <t>Credit Facility EURIBOR + 0.90% 2028</t>
  </si>
  <si>
    <t>Finance Lease  Obligations</t>
  </si>
  <si>
    <t>Operating Lease obligations</t>
  </si>
  <si>
    <t>Purchase Obligations</t>
  </si>
  <si>
    <t>Cash and equivalents</t>
  </si>
  <si>
    <t xml:space="preserve">Gross total debt </t>
  </si>
  <si>
    <t>USD 500mn Perpetual bond - 5.95%</t>
  </si>
  <si>
    <t>Net debt including perpetual bond</t>
  </si>
  <si>
    <t>Gross debt including perpetual bond</t>
  </si>
  <si>
    <t>Capitalized operating leases (LTM rent*8) / Lease liabilities</t>
  </si>
  <si>
    <t>Net debt- including capitalized Operating leases</t>
  </si>
  <si>
    <t>Gross debt- including capitalized Operating leases</t>
  </si>
  <si>
    <t xml:space="preserve">Hard Currency FX debt </t>
  </si>
  <si>
    <t xml:space="preserve">LC debt </t>
  </si>
  <si>
    <t>Market Cap</t>
  </si>
  <si>
    <t>Equity (as reported on balance sheet)</t>
  </si>
  <si>
    <t>Total debt + Equity</t>
  </si>
  <si>
    <t>Net debt + Market Cap</t>
  </si>
  <si>
    <t>CREDIT RATIOS</t>
  </si>
  <si>
    <t>Total Net Leverage</t>
  </si>
  <si>
    <t xml:space="preserve">Total Gross Leverage </t>
  </si>
  <si>
    <t>Lease adjusted net leverage (including leases)</t>
  </si>
  <si>
    <t>Lease adjusted gross leverage (including leases)</t>
  </si>
  <si>
    <t>EBITDA - Capex / Interest</t>
  </si>
  <si>
    <t>EBITDA/Interest</t>
  </si>
  <si>
    <t xml:space="preserve">Gearing (Net debt / Equity) </t>
  </si>
  <si>
    <t>GRUPO BIMBO</t>
  </si>
  <si>
    <t>Summary Financials</t>
  </si>
  <si>
    <t>Net Capex</t>
  </si>
  <si>
    <t>Perpetual bonds</t>
  </si>
  <si>
    <t xml:space="preserve">Dividends received  / Dividends Paid </t>
  </si>
  <si>
    <t>Net Debt</t>
  </si>
  <si>
    <t>Gross Debt</t>
  </si>
  <si>
    <t>LTM Adjusted EBITDA</t>
  </si>
  <si>
    <t>LTM Adjusted EBITDAR</t>
  </si>
  <si>
    <t>FX rate average - MXN/USD</t>
  </si>
  <si>
    <t>Fx rate end period - MXN/USD</t>
  </si>
  <si>
    <t>USD to MXN (EOP)</t>
  </si>
  <si>
    <t>(USD millions)</t>
  </si>
  <si>
    <t>Key  Credit Metrics (Pesos mn where applicable)</t>
  </si>
  <si>
    <t>Adjusted EBITDA margin</t>
  </si>
  <si>
    <t>Total Debt</t>
  </si>
  <si>
    <t>Lease Adjusted Debt</t>
  </si>
  <si>
    <t>Net Lease Adjusted Debt</t>
  </si>
  <si>
    <t>Gross Leverage</t>
  </si>
  <si>
    <t xml:space="preserve">Net Leverage </t>
  </si>
  <si>
    <t>Gross lease adjusted Leverage</t>
  </si>
  <si>
    <t xml:space="preserve">Net lease adjusted  Leverage </t>
  </si>
  <si>
    <t>Key  Credit Metrics (USD mn where applicable)</t>
  </si>
  <si>
    <t>Adjusted EBITDAR</t>
  </si>
  <si>
    <t>KPIs</t>
  </si>
  <si>
    <t>Net sales by Region (Pesos millions)</t>
  </si>
  <si>
    <t>North America</t>
  </si>
  <si>
    <t>Mexico</t>
  </si>
  <si>
    <t>Latin America</t>
  </si>
  <si>
    <t>Europe Asia and Africa</t>
  </si>
  <si>
    <t>Consoldiated eliminations</t>
  </si>
  <si>
    <t xml:space="preserve">Total </t>
  </si>
  <si>
    <t>Check</t>
  </si>
  <si>
    <t>Gross Profit  by Region (Pesos millions)</t>
  </si>
  <si>
    <t>Gross Margin   by Region (Pesos millions)</t>
  </si>
  <si>
    <t>Operating income by Region (Pesos millions)</t>
  </si>
  <si>
    <t>Operating Margin by Region (Pesos millions)</t>
  </si>
  <si>
    <t>Adjusted EBITDA   by Region (Pesos millions)</t>
  </si>
  <si>
    <t>Adjusted EBITDA Margin  by Region (Pesos millions)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</si>
</sst>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#,##0.0_);\(#,##0.0\)"/>
    <numFmt numFmtId="166" formatCode="#0.0%_);\(#0.0%\)"/>
    <numFmt numFmtId="167" formatCode="#0.00\x"/>
    <numFmt numFmtId="168" formatCode="mmm\ yyyy"/>
    <numFmt numFmtId="169" formatCode="0.0%"/>
    <numFmt numFmtId="170" formatCode="_(* #,##0.0_);_(* \(#,##0.0\);_(* &quot;-&quot;??_);_(@_)"/>
    <numFmt numFmtId="171" formatCode="_(* #,##0.000_);_(* \(#,##0.000\);_(* &quot;-&quot;??_);_(@_)"/>
    <numFmt numFmtId="172" formatCode="_(* #,##0_);_(* \(#,##0\);_(* &quot;-&quot;??_);_(@_)"/>
    <numFmt numFmtId="173" formatCode="#,##0.0\ ;\(#,##0.0\)"/>
    <numFmt numFmtId="174" formatCode="&quot;$&quot;#,##0.00_)&quot;per share&quot;;\(&quot;$&quot;#,##0.00\)&quot; per share&quot;"/>
    <numFmt numFmtId="175" formatCode="0.0_)\%;\(0.0\)\%;0.0_)\%;@_)_%"/>
    <numFmt numFmtId="176" formatCode="#,##0.0_)_%;\(#,##0.0\)_%;0.0_)_%;@_)_%"/>
    <numFmt numFmtId="177" formatCode="#,##0.0_);\(#,##0.0\);#,##0.0_);@_)"/>
    <numFmt numFmtId="178" formatCode="&quot;$&quot;_(#,##0.00_);&quot;$&quot;\(#,##0.00\);&quot;$&quot;_(0.00_);@_)"/>
    <numFmt numFmtId="179" formatCode="&quot;$&quot;_(#,##0.00_);&quot;$&quot;\(#,##0.00\)"/>
    <numFmt numFmtId="180" formatCode="#,##0.00_);\(#,##0.00\);0.00_);@_)"/>
    <numFmt numFmtId="181" formatCode="\€_(#,##0.00_);\€\(#,##0.00\);\€_(0.00_);@_)"/>
    <numFmt numFmtId="182" formatCode="#,##0_)\x;\(#,##0\)\x;0_)\x;@_)_x"/>
    <numFmt numFmtId="183" formatCode="#,##0.0_)\x;\(#,##0.0\)\x"/>
    <numFmt numFmtId="184" formatCode="#,##0_)_x;\(#,##0\)_x;0_)_x;@_)_x"/>
    <numFmt numFmtId="185" formatCode="#,##0.0_)_x;\(#,##0.0\)_x"/>
    <numFmt numFmtId="186" formatCode="0.0_)\%;\(0.0\)\%"/>
    <numFmt numFmtId="187" formatCode="#,##0.0_)_%;\(#,##0.0\)_%"/>
    <numFmt numFmtId="188" formatCode="_(\£* #,##0_);_(\£* \(#,##0\);_(\£* &quot;-&quot;_);_(@_)"/>
    <numFmt numFmtId="189" formatCode="_(\£* #,##0.0_);_(\£* \(#,##0.0\);_(\£* &quot;-&quot;_);_(@_)"/>
    <numFmt numFmtId="190" formatCode="_(\£* #,##0.00_);_(\£* \(#,##0.00\);_(\£* &quot;-&quot;_);_(@_)"/>
    <numFmt numFmtId="191" formatCode="_(* #,##0\p_);_(* \(#,##0\p\);_(* &quot;-&quot;\ \p_);_(@_)"/>
    <numFmt numFmtId="192" formatCode="_(* #,##0.00\p_);_(* \(#,##0.00\p\);_(* &quot;-&quot;\ \p_);_(@_)"/>
    <numFmt numFmtId="193" formatCode="\£#,##0.00"/>
    <numFmt numFmtId="194" formatCode="&quot;$&quot;&quot; &quot;#,##0_);\(&quot;$&quot;&quot; &quot;#,##0\);\-_)"/>
    <numFmt numFmtId="195" formatCode="#,##0_);\(#,##0\);\-_)"/>
    <numFmt numFmtId="196" formatCode="&quot;$&quot;#,##0_);[Red]\(&quot;$&quot;#,##0\);&quot;-&quot;"/>
    <numFmt numFmtId="197" formatCode="[Blue]0.0%;[Blue]\-0.0%"/>
    <numFmt numFmtId="198" formatCode="\£#,##0_);\(\£#,##0\)"/>
    <numFmt numFmtId="199" formatCode="&quot;fl&quot;#,##0_);\(&quot;fl&quot;#,##0\)"/>
    <numFmt numFmtId="200" formatCode="&quot;$&quot;\ #,##0_);\(&quot;$&quot;\ #,##0\)"/>
    <numFmt numFmtId="201" formatCode="_(&quot;R$&quot;* #,##0.00_);_(&quot;R$&quot;* \(#,##0.00\);_(&quot;R$&quot;* &quot;-&quot;??_);_(@_)"/>
    <numFmt numFmtId="202" formatCode="0.0\x;[Red]\(0.0\x\)"/>
    <numFmt numFmtId="203" formatCode="#,##0.0_);\(#,##0.0\);&quot;—&quot;_)"/>
    <numFmt numFmtId="204" formatCode="&quot;$&quot;#,##0.0_);\(&quot;$&quot;#,##0.0\);&quot;—&quot;_)"/>
    <numFmt numFmtId="205" formatCode="0.000000000%"/>
    <numFmt numFmtId="206" formatCode="#,##0.0000"/>
    <numFmt numFmtId="207" formatCode="mm/dd/yy"/>
    <numFmt numFmtId="208" formatCode="&quot;$&quot;#,##0.00"/>
    <numFmt numFmtId="209" formatCode="_([$€-2]* #,##0.00_);_([$€-2]* \(#,##0.00\);_([$€-2]* &quot;-&quot;??_)"/>
    <numFmt numFmtId="210" formatCode="#&quot; mon&quot;"/>
    <numFmt numFmtId="211" formatCode="#,##0\ &quot;F&quot;;[Red]\-#,##0\ &quot;F&quot;"/>
    <numFmt numFmtId="212" formatCode="#,##0.00\ &quot;F&quot;;[Red]\-#,##0.00\ &quot;F&quot;"/>
    <numFmt numFmtId="213" formatCode="#,##0.0\x_)_);\(#,##0.0\x\)_);#,##0.0\x_)_);@_%_)"/>
    <numFmt numFmtId="214" formatCode="_(* #,##0.00\ ___);_(* \(#,##0.00\ __\);_(* &quot;-&quot;??_);_(@_)"/>
    <numFmt numFmtId="215" formatCode="0%\);[Red]\(0%"/>
    <numFmt numFmtId="216" formatCode="_(* #,##0\ ___);_(* \(#,##0\ __\);_(* &quot;-&quot;??_);_(@_)"/>
    <numFmt numFmtId="217" formatCode="_(* #,##0\ \x_);_(* \(#,##0\ \x\);_(* &quot;-&quot;??_);_(@_)"/>
    <numFmt numFmtId="218" formatCode="0%_);[Red]\(0%\)"/>
    <numFmt numFmtId="219" formatCode="_(* #,##0.0\ ___);_(* \(#,##0.0\ __\);_(* &quot;-&quot;??_);_(@_)"/>
    <numFmt numFmtId="220" formatCode="_(* #,##0.0\ \x_);_(* \(#,##0.0\ \x\);_(* &quot;-&quot;??_);_(@_)"/>
    <numFmt numFmtId="221" formatCode="#,##0&quot; F&quot;_);\(#,##0&quot; F&quot;\)"/>
    <numFmt numFmtId="222" formatCode="_(* #,##0.00_);_(* \(\ #,##0.00\ \);_(* &quot;&quot;??_);_(\ @_ \)"/>
    <numFmt numFmtId="223" formatCode="0.00_)"/>
    <numFmt numFmtId="224" formatCode="_(* #,##0.0_);_(* \(#,##0.0\);_(* &quot;-&quot;?_);_(@_)"/>
    <numFmt numFmtId="225" formatCode="0.00%\ &quot;Ramped&quot;\ "/>
    <numFmt numFmtId="226" formatCode="0.00%\ &quot;Ramped&quot;"/>
    <numFmt numFmtId="227" formatCode="0.0000"/>
    <numFmt numFmtId="228" formatCode="0.000"/>
    <numFmt numFmtId="229" formatCode="&quot;Diversity =&quot;\ #.0"/>
    <numFmt numFmtId="230" formatCode="&quot;Ratings Factor =&quot;\ #"/>
    <numFmt numFmtId="231" formatCode="&quot;Page &quot;0"/>
    <numFmt numFmtId="232" formatCode="&quot;\&quot;#,##0.00;[Red]\-&quot;\&quot;#,##0.00"/>
    <numFmt numFmtId="233" formatCode="0.0_%"/>
    <numFmt numFmtId="234" formatCode="_(0.0%;_(* \(0.0\)%"/>
    <numFmt numFmtId="235" formatCode="_(* #,##0.0000_);_(* \(#,##0.0000\);_(* &quot;-&quot;??_);_(@_)"/>
    <numFmt numFmtId="236" formatCode="0&quot; bps&quot;"/>
    <numFmt numFmtId="237" formatCode="&quot;WAS =&quot;\ #.00"/>
    <numFmt numFmtId="238" formatCode="&quot;Avg. Px.=&quot;#.00"/>
    <numFmt numFmtId="239" formatCode="&quot;WAL=&quot;#.00"/>
    <numFmt numFmtId="240" formatCode="#.00\ &quot;years&quot;"/>
    <numFmt numFmtId="241" formatCode="&quot;2nd Lien=&quot;#"/>
    <numFmt numFmtId="242" formatCode="&quot;WAPP=&quot;#.00"/>
    <numFmt numFmtId="243" formatCode="&quot;WAS=&quot;#.00"/>
    <numFmt numFmtId="244" formatCode="&quot;WAC=&quot;#.00"/>
    <numFmt numFmtId="245" formatCode="&quot;$&quot;#,##0.0_);\(&quot;$&quot;#,##0.0\)"/>
    <numFmt numFmtId="246" formatCode="#,###,;\(#,###,\)"/>
    <numFmt numFmtId="247" formatCode="000\-00\-0000"/>
    <numFmt numFmtId="248" formatCode="&quot;$&quot;#,##0.0000"/>
    <numFmt numFmtId="249" formatCode="&quot;$&quot;#,##0.000000"/>
    <numFmt numFmtId="250" formatCode="&quot;$&quot;#,##0.000"/>
    <numFmt numFmtId="251" formatCode="000000000"/>
    <numFmt numFmtId="252" formatCode="000"/>
    <numFmt numFmtId="253" formatCode="hh:mm\ AM/PM_)"/>
    <numFmt numFmtId="254" formatCode="#.0&quot;x&quot;"/>
    <numFmt numFmtId="255" formatCode="yyyy"/>
    <numFmt numFmtId="256" formatCode="\¥#,##0_);\(\¥#,##0\)"/>
    <numFmt numFmtId="257" formatCode="#0.0\x"/>
    <numFmt numFmtId="258" formatCode="0.0\x"/>
    <numFmt numFmtId="259" formatCode="0.0"/>
    <numFmt numFmtId="260" formatCode="#,##0.000"/>
    <numFmt numFmtId="261" formatCode="#,##0.00000_);\(#,##0.00000\)"/>
    <numFmt numFmtId="262" formatCode="#,##0.000_);\(#,##0.000\)"/>
    <numFmt numFmtId="263" formatCode="_ * #,##0_ ;_ * \-#,##0_ ;_ * &quot;-&quot;??_ ;_ @_ "/>
    <numFmt numFmtId="264" formatCode="#,##0.0000_);\(#,##0.0000\)"/>
    <numFmt numFmtId="265" formatCode="0.0000\x"/>
    <numFmt numFmtId="266" formatCode="#0.000\x"/>
    <numFmt numFmtId="267" formatCode="#0.00000\x"/>
    <numFmt numFmtId="268" formatCode="#,##0.0"/>
    <numFmt numFmtId="269" formatCode="0.00000"/>
  </numFmts>
  <fonts count="128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9"/>
      <name val="Arial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8"/>
      <name val="Arial"/>
      <family val="2"/>
    </font>
    <font>
      <u val="singleAccounting"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i/>
      <sz val="10"/>
      <name val="Times New Roman"/>
      <family val="1"/>
    </font>
    <font>
      <sz val="9"/>
      <name val="Arial"/>
      <family val="2"/>
    </font>
    <font>
      <sz val="8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0"/>
      <name val="Book Antiqua"/>
      <family val="1"/>
    </font>
    <font>
      <sz val="8"/>
      <name val="Times"/>
      <family val="1"/>
    </font>
    <font>
      <b/>
      <sz val="12"/>
      <name val="Times"/>
      <family val="1"/>
    </font>
    <font>
      <sz val="12"/>
      <name val="Arial"/>
      <family val="2"/>
    </font>
    <font>
      <sz val="10"/>
      <color indexed="8"/>
      <name val="Times New Roman"/>
      <family val="1"/>
    </font>
    <font>
      <sz val="8"/>
      <color indexed="12"/>
      <name val="Times"/>
      <family val="1"/>
    </font>
    <font>
      <sz val="8"/>
      <name val="Helv"/>
    </font>
    <font>
      <sz val="12"/>
      <name val="Times"/>
      <family val="1"/>
    </font>
    <font>
      <b/>
      <i/>
      <sz val="10"/>
      <name val="Arial"/>
      <family val="2"/>
    </font>
    <font>
      <b/>
      <i/>
      <sz val="12"/>
      <name val="Times New Roman"/>
      <family val="1"/>
    </font>
    <font>
      <b/>
      <u/>
      <sz val="8"/>
      <color indexed="8"/>
      <name val="Times New Roman"/>
      <family val="1"/>
    </font>
    <font>
      <b/>
      <sz val="9"/>
      <color indexed="8"/>
      <name val="Times New Roman"/>
      <family val="1"/>
    </font>
    <font>
      <i/>
      <sz val="8"/>
      <name val="Arial"/>
      <family val="2"/>
    </font>
    <font>
      <b/>
      <i/>
      <sz val="8"/>
      <name val="Arial"/>
      <family val="2"/>
    </font>
    <font>
      <b/>
      <sz val="8"/>
      <name val="Book Antiqua"/>
      <family val="1"/>
    </font>
    <font>
      <sz val="14"/>
      <name val="Arial"/>
      <family val="2"/>
    </font>
    <font>
      <sz val="8"/>
      <color indexed="12"/>
      <name val="Times New Roman"/>
      <family val="1"/>
    </font>
    <font>
      <b/>
      <sz val="14"/>
      <name val="Book Antiqua"/>
      <family val="1"/>
    </font>
    <font>
      <sz val="10"/>
      <name val="MS Serif"/>
      <family val="1"/>
    </font>
    <font>
      <sz val="10"/>
      <name val="MS Sans Serif"/>
      <family val="2"/>
    </font>
    <font>
      <sz val="12"/>
      <name val="Times New Roman"/>
      <family val="1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b/>
      <i/>
      <sz val="9"/>
      <color indexed="4"/>
      <name val="Times New Roman"/>
      <family val="1"/>
    </font>
    <font>
      <sz val="7"/>
      <name val="Arial"/>
      <family val="2"/>
    </font>
    <font>
      <b/>
      <sz val="14"/>
      <name val="Arial"/>
      <family val="2"/>
    </font>
    <font>
      <u/>
      <sz val="8"/>
      <name val="Times New Roman"/>
      <family val="1"/>
    </font>
    <font>
      <b/>
      <sz val="12"/>
      <color indexed="9"/>
      <name val="Times"/>
      <family val="1"/>
    </font>
    <font>
      <b/>
      <i/>
      <sz val="18"/>
      <color indexed="4"/>
      <name val="Times New Roman"/>
      <family val="1"/>
    </font>
    <font>
      <b/>
      <sz val="12"/>
      <name val="Arial"/>
      <family val="2"/>
    </font>
    <font>
      <b/>
      <sz val="8"/>
      <name val="Palatino"/>
      <family val="1"/>
    </font>
    <font>
      <b/>
      <sz val="9"/>
      <name val="Arial"/>
      <family val="2"/>
    </font>
    <font>
      <b/>
      <sz val="8"/>
      <name val="MS Sans Serif"/>
      <family val="2"/>
    </font>
    <font>
      <b/>
      <i/>
      <sz val="10"/>
      <name val="Times New Roman"/>
      <family val="1"/>
    </font>
    <font>
      <b/>
      <sz val="10"/>
      <name val="Palatino"/>
      <family val="1"/>
    </font>
    <font>
      <sz val="8"/>
      <name val="Book Antiqua"/>
      <family val="1"/>
    </font>
    <font>
      <sz val="10"/>
      <name val="Geneva"/>
      <family val="2"/>
    </font>
    <font>
      <i/>
      <sz val="7"/>
      <name val="Book Antiqua"/>
      <family val="1"/>
    </font>
    <font>
      <sz val="8"/>
      <name val="Palatino"/>
      <family val="1"/>
    </font>
    <font>
      <b/>
      <i/>
      <sz val="16"/>
      <name val="Helv"/>
    </font>
    <font>
      <sz val="10"/>
      <color indexed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0"/>
      <color indexed="12"/>
      <name val="Times New Roman"/>
      <family val="1"/>
    </font>
    <font>
      <b/>
      <sz val="12"/>
      <name val="Times New Roman"/>
      <family val="1"/>
    </font>
    <font>
      <b/>
      <sz val="15"/>
      <name val="Times New Roman"/>
      <family val="1"/>
    </font>
    <font>
      <sz val="8"/>
      <color indexed="72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u/>
      <sz val="8"/>
      <name val="Book Antiqua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2"/>
      <name val="Arial MT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7"/>
      <color indexed="12"/>
      <name val="Arial"/>
      <family val="2"/>
    </font>
    <font>
      <sz val="8"/>
      <name val="Wingdings"/>
      <charset val="2"/>
    </font>
    <font>
      <sz val="9"/>
      <color indexed="8"/>
      <name val="Times New Roman"/>
      <family val="1"/>
    </font>
    <font>
      <sz val="8"/>
      <name val="MS Sans Serif"/>
      <family val="2"/>
    </font>
    <font>
      <b/>
      <sz val="8"/>
      <color indexed="10"/>
      <name val="Times New Roman"/>
      <family val="1"/>
    </font>
    <font>
      <b/>
      <sz val="8"/>
      <color indexed="8"/>
      <name val="Helv"/>
    </font>
    <font>
      <b/>
      <sz val="14"/>
      <color indexed="8"/>
      <name val="Times New Roman"/>
      <family val="1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7"/>
      <color indexed="12"/>
      <name val="Arial"/>
      <family val="2"/>
    </font>
    <font>
      <b/>
      <u/>
      <sz val="10"/>
      <name val="Book Antiqua"/>
      <family val="1"/>
    </font>
    <font>
      <b/>
      <sz val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6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8"/>
      <color rgb="FFFF000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i/>
      <sz val="8"/>
      <name val="Calibri"/>
      <family val="2"/>
      <scheme val="minor"/>
    </font>
    <font>
      <i/>
      <sz val="10"/>
      <name val="Arial"/>
      <family val="2"/>
    </font>
    <font>
      <i/>
      <sz val="8"/>
      <color indexed="12"/>
      <name val="Calibri"/>
      <family val="2"/>
      <scheme val="minor"/>
    </font>
    <font>
      <b/>
      <sz val="14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lightGray">
        <fgColor indexed="15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56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3"/>
      </patternFill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4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96">
    <xf numFmtId="0" fontId="0" fillId="0" borderId="0"/>
    <xf numFmtId="173" fontId="26" fillId="0" borderId="0"/>
    <xf numFmtId="0" fontId="27" fillId="0" borderId="0">
      <alignment horizontal="right"/>
    </xf>
    <xf numFmtId="0" fontId="6" fillId="0" borderId="0"/>
    <xf numFmtId="174" fontId="22" fillId="0" borderId="0" applyFont="0" applyFill="0" applyBorder="0" applyAlignment="0"/>
    <xf numFmtId="175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 applyNumberFormat="0" applyFill="0" applyBorder="0" applyAlignment="0" applyProtection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vertical="top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vertical="top"/>
    </xf>
    <xf numFmtId="177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78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80" fontId="6" fillId="0" borderId="0" applyFont="0" applyFill="0" applyBorder="0" applyAlignment="0" applyProtection="0"/>
    <xf numFmtId="39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2" borderId="0" applyNumberFormat="0" applyFont="0" applyAlignment="0" applyProtection="0"/>
    <xf numFmtId="0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3" fontId="6" fillId="0" borderId="0" applyFont="0" applyFill="0" applyBorder="0" applyAlignment="0" applyProtection="0"/>
    <xf numFmtId="184" fontId="6" fillId="0" borderId="0" applyFont="0" applyFill="0" applyBorder="0" applyProtection="0">
      <alignment horizontal="right"/>
    </xf>
    <xf numFmtId="185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186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29" fillId="0" borderId="0" applyNumberFormat="0" applyFill="0" applyBorder="0" applyProtection="0">
      <alignment vertical="top"/>
    </xf>
    <xf numFmtId="0" fontId="29" fillId="0" borderId="0" applyNumberFormat="0" applyFill="0" applyBorder="0" applyProtection="0">
      <alignment vertical="top"/>
    </xf>
    <xf numFmtId="0" fontId="30" fillId="0" borderId="1" applyNumberFormat="0" applyFill="0" applyAlignment="0" applyProtection="0"/>
    <xf numFmtId="0" fontId="31" fillId="0" borderId="2" applyNumberFormat="0" applyFill="0" applyProtection="0">
      <alignment horizontal="center"/>
    </xf>
    <xf numFmtId="0" fontId="31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188" fontId="33" fillId="0" borderId="0" applyFont="0" applyFill="0" applyBorder="0" applyAlignment="0" applyProtection="0"/>
    <xf numFmtId="189" fontId="33" fillId="0" borderId="0" applyFont="0" applyFill="0" applyBorder="0" applyAlignment="0" applyProtection="0"/>
    <xf numFmtId="190" fontId="33" fillId="0" borderId="0" applyFont="0" applyFill="0" applyBorder="0" applyAlignment="0" applyProtection="0"/>
    <xf numFmtId="191" fontId="33" fillId="0" borderId="0" applyFont="0" applyFill="0" applyBorder="0" applyAlignment="0" applyProtection="0"/>
    <xf numFmtId="192" fontId="33" fillId="0" borderId="0" applyFont="0" applyFill="0" applyBorder="0" applyAlignment="0" applyProtection="0"/>
    <xf numFmtId="193" fontId="34" fillId="0" borderId="0" applyFont="0" applyFill="0" applyBorder="0" applyAlignment="0" applyProtection="0"/>
    <xf numFmtId="42" fontId="6" fillId="0" borderId="0" applyFont="0" applyFill="0" applyBorder="0" applyAlignment="0" applyProtection="0"/>
    <xf numFmtId="0" fontId="35" fillId="0" borderId="0" applyNumberFormat="0" applyFont="0" applyFill="0" applyBorder="0" applyProtection="0">
      <alignment horizontal="centerContinuous"/>
    </xf>
    <xf numFmtId="0" fontId="3" fillId="0" borderId="0" applyNumberFormat="0" applyFill="0" applyBorder="0" applyAlignment="0">
      <protection locked="0"/>
    </xf>
    <xf numFmtId="0" fontId="36" fillId="0" borderId="0"/>
    <xf numFmtId="0" fontId="37" fillId="0" borderId="0"/>
    <xf numFmtId="0" fontId="27" fillId="0" borderId="0">
      <alignment horizontal="center" wrapText="1"/>
      <protection locked="0"/>
    </xf>
    <xf numFmtId="0" fontId="6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2" fillId="3" borderId="0" applyNumberFormat="0" applyBorder="0" applyAlignment="0">
      <protection locked="0"/>
    </xf>
    <xf numFmtId="194" fontId="22" fillId="0" borderId="0" applyFont="0" applyFill="0" applyBorder="0" applyAlignment="0" applyProtection="0"/>
    <xf numFmtId="195" fontId="39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106" fillId="25" borderId="0"/>
    <xf numFmtId="0" fontId="40" fillId="0" borderId="0" applyNumberFormat="0" applyFill="0" applyBorder="0" applyAlignment="0" applyProtection="0"/>
    <xf numFmtId="197" fontId="41" fillId="0" borderId="0"/>
    <xf numFmtId="0" fontId="42" fillId="0" borderId="0" applyNumberFormat="0" applyFill="0" applyBorder="0" applyAlignment="0" applyProtection="0"/>
    <xf numFmtId="0" fontId="5" fillId="0" borderId="0"/>
    <xf numFmtId="0" fontId="43" fillId="0" borderId="0"/>
    <xf numFmtId="0" fontId="35" fillId="0" borderId="3" applyNumberFormat="0" applyFont="0" applyFill="0" applyAlignment="0" applyProtection="0"/>
    <xf numFmtId="0" fontId="44" fillId="0" borderId="4" applyFill="0" applyProtection="0">
      <alignment horizontal="right"/>
    </xf>
    <xf numFmtId="198" fontId="2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/>
    <xf numFmtId="0" fontId="26" fillId="0" borderId="0" applyFill="0" applyBorder="0" applyAlignment="0"/>
    <xf numFmtId="0" fontId="26" fillId="0" borderId="0" applyFill="0" applyBorder="0" applyAlignment="0"/>
    <xf numFmtId="199" fontId="26" fillId="0" borderId="0" applyFill="0" applyBorder="0" applyAlignment="0"/>
    <xf numFmtId="200" fontId="26" fillId="0" borderId="0" applyFill="0" applyBorder="0" applyAlignment="0"/>
    <xf numFmtId="201" fontId="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39" fontId="27" fillId="4" borderId="0" applyNumberFormat="0" applyFont="0" applyBorder="0" applyAlignment="0"/>
    <xf numFmtId="0" fontId="46" fillId="0" borderId="0"/>
    <xf numFmtId="0" fontId="35" fillId="0" borderId="0" applyNumberFormat="0" applyFont="0" applyFill="0" applyBorder="0" applyProtection="0">
      <alignment horizontal="center"/>
    </xf>
    <xf numFmtId="49" fontId="20" fillId="0" borderId="0" applyFill="0" applyBorder="0" applyProtection="0">
      <alignment horizontal="center"/>
    </xf>
    <xf numFmtId="49" fontId="47" fillId="0" borderId="0" applyFill="0" applyBorder="0" applyProtection="0">
      <alignment horizontal="center"/>
    </xf>
    <xf numFmtId="8" fontId="6" fillId="0" borderId="5" applyFont="0" applyFill="0" applyBorder="0" applyProtection="0">
      <alignment horizontal="right"/>
    </xf>
    <xf numFmtId="0" fontId="4" fillId="0" borderId="0"/>
    <xf numFmtId="0" fontId="2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9" fillId="0" borderId="3" applyNumberFormat="0" applyFill="0" applyBorder="0" applyAlignment="0" applyProtection="0">
      <alignment horizontal="center"/>
    </xf>
    <xf numFmtId="0" fontId="8" fillId="5" borderId="0"/>
    <xf numFmtId="43" fontId="1" fillId="0" borderId="0" applyFont="0" applyFill="0" applyBorder="0" applyAlignment="0" applyProtection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2" fontId="6" fillId="0" borderId="0"/>
    <xf numFmtId="203" fontId="50" fillId="0" borderId="0"/>
    <xf numFmtId="0" fontId="26" fillId="0" borderId="0" applyFont="0" applyFill="0" applyBorder="0" applyAlignment="0" applyProtection="0"/>
    <xf numFmtId="170" fontId="51" fillId="0" borderId="0" applyFont="0" applyFill="0" applyBorder="0" applyAlignment="0" applyProtection="0"/>
    <xf numFmtId="40" fontId="6" fillId="0" borderId="0" applyFont="0" applyFill="0" applyBorder="0" applyProtection="0">
      <alignment horizontal="right"/>
    </xf>
    <xf numFmtId="3" fontId="6" fillId="0" borderId="0" applyFill="0" applyBorder="0" applyAlignment="0" applyProtection="0"/>
    <xf numFmtId="3" fontId="2" fillId="0" borderId="0" applyFont="0" applyFill="0" applyBorder="0" applyAlignment="0" applyProtection="0"/>
    <xf numFmtId="3" fontId="20" fillId="0" borderId="0" applyFill="0" applyBorder="0" applyAlignment="0" applyProtection="0"/>
    <xf numFmtId="38" fontId="52" fillId="0" borderId="0" applyNumberFormat="0" applyFill="0" applyBorder="0">
      <alignment vertical="center"/>
    </xf>
    <xf numFmtId="0" fontId="53" fillId="0" borderId="0" applyNumberFormat="0" applyAlignment="0">
      <alignment horizontal="left"/>
    </xf>
    <xf numFmtId="7" fontId="6" fillId="0" borderId="0" applyFont="0" applyFill="0" applyBorder="0" applyAlignment="0" applyProtection="0"/>
    <xf numFmtId="204" fontId="50" fillId="0" borderId="0"/>
    <xf numFmtId="0" fontId="26" fillId="0" borderId="0" applyFont="0" applyFill="0" applyBorder="0" applyAlignment="0" applyProtection="0"/>
    <xf numFmtId="205" fontId="22" fillId="0" borderId="0" applyFont="0" applyFill="0" applyBorder="0" applyAlignment="0" applyProtection="0"/>
    <xf numFmtId="8" fontId="35" fillId="0" borderId="0" applyBorder="0"/>
    <xf numFmtId="206" fontId="6" fillId="0" borderId="0" applyNumberFormat="0">
      <alignment horizontal="right"/>
    </xf>
    <xf numFmtId="15" fontId="6" fillId="0" borderId="0" applyFont="0" applyFill="0" applyBorder="0" applyProtection="0">
      <alignment horizontal="right"/>
    </xf>
    <xf numFmtId="14" fontId="4" fillId="0" borderId="0" applyFill="0" applyBorder="0" applyAlignment="0"/>
    <xf numFmtId="15" fontId="6" fillId="0" borderId="0" applyFont="0" applyFill="0" applyBorder="0" applyProtection="0">
      <alignment horizontal="right"/>
    </xf>
    <xf numFmtId="207" fontId="20" fillId="0" borderId="0" applyFill="0" applyBorder="0" applyProtection="0">
      <alignment horizontal="left"/>
    </xf>
    <xf numFmtId="0" fontId="6" fillId="0" borderId="0">
      <alignment horizontal="left"/>
    </xf>
    <xf numFmtId="38" fontId="54" fillId="0" borderId="6">
      <alignment vertical="center"/>
    </xf>
    <xf numFmtId="208" fontId="34" fillId="0" borderId="0" applyFont="0" applyFill="0" applyBorder="0" applyAlignment="0" applyProtection="0"/>
    <xf numFmtId="4" fontId="55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7" applyNumberFormat="0" applyFont="0" applyFill="0" applyAlignment="0" applyProtection="0"/>
    <xf numFmtId="42" fontId="56" fillId="0" borderId="0" applyFill="0" applyBorder="0" applyAlignment="0" applyProtection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57" fillId="0" borderId="0" applyNumberFormat="0" applyAlignment="0">
      <alignment horizontal="left"/>
    </xf>
    <xf numFmtId="209" fontId="6" fillId="0" borderId="0" applyFont="0" applyFill="0" applyBorder="0" applyAlignment="0" applyProtection="0"/>
    <xf numFmtId="169" fontId="35" fillId="0" borderId="0" applyNumberFormat="0" applyFont="0" applyAlignment="0">
      <alignment vertical="center"/>
    </xf>
    <xf numFmtId="0" fontId="58" fillId="0" borderId="0">
      <alignment horizontal="center"/>
    </xf>
    <xf numFmtId="0" fontId="59" fillId="0" borderId="0" applyNumberFormat="0" applyFill="0" applyBorder="0" applyAlignment="0" applyProtection="0"/>
    <xf numFmtId="38" fontId="2" fillId="6" borderId="0" applyNumberFormat="0" applyBorder="0" applyAlignment="0" applyProtection="0"/>
    <xf numFmtId="0" fontId="5" fillId="7" borderId="8" applyAlignment="0" applyProtection="0"/>
    <xf numFmtId="0" fontId="60" fillId="0" borderId="3" applyFill="0" applyProtection="0">
      <alignment horizontal="centerContinuous"/>
    </xf>
    <xf numFmtId="41" fontId="61" fillId="0" borderId="0">
      <alignment horizontal="center"/>
    </xf>
    <xf numFmtId="0" fontId="6" fillId="0" borderId="0">
      <alignment horizontal="center"/>
    </xf>
    <xf numFmtId="0" fontId="6" fillId="0" borderId="0">
      <alignment horizontal="left"/>
    </xf>
    <xf numFmtId="0" fontId="6" fillId="0" borderId="0">
      <alignment horizontal="right"/>
    </xf>
    <xf numFmtId="0" fontId="62" fillId="8" borderId="0"/>
    <xf numFmtId="0" fontId="63" fillId="0" borderId="0">
      <alignment horizontal="center" vertical="center"/>
    </xf>
    <xf numFmtId="0" fontId="64" fillId="0" borderId="9" applyNumberFormat="0" applyAlignment="0" applyProtection="0">
      <alignment horizontal="left" vertical="center"/>
    </xf>
    <xf numFmtId="0" fontId="64" fillId="0" borderId="8">
      <alignment horizontal="left" vertical="center"/>
    </xf>
    <xf numFmtId="0" fontId="65" fillId="0" borderId="0">
      <alignment horizontal="center"/>
    </xf>
    <xf numFmtId="0" fontId="66" fillId="0" borderId="0" applyFill="0" applyBorder="0" applyProtection="0">
      <alignment horizontal="right"/>
    </xf>
    <xf numFmtId="0" fontId="67" fillId="0" borderId="10">
      <alignment horizontal="center"/>
    </xf>
    <xf numFmtId="0" fontId="67" fillId="0" borderId="0">
      <alignment horizontal="center"/>
    </xf>
    <xf numFmtId="10" fontId="40" fillId="0" borderId="0" applyNumberFormat="0" applyFill="0" applyBorder="0" applyAlignment="0" applyProtection="0">
      <alignment horizontal="right"/>
    </xf>
    <xf numFmtId="10" fontId="2" fillId="9" borderId="11" applyNumberFormat="0" applyBorder="0" applyAlignment="0" applyProtection="0"/>
    <xf numFmtId="0" fontId="9" fillId="0" borderId="0"/>
    <xf numFmtId="0" fontId="68" fillId="0" borderId="0"/>
    <xf numFmtId="0" fontId="2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9" fontId="2" fillId="0" borderId="0" applyFont="0" applyFill="0" applyBorder="0" applyProtection="0">
      <alignment horizontal="left"/>
    </xf>
    <xf numFmtId="49" fontId="20" fillId="0" borderId="0" applyFill="0" applyBorder="0" applyProtection="0">
      <alignment horizontal="left"/>
    </xf>
    <xf numFmtId="49" fontId="20" fillId="0" borderId="3" applyFill="0" applyProtection="0">
      <alignment horizontal="left"/>
    </xf>
    <xf numFmtId="49" fontId="20" fillId="0" borderId="12" applyFill="0" applyProtection="0">
      <alignment horizontal="left"/>
    </xf>
    <xf numFmtId="0" fontId="69" fillId="0" borderId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165" fontId="6" fillId="0" borderId="0" applyNumberFormat="0" applyFont="0" applyFill="0" applyBorder="0" applyAlignment="0"/>
    <xf numFmtId="17" fontId="22" fillId="0" borderId="0"/>
    <xf numFmtId="0" fontId="27" fillId="0" borderId="0" applyNumberFormat="0" applyFill="0" applyBorder="0" applyProtection="0"/>
    <xf numFmtId="0" fontId="22" fillId="0" borderId="0" applyNumberFormat="0" applyFill="0" applyBorder="0" applyProtection="0"/>
    <xf numFmtId="38" fontId="70" fillId="0" borderId="0" applyNumberFormat="0" applyFill="0" applyBorder="0">
      <alignment horizontal="left" vertical="center"/>
    </xf>
    <xf numFmtId="164" fontId="6" fillId="0" borderId="0" applyFont="0" applyFill="0" applyBorder="0" applyAlignment="0" applyProtection="0"/>
    <xf numFmtId="38" fontId="71" fillId="0" borderId="0" applyFont="0" applyFill="0" applyBorder="0" applyAlignment="0" applyProtection="0"/>
    <xf numFmtId="40" fontId="71" fillId="0" borderId="0" applyFont="0" applyFill="0" applyBorder="0" applyAlignment="0" applyProtection="0"/>
    <xf numFmtId="169" fontId="72" fillId="0" borderId="0" applyFill="0" applyBorder="0">
      <alignment vertical="center"/>
    </xf>
    <xf numFmtId="210" fontId="27" fillId="0" borderId="0">
      <alignment horizontal="center"/>
    </xf>
    <xf numFmtId="211" fontId="71" fillId="0" borderId="0" applyFont="0" applyFill="0" applyBorder="0" applyAlignment="0" applyProtection="0"/>
    <xf numFmtId="212" fontId="71" fillId="0" borderId="0" applyFont="0" applyFill="0" applyBorder="0" applyAlignment="0" applyProtection="0"/>
    <xf numFmtId="7" fontId="6" fillId="0" borderId="0"/>
    <xf numFmtId="213" fontId="73" fillId="0" borderId="0" applyFont="0" applyFill="0" applyBorder="0" applyProtection="0">
      <alignment horizontal="right"/>
    </xf>
    <xf numFmtId="214" fontId="55" fillId="0" borderId="0" applyFont="0" applyFill="0" applyBorder="0" applyAlignment="0" applyProtection="0"/>
    <xf numFmtId="215" fontId="22" fillId="0" borderId="0" applyFont="0" applyFill="0" applyBorder="0" applyAlignment="0" applyProtection="0"/>
    <xf numFmtId="216" fontId="55" fillId="0" borderId="0" applyFont="0" applyFill="0" applyBorder="0" applyAlignment="0" applyProtection="0"/>
    <xf numFmtId="217" fontId="27" fillId="0" borderId="0" applyFont="0" applyFill="0" applyBorder="0" applyAlignment="0" applyProtection="0"/>
    <xf numFmtId="218" fontId="22" fillId="0" borderId="0" applyFont="0" applyFill="0" applyBorder="0" applyAlignment="0" applyProtection="0"/>
    <xf numFmtId="219" fontId="55" fillId="0" borderId="0" applyFont="0" applyFill="0" applyBorder="0" applyAlignment="0" applyProtection="0"/>
    <xf numFmtId="220" fontId="55" fillId="0" borderId="0" applyFont="0" applyFill="0" applyBorder="0" applyAlignment="0" applyProtection="0"/>
    <xf numFmtId="221" fontId="22" fillId="0" borderId="0" applyFont="0" applyFill="0" applyBorder="0" applyAlignment="0" applyProtection="0"/>
    <xf numFmtId="222" fontId="6" fillId="0" borderId="0"/>
    <xf numFmtId="0" fontId="10" fillId="10" borderId="0"/>
    <xf numFmtId="0" fontId="11" fillId="11" borderId="0"/>
    <xf numFmtId="0" fontId="12" fillId="0" borderId="0"/>
    <xf numFmtId="223" fontId="74" fillId="0" borderId="0"/>
    <xf numFmtId="0" fontId="6" fillId="0" borderId="0"/>
    <xf numFmtId="0" fontId="6" fillId="0" borderId="0"/>
    <xf numFmtId="0" fontId="75" fillId="0" borderId="0">
      <alignment horizontal="center"/>
    </xf>
    <xf numFmtId="0" fontId="23" fillId="0" borderId="0">
      <alignment horizontal="center" vertical="center"/>
    </xf>
    <xf numFmtId="0" fontId="22" fillId="0" borderId="13"/>
    <xf numFmtId="0" fontId="22" fillId="0" borderId="14"/>
    <xf numFmtId="49" fontId="22" fillId="0" borderId="14">
      <alignment horizontal="left"/>
    </xf>
    <xf numFmtId="0" fontId="22" fillId="0" borderId="15"/>
    <xf numFmtId="0" fontId="22" fillId="0" borderId="3"/>
    <xf numFmtId="0" fontId="22" fillId="0" borderId="16"/>
    <xf numFmtId="0" fontId="22" fillId="6" borderId="17"/>
    <xf numFmtId="0" fontId="23" fillId="6" borderId="12">
      <alignment horizontal="left"/>
    </xf>
    <xf numFmtId="0" fontId="23" fillId="6" borderId="18">
      <alignment horizontal="left"/>
    </xf>
    <xf numFmtId="0" fontId="22" fillId="6" borderId="12"/>
    <xf numFmtId="0" fontId="22" fillId="0" borderId="0">
      <alignment horizontal="left"/>
    </xf>
    <xf numFmtId="0" fontId="23" fillId="6" borderId="12">
      <alignment horizontal="left"/>
    </xf>
    <xf numFmtId="0" fontId="39" fillId="6" borderId="12">
      <alignment horizontal="left"/>
    </xf>
    <xf numFmtId="0" fontId="22" fillId="6" borderId="18"/>
    <xf numFmtId="0" fontId="22" fillId="0" borderId="13">
      <alignment horizontal="left"/>
    </xf>
    <xf numFmtId="0" fontId="22" fillId="0" borderId="0">
      <alignment horizontal="left"/>
    </xf>
    <xf numFmtId="0" fontId="22" fillId="0" borderId="14">
      <alignment horizontal="center"/>
    </xf>
    <xf numFmtId="0" fontId="22" fillId="0" borderId="0">
      <alignment horizontal="left"/>
    </xf>
    <xf numFmtId="0" fontId="23" fillId="6" borderId="17">
      <alignment horizontal="left"/>
    </xf>
    <xf numFmtId="0" fontId="22" fillId="0" borderId="13">
      <alignment horizontal="left"/>
    </xf>
    <xf numFmtId="0" fontId="22" fillId="0" borderId="13">
      <alignment horizontal="right"/>
    </xf>
    <xf numFmtId="172" fontId="23" fillId="0" borderId="0"/>
    <xf numFmtId="0" fontId="22" fillId="0" borderId="13"/>
    <xf numFmtId="169" fontId="22" fillId="0" borderId="14"/>
    <xf numFmtId="0" fontId="22" fillId="0" borderId="13"/>
    <xf numFmtId="0" fontId="22" fillId="0" borderId="13">
      <alignment horizontal="left"/>
    </xf>
    <xf numFmtId="0" fontId="23" fillId="6" borderId="17"/>
    <xf numFmtId="0" fontId="76" fillId="6" borderId="13">
      <alignment horizontal="left"/>
    </xf>
    <xf numFmtId="0" fontId="22" fillId="6" borderId="14"/>
    <xf numFmtId="0" fontId="23" fillId="6" borderId="13">
      <alignment horizontal="left"/>
    </xf>
    <xf numFmtId="0" fontId="22" fillId="0" borderId="13">
      <alignment horizontal="left"/>
    </xf>
    <xf numFmtId="0" fontId="22" fillId="0" borderId="13">
      <alignment horizontal="left"/>
    </xf>
    <xf numFmtId="14" fontId="75" fillId="0" borderId="0">
      <alignment horizontal="center"/>
    </xf>
    <xf numFmtId="49" fontId="77" fillId="0" borderId="13">
      <alignment horizontal="left"/>
    </xf>
    <xf numFmtId="0" fontId="77" fillId="0" borderId="13"/>
    <xf numFmtId="0" fontId="23" fillId="6" borderId="13">
      <alignment horizontal="left"/>
    </xf>
    <xf numFmtId="0" fontId="23" fillId="6" borderId="13"/>
    <xf numFmtId="49" fontId="22" fillId="0" borderId="14">
      <alignment horizontal="left"/>
    </xf>
    <xf numFmtId="0" fontId="75" fillId="0" borderId="13"/>
    <xf numFmtId="0" fontId="75" fillId="0" borderId="0">
      <alignment horizontal="center"/>
    </xf>
    <xf numFmtId="14" fontId="75" fillId="0" borderId="0">
      <alignment horizontal="center"/>
    </xf>
    <xf numFmtId="0" fontId="75" fillId="0" borderId="15"/>
    <xf numFmtId="0" fontId="22" fillId="0" borderId="3">
      <alignment horizontal="center"/>
    </xf>
    <xf numFmtId="0" fontId="22" fillId="0" borderId="0"/>
    <xf numFmtId="0" fontId="75" fillId="0" borderId="3">
      <alignment horizontal="center"/>
    </xf>
    <xf numFmtId="14" fontId="75" fillId="0" borderId="3">
      <alignment horizontal="center"/>
    </xf>
    <xf numFmtId="0" fontId="23" fillId="0" borderId="0">
      <alignment horizontal="left" vertical="center" wrapText="1"/>
    </xf>
    <xf numFmtId="0" fontId="23" fillId="6" borderId="9">
      <alignment horizontal="left" wrapText="1"/>
    </xf>
    <xf numFmtId="0" fontId="23" fillId="0" borderId="0">
      <alignment horizontal="right" vertical="center"/>
    </xf>
    <xf numFmtId="172" fontId="23" fillId="0" borderId="0">
      <alignment horizontal="right"/>
    </xf>
    <xf numFmtId="14" fontId="78" fillId="0" borderId="0">
      <alignment horizontal="center"/>
    </xf>
    <xf numFmtId="0" fontId="23" fillId="6" borderId="19">
      <alignment horizontal="center" wrapText="1"/>
    </xf>
    <xf numFmtId="0" fontId="55" fillId="0" borderId="0">
      <alignment horizontal="center" vertical="center"/>
    </xf>
    <xf numFmtId="1" fontId="79" fillId="0" borderId="0">
      <alignment horizontal="center" wrapText="1"/>
    </xf>
    <xf numFmtId="0" fontId="23" fillId="6" borderId="9">
      <alignment horizontal="center" wrapText="1"/>
    </xf>
    <xf numFmtId="0" fontId="79" fillId="6" borderId="20">
      <alignment horizontal="center" wrapText="1"/>
    </xf>
    <xf numFmtId="0" fontId="79" fillId="6" borderId="19">
      <alignment horizontal="left" wrapText="1"/>
    </xf>
    <xf numFmtId="0" fontId="22" fillId="0" borderId="14">
      <alignment horizontal="left"/>
    </xf>
    <xf numFmtId="0" fontId="55" fillId="0" borderId="0">
      <alignment horizontal="center"/>
    </xf>
    <xf numFmtId="2" fontId="55" fillId="12" borderId="0">
      <alignment horizontal="center"/>
    </xf>
    <xf numFmtId="0" fontId="22" fillId="0" borderId="0">
      <alignment horizontal="left" vertical="top"/>
    </xf>
    <xf numFmtId="16" fontId="22" fillId="0" borderId="0"/>
    <xf numFmtId="0" fontId="22" fillId="12" borderId="0"/>
    <xf numFmtId="14" fontId="22" fillId="0" borderId="0">
      <alignment horizontal="center"/>
    </xf>
    <xf numFmtId="2" fontId="55" fillId="0" borderId="12">
      <alignment horizontal="center" vertical="center"/>
    </xf>
    <xf numFmtId="0" fontId="23" fillId="6" borderId="0">
      <alignment horizontal="center"/>
    </xf>
    <xf numFmtId="2" fontId="55" fillId="0" borderId="0">
      <alignment horizontal="center"/>
    </xf>
    <xf numFmtId="2" fontId="55" fillId="0" borderId="0">
      <alignment horizontal="center"/>
    </xf>
    <xf numFmtId="0" fontId="22" fillId="0" borderId="0">
      <alignment horizontal="left" vertical="top"/>
    </xf>
    <xf numFmtId="15" fontId="22" fillId="0" borderId="0">
      <alignment horizontal="left" vertical="top"/>
    </xf>
    <xf numFmtId="0" fontId="22" fillId="0" borderId="0">
      <alignment horizontal="left" vertical="top"/>
    </xf>
    <xf numFmtId="14" fontId="22" fillId="0" borderId="0">
      <alignment horizontal="center" vertical="top"/>
    </xf>
    <xf numFmtId="0" fontId="55" fillId="0" borderId="0"/>
    <xf numFmtId="0" fontId="79" fillId="0" borderId="3"/>
    <xf numFmtId="14" fontId="79" fillId="0" borderId="3"/>
    <xf numFmtId="2" fontId="55" fillId="0" borderId="3">
      <alignment horizontal="center"/>
    </xf>
    <xf numFmtId="0" fontId="22" fillId="0" borderId="0">
      <alignment horizontal="center"/>
    </xf>
    <xf numFmtId="2" fontId="55" fillId="0" borderId="3">
      <alignment horizontal="center"/>
    </xf>
    <xf numFmtId="0" fontId="55" fillId="0" borderId="3"/>
    <xf numFmtId="0" fontId="55" fillId="0" borderId="3">
      <alignment horizontal="center"/>
    </xf>
    <xf numFmtId="0" fontId="55" fillId="0" borderId="3">
      <alignment horizontal="center"/>
    </xf>
    <xf numFmtId="0" fontId="23" fillId="0" borderId="0">
      <alignment horizontal="left" vertical="top"/>
    </xf>
    <xf numFmtId="0" fontId="23" fillId="0" borderId="0">
      <alignment horizontal="left" vertical="top"/>
    </xf>
    <xf numFmtId="0" fontId="22" fillId="0" borderId="0">
      <alignment horizontal="center" vertical="top"/>
    </xf>
    <xf numFmtId="43" fontId="55" fillId="0" borderId="0">
      <alignment horizontal="left"/>
    </xf>
    <xf numFmtId="172" fontId="22" fillId="0" borderId="0"/>
    <xf numFmtId="0" fontId="22" fillId="0" borderId="0">
      <alignment horizontal="center"/>
    </xf>
    <xf numFmtId="0" fontId="75" fillId="0" borderId="0"/>
    <xf numFmtId="43" fontId="22" fillId="0" borderId="0"/>
    <xf numFmtId="1" fontId="22" fillId="0" borderId="0"/>
    <xf numFmtId="0" fontId="23" fillId="0" borderId="0"/>
    <xf numFmtId="43" fontId="22" fillId="0" borderId="0">
      <alignment horizontal="center"/>
    </xf>
    <xf numFmtId="43" fontId="22" fillId="0" borderId="21"/>
    <xf numFmtId="43" fontId="22" fillId="0" borderId="22"/>
    <xf numFmtId="0" fontId="22" fillId="0" borderId="10"/>
    <xf numFmtId="43" fontId="22" fillId="0" borderId="0"/>
    <xf numFmtId="1" fontId="79" fillId="0" borderId="16">
      <alignment horizontal="center" wrapText="1"/>
    </xf>
    <xf numFmtId="0" fontId="55" fillId="0" borderId="0">
      <alignment horizontal="center"/>
    </xf>
    <xf numFmtId="0" fontId="22" fillId="0" borderId="0">
      <alignment horizontal="left"/>
    </xf>
    <xf numFmtId="0" fontId="55" fillId="0" borderId="0"/>
    <xf numFmtId="43" fontId="22" fillId="0" borderId="0">
      <alignment horizontal="center"/>
    </xf>
    <xf numFmtId="0" fontId="23" fillId="0" borderId="3">
      <alignment horizontal="left" vertical="top"/>
    </xf>
    <xf numFmtId="0" fontId="22" fillId="0" borderId="3">
      <alignment horizontal="center" vertical="top"/>
    </xf>
    <xf numFmtId="14" fontId="22" fillId="0" borderId="3">
      <alignment horizontal="center" vertical="top"/>
    </xf>
    <xf numFmtId="15" fontId="22" fillId="0" borderId="3">
      <alignment horizontal="left" vertical="top"/>
    </xf>
    <xf numFmtId="0" fontId="25" fillId="0" borderId="0"/>
    <xf numFmtId="224" fontId="22" fillId="0" borderId="0">
      <alignment vertical="top"/>
    </xf>
    <xf numFmtId="0" fontId="22" fillId="0" borderId="3">
      <alignment horizontal="left" vertical="top"/>
    </xf>
    <xf numFmtId="0" fontId="22" fillId="0" borderId="0">
      <alignment horizontal="center" wrapText="1"/>
    </xf>
    <xf numFmtId="0" fontId="22" fillId="0" borderId="0">
      <alignment horizontal="center"/>
    </xf>
    <xf numFmtId="0" fontId="22" fillId="0" borderId="0">
      <alignment horizontal="center" vertical="top"/>
    </xf>
    <xf numFmtId="0" fontId="23" fillId="0" borderId="0"/>
    <xf numFmtId="14" fontId="22" fillId="0" borderId="0">
      <alignment horizontal="center"/>
    </xf>
    <xf numFmtId="14" fontId="22" fillId="0" borderId="0">
      <alignment horizontal="left" vertical="top"/>
    </xf>
    <xf numFmtId="41" fontId="22" fillId="0" borderId="0"/>
    <xf numFmtId="3" fontId="23" fillId="0" borderId="23">
      <alignment horizontal="right" vertical="center"/>
    </xf>
    <xf numFmtId="172" fontId="23" fillId="0" borderId="22">
      <alignment horizontal="right"/>
    </xf>
    <xf numFmtId="225" fontId="79" fillId="0" borderId="0">
      <alignment wrapText="1"/>
    </xf>
    <xf numFmtId="0" fontId="22" fillId="0" borderId="0">
      <alignment horizontal="center"/>
    </xf>
    <xf numFmtId="226" fontId="23" fillId="0" borderId="10"/>
    <xf numFmtId="226" fontId="23" fillId="0" borderId="0"/>
    <xf numFmtId="0" fontId="22" fillId="0" borderId="0">
      <alignment vertical="top"/>
    </xf>
    <xf numFmtId="3" fontId="23" fillId="0" borderId="21">
      <alignment horizontal="right" vertical="center"/>
    </xf>
    <xf numFmtId="0" fontId="79" fillId="0" borderId="15">
      <alignment horizontal="center" wrapText="1"/>
    </xf>
    <xf numFmtId="3" fontId="23" fillId="0" borderId="24">
      <alignment horizontal="right" vertical="center"/>
    </xf>
    <xf numFmtId="3" fontId="23" fillId="0" borderId="0">
      <alignment horizontal="right" vertical="center"/>
    </xf>
    <xf numFmtId="172" fontId="23" fillId="0" borderId="10">
      <alignment horizontal="right"/>
    </xf>
    <xf numFmtId="0" fontId="4" fillId="0" borderId="25">
      <alignment wrapText="1"/>
    </xf>
    <xf numFmtId="227" fontId="4" fillId="0" borderId="25">
      <alignment horizontal="right" wrapText="1"/>
    </xf>
    <xf numFmtId="4" fontId="22" fillId="0" borderId="0">
      <alignment horizontal="center"/>
    </xf>
    <xf numFmtId="0" fontId="23" fillId="6" borderId="9">
      <alignment horizontal="center"/>
    </xf>
    <xf numFmtId="0" fontId="23" fillId="6" borderId="20">
      <alignment horizontal="center"/>
    </xf>
    <xf numFmtId="14" fontId="22" fillId="0" borderId="0">
      <alignment horizontal="center" vertical="top"/>
    </xf>
    <xf numFmtId="0" fontId="22" fillId="13" borderId="0">
      <alignment vertical="top"/>
    </xf>
    <xf numFmtId="0" fontId="22" fillId="13" borderId="0"/>
    <xf numFmtId="0" fontId="4" fillId="0" borderId="25">
      <alignment wrapText="1"/>
    </xf>
    <xf numFmtId="228" fontId="26" fillId="0" borderId="0">
      <alignment horizontal="right" vertical="center" wrapText="1"/>
    </xf>
    <xf numFmtId="0" fontId="26" fillId="0" borderId="0">
      <alignment horizontal="right" vertical="center" wrapText="1"/>
    </xf>
    <xf numFmtId="0" fontId="4" fillId="0" borderId="0">
      <alignment wrapText="1"/>
    </xf>
    <xf numFmtId="172" fontId="22" fillId="0" borderId="0"/>
    <xf numFmtId="0" fontId="22" fillId="13" borderId="0">
      <alignment horizontal="center"/>
    </xf>
    <xf numFmtId="0" fontId="23" fillId="13" borderId="0"/>
    <xf numFmtId="0" fontId="22" fillId="13" borderId="0">
      <alignment horizontal="center" vertical="top"/>
    </xf>
    <xf numFmtId="0" fontId="22" fillId="0" borderId="0">
      <alignment vertical="top"/>
    </xf>
    <xf numFmtId="14" fontId="22" fillId="13" borderId="0">
      <alignment horizontal="center" vertical="top"/>
    </xf>
    <xf numFmtId="15" fontId="22" fillId="13" borderId="0">
      <alignment horizontal="left" vertical="top"/>
    </xf>
    <xf numFmtId="0" fontId="22" fillId="13" borderId="0">
      <alignment horizontal="left" vertical="top"/>
    </xf>
    <xf numFmtId="14" fontId="22" fillId="13" borderId="0">
      <alignment horizontal="left" vertical="top"/>
    </xf>
    <xf numFmtId="0" fontId="22" fillId="14" borderId="0">
      <alignment horizontal="center"/>
    </xf>
    <xf numFmtId="0" fontId="23" fillId="14" borderId="0"/>
    <xf numFmtId="0" fontId="22" fillId="14" borderId="0">
      <alignment horizontal="center" vertical="top"/>
    </xf>
    <xf numFmtId="14" fontId="22" fillId="14" borderId="0">
      <alignment horizontal="center" vertical="top"/>
    </xf>
    <xf numFmtId="0" fontId="22" fillId="14" borderId="0">
      <alignment vertical="top"/>
    </xf>
    <xf numFmtId="15" fontId="22" fillId="14" borderId="0">
      <alignment horizontal="left" vertical="top"/>
    </xf>
    <xf numFmtId="15" fontId="75" fillId="0" borderId="0">
      <alignment horizontal="left"/>
    </xf>
    <xf numFmtId="0" fontId="22" fillId="14" borderId="0">
      <alignment horizontal="left" vertical="top"/>
    </xf>
    <xf numFmtId="172" fontId="22" fillId="14" borderId="0">
      <alignment vertical="top"/>
    </xf>
    <xf numFmtId="14" fontId="22" fillId="14" borderId="0">
      <alignment horizontal="left" vertical="top"/>
    </xf>
    <xf numFmtId="0" fontId="22" fillId="14" borderId="0">
      <alignment horizontal="center"/>
    </xf>
    <xf numFmtId="0" fontId="22" fillId="14" borderId="0"/>
    <xf numFmtId="0" fontId="23" fillId="14" borderId="0">
      <alignment horizontal="left" vertical="top"/>
    </xf>
    <xf numFmtId="14" fontId="22" fillId="14" borderId="0">
      <alignment horizontal="center" vertical="top"/>
    </xf>
    <xf numFmtId="0" fontId="55" fillId="14" borderId="0">
      <alignment horizontal="center"/>
    </xf>
    <xf numFmtId="0" fontId="75" fillId="14" borderId="0">
      <alignment horizontal="center"/>
    </xf>
    <xf numFmtId="0" fontId="22" fillId="14" borderId="0"/>
    <xf numFmtId="0" fontId="55" fillId="0" borderId="0"/>
    <xf numFmtId="0" fontId="23" fillId="0" borderId="0">
      <alignment horizontal="center"/>
    </xf>
    <xf numFmtId="0" fontId="23" fillId="0" borderId="0">
      <alignment horizontal="center"/>
    </xf>
    <xf numFmtId="172" fontId="23" fillId="6" borderId="23">
      <alignment horizontal="center"/>
    </xf>
    <xf numFmtId="172" fontId="23" fillId="6" borderId="24">
      <alignment horizontal="center"/>
    </xf>
    <xf numFmtId="2" fontId="55" fillId="0" borderId="0"/>
    <xf numFmtId="0" fontId="55" fillId="0" borderId="0"/>
    <xf numFmtId="2" fontId="55" fillId="0" borderId="0">
      <alignment horizontal="center"/>
    </xf>
    <xf numFmtId="0" fontId="55" fillId="0" borderId="0">
      <alignment horizontal="center"/>
    </xf>
    <xf numFmtId="0" fontId="75" fillId="0" borderId="0">
      <alignment wrapText="1"/>
    </xf>
    <xf numFmtId="0" fontId="55" fillId="0" borderId="0">
      <alignment horizontal="center"/>
    </xf>
    <xf numFmtId="0" fontId="79" fillId="0" borderId="0">
      <alignment horizontal="left" vertical="center"/>
    </xf>
    <xf numFmtId="2" fontId="55" fillId="0" borderId="12">
      <alignment horizontal="center" vertical="center"/>
    </xf>
    <xf numFmtId="0" fontId="55" fillId="0" borderId="12">
      <alignment horizontal="center" vertical="center"/>
    </xf>
    <xf numFmtId="0" fontId="55" fillId="0" borderId="18">
      <alignment horizontal="center" vertical="center"/>
    </xf>
    <xf numFmtId="0" fontId="55" fillId="0" borderId="0">
      <alignment horizontal="center" vertical="center"/>
    </xf>
    <xf numFmtId="0" fontId="55" fillId="0" borderId="0">
      <alignment horizontal="left" vertical="center"/>
    </xf>
    <xf numFmtId="0" fontId="79" fillId="0" borderId="0">
      <alignment horizontal="left"/>
    </xf>
    <xf numFmtId="0" fontId="79" fillId="0" borderId="0">
      <alignment horizontal="left"/>
    </xf>
    <xf numFmtId="0" fontId="79" fillId="0" borderId="0">
      <alignment horizontal="center"/>
    </xf>
    <xf numFmtId="0" fontId="22" fillId="0" borderId="0">
      <alignment horizontal="center" vertical="center" wrapText="1"/>
    </xf>
    <xf numFmtId="0" fontId="79" fillId="0" borderId="0">
      <alignment horizontal="center" wrapText="1"/>
    </xf>
    <xf numFmtId="0" fontId="79" fillId="0" borderId="13">
      <alignment horizontal="center" wrapText="1"/>
    </xf>
    <xf numFmtId="1" fontId="79" fillId="0" borderId="14">
      <alignment horizontal="center" wrapText="1"/>
    </xf>
    <xf numFmtId="0" fontId="79" fillId="0" borderId="0">
      <alignment horizontal="center"/>
    </xf>
    <xf numFmtId="229" fontId="79" fillId="0" borderId="0">
      <alignment horizontal="center" wrapText="1"/>
    </xf>
    <xf numFmtId="43" fontId="79" fillId="0" borderId="0"/>
    <xf numFmtId="0" fontId="79" fillId="0" borderId="0"/>
    <xf numFmtId="0" fontId="55" fillId="0" borderId="0">
      <alignment wrapText="1"/>
    </xf>
    <xf numFmtId="0" fontId="79" fillId="0" borderId="0">
      <alignment horizontal="center" wrapText="1"/>
    </xf>
    <xf numFmtId="0" fontId="79" fillId="0" borderId="0">
      <alignment horizontal="center" wrapText="1"/>
    </xf>
    <xf numFmtId="43" fontId="22" fillId="0" borderId="0">
      <alignment horizontal="center" vertical="center" wrapText="1"/>
    </xf>
    <xf numFmtId="0" fontId="79" fillId="0" borderId="0">
      <alignment horizontal="center" wrapText="1"/>
    </xf>
    <xf numFmtId="230" fontId="79" fillId="0" borderId="0">
      <alignment horizontal="center" wrapText="1"/>
    </xf>
    <xf numFmtId="0" fontId="79" fillId="6" borderId="9">
      <alignment horizontal="center" wrapText="1"/>
    </xf>
    <xf numFmtId="2" fontId="79" fillId="6" borderId="9">
      <alignment horizontal="center" wrapText="1"/>
    </xf>
    <xf numFmtId="0" fontId="79" fillId="6" borderId="9">
      <alignment horizontal="center" wrapText="1"/>
    </xf>
    <xf numFmtId="0" fontId="79" fillId="0" borderId="0">
      <alignment horizontal="center" wrapText="1"/>
    </xf>
    <xf numFmtId="0" fontId="22" fillId="0" borderId="0"/>
    <xf numFmtId="0" fontId="22" fillId="0" borderId="0"/>
    <xf numFmtId="0" fontId="80" fillId="0" borderId="0">
      <alignment horizontal="left" vertical="center"/>
    </xf>
    <xf numFmtId="172" fontId="80" fillId="0" borderId="0">
      <alignment horizontal="left" vertical="center"/>
    </xf>
    <xf numFmtId="0" fontId="23" fillId="0" borderId="0">
      <alignment horizontal="center" vertical="center" wrapText="1"/>
    </xf>
    <xf numFmtId="0" fontId="80" fillId="0" borderId="0">
      <alignment horizontal="center" vertical="center"/>
    </xf>
    <xf numFmtId="0" fontId="23" fillId="0" borderId="23">
      <alignment horizontal="left"/>
    </xf>
    <xf numFmtId="41" fontId="23" fillId="0" borderId="26"/>
    <xf numFmtId="0" fontId="23" fillId="0" borderId="23"/>
    <xf numFmtId="41" fontId="23" fillId="0" borderId="0"/>
    <xf numFmtId="0" fontId="23" fillId="0" borderId="21"/>
    <xf numFmtId="172" fontId="23" fillId="0" borderId="27"/>
    <xf numFmtId="172" fontId="23" fillId="0" borderId="0"/>
    <xf numFmtId="43" fontId="23" fillId="0" borderId="27"/>
    <xf numFmtId="43" fontId="23" fillId="0" borderId="0"/>
    <xf numFmtId="0" fontId="22" fillId="0" borderId="0">
      <alignment wrapText="1"/>
    </xf>
    <xf numFmtId="0" fontId="23" fillId="0" borderId="22"/>
    <xf numFmtId="43" fontId="23" fillId="0" borderId="28"/>
    <xf numFmtId="0" fontId="23" fillId="0" borderId="0">
      <alignment horizontal="center"/>
    </xf>
    <xf numFmtId="0" fontId="23" fillId="6" borderId="23">
      <alignment horizontal="center"/>
    </xf>
    <xf numFmtId="172" fontId="23" fillId="6" borderId="24">
      <alignment horizontal="center"/>
    </xf>
    <xf numFmtId="0" fontId="23" fillId="6" borderId="24">
      <alignment horizontal="center"/>
    </xf>
    <xf numFmtId="0" fontId="23" fillId="6" borderId="26">
      <alignment horizontal="center"/>
    </xf>
    <xf numFmtId="0" fontId="23" fillId="6" borderId="22">
      <alignment horizontal="center"/>
    </xf>
    <xf numFmtId="172" fontId="23" fillId="6" borderId="10">
      <alignment horizontal="right"/>
    </xf>
    <xf numFmtId="0" fontId="23" fillId="6" borderId="10">
      <alignment horizontal="center"/>
    </xf>
    <xf numFmtId="0" fontId="22" fillId="0" borderId="0">
      <alignment horizontal="left" vertical="center" wrapText="1"/>
    </xf>
    <xf numFmtId="0" fontId="23" fillId="6" borderId="28">
      <alignment horizontal="center"/>
    </xf>
    <xf numFmtId="0" fontId="23" fillId="15" borderId="0">
      <alignment horizontal="center"/>
    </xf>
    <xf numFmtId="172" fontId="23" fillId="6" borderId="22">
      <alignment horizontal="center"/>
    </xf>
    <xf numFmtId="172" fontId="23" fillId="6" borderId="10">
      <alignment horizontal="center"/>
    </xf>
    <xf numFmtId="0" fontId="23" fillId="6" borderId="10">
      <alignment horizontal="center"/>
    </xf>
    <xf numFmtId="172" fontId="23" fillId="6" borderId="28">
      <alignment horizontal="center"/>
    </xf>
    <xf numFmtId="0" fontId="23" fillId="6" borderId="29">
      <alignment horizontal="center"/>
    </xf>
    <xf numFmtId="0" fontId="23" fillId="6" borderId="3">
      <alignment horizontal="center"/>
    </xf>
    <xf numFmtId="0" fontId="23" fillId="6" borderId="3">
      <alignment horizontal="center"/>
    </xf>
    <xf numFmtId="0" fontId="23" fillId="6" borderId="30">
      <alignment horizontal="center"/>
    </xf>
    <xf numFmtId="0" fontId="22" fillId="0" borderId="0"/>
    <xf numFmtId="0" fontId="23" fillId="6" borderId="21">
      <alignment horizontal="center"/>
    </xf>
    <xf numFmtId="0" fontId="23" fillId="6" borderId="0">
      <alignment horizontal="center"/>
    </xf>
    <xf numFmtId="0" fontId="23" fillId="6" borderId="27">
      <alignment horizontal="center"/>
    </xf>
    <xf numFmtId="0" fontId="39" fillId="0" borderId="0">
      <alignment horizontal="left"/>
    </xf>
    <xf numFmtId="49" fontId="22" fillId="0" borderId="0">
      <alignment horizontal="left"/>
    </xf>
    <xf numFmtId="0" fontId="39" fillId="0" borderId="0">
      <alignment horizontal="left"/>
    </xf>
    <xf numFmtId="15" fontId="75" fillId="15" borderId="0">
      <alignment horizontal="left"/>
    </xf>
    <xf numFmtId="0" fontId="22" fillId="0" borderId="0">
      <alignment horizontal="right"/>
    </xf>
    <xf numFmtId="49" fontId="22" fillId="0" borderId="0">
      <alignment horizontal="left"/>
    </xf>
    <xf numFmtId="49" fontId="22" fillId="0" borderId="0">
      <alignment horizontal="left"/>
    </xf>
    <xf numFmtId="10" fontId="75" fillId="0" borderId="0"/>
    <xf numFmtId="0" fontId="2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1" fillId="0" borderId="0">
      <alignment horizontal="left" vertical="top"/>
      <protection locked="0"/>
    </xf>
    <xf numFmtId="0" fontId="35" fillId="0" borderId="11" applyNumberFormat="0" applyFont="0" applyFill="0" applyAlignment="0" applyProtection="0"/>
    <xf numFmtId="40" fontId="82" fillId="15" borderId="0">
      <alignment horizontal="right"/>
    </xf>
    <xf numFmtId="0" fontId="83" fillId="15" borderId="0">
      <alignment horizontal="right"/>
    </xf>
    <xf numFmtId="0" fontId="84" fillId="15" borderId="14"/>
    <xf numFmtId="0" fontId="84" fillId="0" borderId="0" applyBorder="0">
      <alignment horizontal="centerContinuous"/>
    </xf>
    <xf numFmtId="231" fontId="85" fillId="0" borderId="0" applyFill="0">
      <alignment horizontal="center" vertical="center"/>
    </xf>
    <xf numFmtId="0" fontId="23" fillId="0" borderId="31" applyNumberFormat="0" applyAlignment="0" applyProtection="0"/>
    <xf numFmtId="0" fontId="22" fillId="16" borderId="0" applyNumberFormat="0" applyFont="0" applyBorder="0" applyAlignment="0" applyProtection="0"/>
    <xf numFmtId="0" fontId="2" fillId="17" borderId="32" applyNumberFormat="0" applyFont="0" applyBorder="0" applyAlignment="0" applyProtection="0">
      <alignment horizontal="center"/>
    </xf>
    <xf numFmtId="0" fontId="2" fillId="18" borderId="32" applyNumberFormat="0" applyFont="0" applyBorder="0" applyAlignment="0" applyProtection="0">
      <alignment horizontal="center"/>
    </xf>
    <xf numFmtId="0" fontId="22" fillId="0" borderId="33" applyNumberFormat="0" applyAlignment="0" applyProtection="0"/>
    <xf numFmtId="0" fontId="22" fillId="0" borderId="34" applyNumberFormat="0" applyAlignment="0" applyProtection="0"/>
    <xf numFmtId="0" fontId="23" fillId="0" borderId="35" applyNumberFormat="0" applyAlignment="0" applyProtection="0"/>
    <xf numFmtId="14" fontId="27" fillId="0" borderId="0">
      <alignment horizontal="center" wrapText="1"/>
      <protection locked="0"/>
    </xf>
    <xf numFmtId="9" fontId="1" fillId="0" borderId="0" applyFont="0" applyFill="0" applyBorder="0" applyAlignment="0" applyProtection="0"/>
    <xf numFmtId="9" fontId="55" fillId="0" borderId="0" applyFont="0" applyFill="0" applyBorder="0" applyAlignment="0" applyProtection="0"/>
    <xf numFmtId="232" fontId="86" fillId="0" borderId="0" applyFont="0" applyFill="0" applyBorder="0" applyAlignment="0" applyProtection="0"/>
    <xf numFmtId="169" fontId="55" fillId="0" borderId="0" applyFont="0" applyFill="0" applyBorder="0" applyAlignment="0" applyProtection="0"/>
    <xf numFmtId="233" fontId="55" fillId="0" borderId="0" applyFont="0" applyFill="0" applyBorder="0" applyAlignment="0" applyProtection="0"/>
    <xf numFmtId="234" fontId="55" fillId="0" borderId="0" applyFont="0" applyFill="0" applyBorder="0" applyAlignment="0" applyProtection="0"/>
    <xf numFmtId="10" fontId="6" fillId="0" borderId="0" applyFont="0" applyFill="0" applyBorder="0" applyAlignment="0" applyProtection="0"/>
    <xf numFmtId="0" fontId="6" fillId="0" borderId="0" applyFont="0" applyFill="0" applyBorder="0" applyProtection="0">
      <alignment horizontal="right"/>
    </xf>
    <xf numFmtId="172" fontId="75" fillId="0" borderId="0">
      <alignment horizontal="right"/>
    </xf>
    <xf numFmtId="172" fontId="23" fillId="0" borderId="0">
      <alignment horizontal="left" vertical="center"/>
    </xf>
    <xf numFmtId="171" fontId="2" fillId="0" borderId="0"/>
    <xf numFmtId="172" fontId="75" fillId="0" borderId="0">
      <alignment horizontal="right"/>
    </xf>
    <xf numFmtId="172" fontId="75" fillId="0" borderId="0">
      <alignment horizontal="center"/>
    </xf>
    <xf numFmtId="170" fontId="75" fillId="0" borderId="0">
      <alignment horizontal="right"/>
    </xf>
    <xf numFmtId="172" fontId="75" fillId="0" borderId="3">
      <alignment horizontal="right"/>
    </xf>
    <xf numFmtId="172" fontId="75" fillId="0" borderId="3">
      <alignment horizontal="center"/>
    </xf>
    <xf numFmtId="170" fontId="75" fillId="0" borderId="3">
      <alignment horizontal="right"/>
    </xf>
    <xf numFmtId="43" fontId="75" fillId="0" borderId="3">
      <alignment horizontal="center"/>
    </xf>
    <xf numFmtId="235" fontId="75" fillId="0" borderId="12"/>
    <xf numFmtId="236" fontId="75" fillId="0" borderId="12">
      <alignment horizontal="center"/>
    </xf>
    <xf numFmtId="172" fontId="23" fillId="0" borderId="0">
      <alignment horizontal="right" vertical="center"/>
    </xf>
    <xf numFmtId="236" fontId="75" fillId="0" borderId="18">
      <alignment horizontal="center" wrapText="1"/>
    </xf>
    <xf numFmtId="236" fontId="75" fillId="0" borderId="0">
      <alignment horizontal="center"/>
    </xf>
    <xf numFmtId="236" fontId="75" fillId="0" borderId="14">
      <alignment horizontal="center" wrapText="1"/>
    </xf>
    <xf numFmtId="235" fontId="75" fillId="0" borderId="14">
      <alignment wrapText="1"/>
    </xf>
    <xf numFmtId="235" fontId="75" fillId="0" borderId="3"/>
    <xf numFmtId="235" fontId="75" fillId="0" borderId="16">
      <alignment wrapText="1"/>
    </xf>
    <xf numFmtId="237" fontId="23" fillId="0" borderId="0">
      <alignment horizontal="left"/>
    </xf>
    <xf numFmtId="238" fontId="23" fillId="0" borderId="0">
      <alignment horizontal="left"/>
    </xf>
    <xf numFmtId="239" fontId="23" fillId="0" borderId="0">
      <alignment horizontal="left"/>
    </xf>
    <xf numFmtId="172" fontId="22" fillId="0" borderId="0">
      <alignment vertical="top"/>
    </xf>
    <xf numFmtId="240" fontId="23" fillId="0" borderId="0">
      <alignment horizontal="center"/>
    </xf>
    <xf numFmtId="235" fontId="78" fillId="0" borderId="0"/>
    <xf numFmtId="172" fontId="55" fillId="0" borderId="0">
      <alignment horizontal="right"/>
    </xf>
    <xf numFmtId="172" fontId="55" fillId="0" borderId="0">
      <alignment horizontal="center"/>
    </xf>
    <xf numFmtId="236" fontId="22" fillId="0" borderId="0">
      <alignment horizontal="center" vertical="top"/>
    </xf>
    <xf numFmtId="172" fontId="20" fillId="0" borderId="3">
      <alignment horizontal="centerContinuous"/>
    </xf>
    <xf numFmtId="172" fontId="2" fillId="0" borderId="3">
      <alignment horizontal="center"/>
    </xf>
    <xf numFmtId="172" fontId="2" fillId="0" borderId="0"/>
    <xf numFmtId="172" fontId="2" fillId="0" borderId="3"/>
    <xf numFmtId="43" fontId="2" fillId="0" borderId="3"/>
    <xf numFmtId="43" fontId="20" fillId="0" borderId="0">
      <alignment horizontal="right"/>
    </xf>
    <xf numFmtId="170" fontId="23" fillId="0" borderId="0">
      <alignment horizontal="right" vertical="center"/>
    </xf>
    <xf numFmtId="165" fontId="79" fillId="0" borderId="0">
      <alignment horizontal="center" wrapText="1"/>
    </xf>
    <xf numFmtId="2" fontId="79" fillId="0" borderId="0">
      <alignment horizontal="center"/>
    </xf>
    <xf numFmtId="43" fontId="55" fillId="0" borderId="0"/>
    <xf numFmtId="0" fontId="2" fillId="0" borderId="0">
      <alignment horizontal="center"/>
    </xf>
    <xf numFmtId="43" fontId="22" fillId="0" borderId="0">
      <alignment horizontal="center" vertical="top"/>
    </xf>
    <xf numFmtId="235" fontId="22" fillId="0" borderId="0">
      <alignment horizontal="center" vertical="top"/>
    </xf>
    <xf numFmtId="236" fontId="22" fillId="0" borderId="0">
      <alignment horizontal="center" vertical="top" wrapText="1"/>
    </xf>
    <xf numFmtId="43" fontId="22" fillId="0" borderId="0">
      <alignment horizontal="left" vertical="top"/>
    </xf>
    <xf numFmtId="172" fontId="22" fillId="0" borderId="0">
      <alignment horizontal="right" vertical="top"/>
    </xf>
    <xf numFmtId="43" fontId="22" fillId="0" borderId="0">
      <alignment horizontal="center" vertical="top"/>
    </xf>
    <xf numFmtId="43" fontId="23" fillId="0" borderId="0">
      <alignment horizontal="center"/>
    </xf>
    <xf numFmtId="235" fontId="22" fillId="0" borderId="0">
      <alignment horizontal="center" vertical="top"/>
    </xf>
    <xf numFmtId="236" fontId="22" fillId="0" borderId="0">
      <alignment horizontal="center" vertical="top" wrapText="1"/>
    </xf>
    <xf numFmtId="172" fontId="22" fillId="0" borderId="0">
      <alignment horizontal="left" vertical="top"/>
    </xf>
    <xf numFmtId="43" fontId="22" fillId="0" borderId="0">
      <alignment horizontal="left" vertical="top"/>
    </xf>
    <xf numFmtId="172" fontId="2" fillId="0" borderId="0">
      <alignment horizontal="left"/>
    </xf>
    <xf numFmtId="172" fontId="20" fillId="0" borderId="0">
      <alignment horizontal="centerContinuous"/>
    </xf>
    <xf numFmtId="172" fontId="20" fillId="0" borderId="0">
      <alignment horizontal="left"/>
    </xf>
    <xf numFmtId="172" fontId="20" fillId="0" borderId="3">
      <alignment horizontal="left"/>
    </xf>
    <xf numFmtId="43" fontId="55" fillId="0" borderId="0"/>
    <xf numFmtId="43" fontId="55" fillId="0" borderId="3">
      <alignment horizontal="center"/>
    </xf>
    <xf numFmtId="235" fontId="23" fillId="0" borderId="0">
      <alignment horizontal="center"/>
    </xf>
    <xf numFmtId="43" fontId="55" fillId="0" borderId="3"/>
    <xf numFmtId="43" fontId="20" fillId="0" borderId="0"/>
    <xf numFmtId="172" fontId="2" fillId="14" borderId="0">
      <alignment horizontal="center"/>
    </xf>
    <xf numFmtId="172" fontId="2" fillId="14" borderId="0">
      <alignment horizontal="center"/>
    </xf>
    <xf numFmtId="172" fontId="20" fillId="14" borderId="0">
      <alignment horizontal="centerContinuous"/>
    </xf>
    <xf numFmtId="172" fontId="20" fillId="14" borderId="3">
      <alignment horizontal="center" wrapText="1"/>
    </xf>
    <xf numFmtId="172" fontId="2" fillId="19" borderId="0">
      <alignment horizontal="center"/>
    </xf>
    <xf numFmtId="172" fontId="2" fillId="19" borderId="0">
      <alignment horizontal="center"/>
    </xf>
    <xf numFmtId="172" fontId="20" fillId="19" borderId="0">
      <alignment horizontal="centerContinuous"/>
    </xf>
    <xf numFmtId="172" fontId="20" fillId="19" borderId="3">
      <alignment horizontal="centerContinuous"/>
    </xf>
    <xf numFmtId="235" fontId="23" fillId="0" borderId="0">
      <alignment horizontal="center" wrapText="1"/>
    </xf>
    <xf numFmtId="172" fontId="22" fillId="0" borderId="0"/>
    <xf numFmtId="43" fontId="22" fillId="0" borderId="0"/>
    <xf numFmtId="43" fontId="22" fillId="0" borderId="0">
      <alignment horizontal="center"/>
    </xf>
    <xf numFmtId="172" fontId="22" fillId="0" borderId="0"/>
    <xf numFmtId="171" fontId="22" fillId="0" borderId="0"/>
    <xf numFmtId="43" fontId="22" fillId="0" borderId="27"/>
    <xf numFmtId="172" fontId="22" fillId="0" borderId="3"/>
    <xf numFmtId="43" fontId="22" fillId="0" borderId="28"/>
    <xf numFmtId="171" fontId="22" fillId="0" borderId="10"/>
    <xf numFmtId="10" fontId="22" fillId="0" borderId="0"/>
    <xf numFmtId="237" fontId="23" fillId="0" borderId="0">
      <alignment horizontal="center"/>
    </xf>
    <xf numFmtId="43" fontId="22" fillId="0" borderId="0"/>
    <xf numFmtId="241" fontId="23" fillId="0" borderId="0">
      <alignment horizontal="center" vertical="top"/>
    </xf>
    <xf numFmtId="14" fontId="20" fillId="0" borderId="0">
      <alignment horizontal="center"/>
    </xf>
    <xf numFmtId="4" fontId="55" fillId="0" borderId="0">
      <alignment horizontal="right" vertical="top"/>
    </xf>
    <xf numFmtId="172" fontId="55" fillId="0" borderId="0">
      <alignment horizontal="center" vertical="top"/>
    </xf>
    <xf numFmtId="172" fontId="22" fillId="0" borderId="3">
      <alignment horizontal="right" vertical="top"/>
    </xf>
    <xf numFmtId="170" fontId="22" fillId="0" borderId="3">
      <alignment horizontal="center" vertical="top"/>
    </xf>
    <xf numFmtId="43" fontId="22" fillId="0" borderId="3">
      <alignment horizontal="center" vertical="top"/>
    </xf>
    <xf numFmtId="235" fontId="22" fillId="0" borderId="3">
      <alignment horizontal="center" vertical="top"/>
    </xf>
    <xf numFmtId="236" fontId="22" fillId="0" borderId="3">
      <alignment horizontal="center" vertical="top" wrapText="1"/>
    </xf>
    <xf numFmtId="237" fontId="23" fillId="0" borderId="0">
      <alignment horizontal="center" wrapText="1"/>
    </xf>
    <xf numFmtId="172" fontId="22" fillId="0" borderId="3">
      <alignment horizontal="center" vertical="top"/>
    </xf>
    <xf numFmtId="172" fontId="22" fillId="0" borderId="3">
      <alignment horizontal="left" vertical="top"/>
    </xf>
    <xf numFmtId="172" fontId="22" fillId="0" borderId="3">
      <alignment vertical="top"/>
    </xf>
    <xf numFmtId="43" fontId="22" fillId="0" borderId="3">
      <alignment horizontal="left" vertical="top"/>
    </xf>
    <xf numFmtId="236" fontId="22" fillId="0" borderId="3">
      <alignment horizontal="center" vertical="top"/>
    </xf>
    <xf numFmtId="43" fontId="2" fillId="0" borderId="0">
      <alignment horizontal="center"/>
    </xf>
    <xf numFmtId="172" fontId="23" fillId="0" borderId="24">
      <alignment horizontal="right" vertical="center"/>
    </xf>
    <xf numFmtId="239" fontId="23" fillId="0" borderId="24">
      <alignment horizontal="left"/>
    </xf>
    <xf numFmtId="242" fontId="23" fillId="0" borderId="24">
      <alignment horizontal="left"/>
    </xf>
    <xf numFmtId="170" fontId="23" fillId="0" borderId="24">
      <alignment horizontal="right" vertical="center"/>
    </xf>
    <xf numFmtId="172" fontId="23" fillId="0" borderId="0">
      <alignment horizontal="left"/>
    </xf>
    <xf numFmtId="172" fontId="23" fillId="0" borderId="10">
      <alignment horizontal="right" vertical="center"/>
    </xf>
    <xf numFmtId="239" fontId="23" fillId="0" borderId="10">
      <alignment horizontal="left"/>
    </xf>
    <xf numFmtId="242" fontId="23" fillId="0" borderId="10">
      <alignment horizontal="left"/>
    </xf>
    <xf numFmtId="170" fontId="23" fillId="0" borderId="10">
      <alignment horizontal="right"/>
    </xf>
    <xf numFmtId="243" fontId="23" fillId="0" borderId="28">
      <alignment horizontal="left"/>
    </xf>
    <xf numFmtId="172" fontId="23" fillId="0" borderId="10">
      <alignment horizontal="left" vertical="center"/>
    </xf>
    <xf numFmtId="171" fontId="2" fillId="0" borderId="0">
      <alignment horizontal="center"/>
    </xf>
    <xf numFmtId="43" fontId="2" fillId="14" borderId="0">
      <alignment horizontal="center"/>
    </xf>
    <xf numFmtId="43" fontId="2" fillId="19" borderId="0">
      <alignment horizontal="center"/>
    </xf>
    <xf numFmtId="242" fontId="23" fillId="0" borderId="0">
      <alignment horizontal="left"/>
    </xf>
    <xf numFmtId="169" fontId="20" fillId="0" borderId="0" applyFill="0" applyBorder="0" applyAlignment="0" applyProtection="0"/>
    <xf numFmtId="172" fontId="75" fillId="0" borderId="0">
      <alignment horizontal="center"/>
    </xf>
    <xf numFmtId="172" fontId="23" fillId="0" borderId="0">
      <alignment horizontal="right"/>
    </xf>
    <xf numFmtId="243" fontId="23" fillId="0" borderId="27">
      <alignment horizontal="left"/>
    </xf>
    <xf numFmtId="43" fontId="22" fillId="0" borderId="26">
      <alignment horizontal="center"/>
    </xf>
    <xf numFmtId="172" fontId="23" fillId="0" borderId="3">
      <alignment horizontal="right" vertical="center"/>
    </xf>
    <xf numFmtId="244" fontId="23" fillId="0" borderId="27">
      <alignment horizontal="left"/>
    </xf>
    <xf numFmtId="172" fontId="22" fillId="13" borderId="0"/>
    <xf numFmtId="172" fontId="22" fillId="13" borderId="0">
      <alignment horizontal="center" vertical="top"/>
    </xf>
    <xf numFmtId="172" fontId="22" fillId="0" borderId="10"/>
    <xf numFmtId="172" fontId="22" fillId="13" borderId="0">
      <alignment horizontal="center" vertical="top"/>
    </xf>
    <xf numFmtId="172" fontId="22" fillId="13" borderId="0">
      <alignment horizontal="right" vertical="top"/>
    </xf>
    <xf numFmtId="170" fontId="22" fillId="13" borderId="0">
      <alignment horizontal="center" vertical="top"/>
    </xf>
    <xf numFmtId="170" fontId="23" fillId="0" borderId="0">
      <alignment horizontal="right"/>
    </xf>
    <xf numFmtId="43" fontId="22" fillId="13" borderId="0">
      <alignment horizontal="center" vertical="top"/>
    </xf>
    <xf numFmtId="235" fontId="22" fillId="13" borderId="0">
      <alignment horizontal="center" vertical="top"/>
    </xf>
    <xf numFmtId="236" fontId="22" fillId="13" borderId="0">
      <alignment horizontal="center" vertical="top"/>
    </xf>
    <xf numFmtId="236" fontId="22" fillId="13" borderId="0">
      <alignment horizontal="center" vertical="top" wrapText="1"/>
    </xf>
    <xf numFmtId="172" fontId="22" fillId="13" borderId="0">
      <alignment horizontal="left" vertical="top"/>
    </xf>
    <xf numFmtId="43" fontId="22" fillId="13" borderId="0">
      <alignment horizontal="left" vertical="top"/>
    </xf>
    <xf numFmtId="43" fontId="22" fillId="13" borderId="0"/>
    <xf numFmtId="172" fontId="22" fillId="14" borderId="0">
      <alignment horizontal="center" vertical="top"/>
    </xf>
    <xf numFmtId="172" fontId="22" fillId="14" borderId="0">
      <alignment horizontal="right" vertical="top"/>
    </xf>
    <xf numFmtId="170" fontId="22" fillId="14" borderId="0">
      <alignment horizontal="center" vertical="top"/>
    </xf>
    <xf numFmtId="172" fontId="22" fillId="0" borderId="0">
      <alignment horizontal="right"/>
    </xf>
    <xf numFmtId="43" fontId="22" fillId="14" borderId="0">
      <alignment horizontal="center" vertical="top"/>
    </xf>
    <xf numFmtId="235" fontId="22" fillId="14" borderId="0">
      <alignment horizontal="center" vertical="top"/>
    </xf>
    <xf numFmtId="236" fontId="22" fillId="14" borderId="0">
      <alignment horizontal="center" vertical="top"/>
    </xf>
    <xf numFmtId="236" fontId="22" fillId="14" borderId="0">
      <alignment horizontal="center" vertical="top" wrapText="1"/>
    </xf>
    <xf numFmtId="172" fontId="22" fillId="14" borderId="0">
      <alignment horizontal="center" vertical="top"/>
    </xf>
    <xf numFmtId="172" fontId="22" fillId="14" borderId="0">
      <alignment horizontal="left" vertical="top"/>
    </xf>
    <xf numFmtId="172" fontId="22" fillId="14" borderId="0"/>
    <xf numFmtId="43" fontId="22" fillId="14" borderId="0">
      <alignment horizontal="left" vertical="top"/>
    </xf>
    <xf numFmtId="235" fontId="22" fillId="14" borderId="0">
      <alignment horizontal="center" vertical="top"/>
    </xf>
    <xf numFmtId="236" fontId="75" fillId="14" borderId="0">
      <alignment horizontal="center" wrapText="1"/>
    </xf>
    <xf numFmtId="172" fontId="22" fillId="0" borderId="0"/>
    <xf numFmtId="172" fontId="22" fillId="14" borderId="0">
      <alignment horizontal="left" vertical="top"/>
    </xf>
    <xf numFmtId="172" fontId="22" fillId="14" borderId="0">
      <alignment horizontal="right"/>
    </xf>
    <xf numFmtId="172" fontId="22" fillId="14" borderId="0">
      <alignment horizontal="right"/>
    </xf>
    <xf numFmtId="4" fontId="55" fillId="14" borderId="0">
      <alignment horizontal="right" vertical="top"/>
    </xf>
    <xf numFmtId="43" fontId="22" fillId="14" borderId="0">
      <alignment horizontal="center" vertical="top"/>
    </xf>
    <xf numFmtId="236" fontId="22" fillId="14" borderId="0">
      <alignment horizontal="center" vertical="top" wrapText="1"/>
    </xf>
    <xf numFmtId="43" fontId="22" fillId="14" borderId="0">
      <alignment horizontal="left" vertical="top"/>
    </xf>
    <xf numFmtId="172" fontId="23" fillId="6" borderId="9">
      <alignment horizontal="right" wrapText="1"/>
    </xf>
    <xf numFmtId="172" fontId="23" fillId="6" borderId="9">
      <alignment horizontal="center" wrapText="1"/>
    </xf>
    <xf numFmtId="170" fontId="23" fillId="6" borderId="9">
      <alignment horizontal="right" wrapText="1"/>
    </xf>
    <xf numFmtId="43" fontId="23" fillId="6" borderId="9">
      <alignment horizontal="center" wrapText="1"/>
    </xf>
    <xf numFmtId="235" fontId="23" fillId="6" borderId="9">
      <alignment horizontal="center" wrapText="1"/>
    </xf>
    <xf numFmtId="235" fontId="23" fillId="6" borderId="9">
      <alignment horizontal="center" wrapText="1"/>
    </xf>
    <xf numFmtId="207" fontId="24" fillId="0" borderId="0">
      <alignment horizontal="left" vertical="center" wrapText="1"/>
    </xf>
    <xf numFmtId="172" fontId="22" fillId="0" borderId="0">
      <alignment horizontal="right"/>
    </xf>
    <xf numFmtId="172" fontId="22" fillId="0" borderId="0"/>
    <xf numFmtId="170" fontId="22" fillId="0" borderId="0">
      <alignment horizontal="right"/>
    </xf>
    <xf numFmtId="43" fontId="22" fillId="0" borderId="0">
      <alignment horizontal="center"/>
    </xf>
    <xf numFmtId="235" fontId="22" fillId="0" borderId="0"/>
    <xf numFmtId="235" fontId="22" fillId="0" borderId="0">
      <alignment wrapText="1"/>
    </xf>
    <xf numFmtId="170" fontId="22" fillId="0" borderId="0">
      <alignment horizontal="center" vertical="top"/>
    </xf>
    <xf numFmtId="172" fontId="22" fillId="0" borderId="0">
      <alignment horizontal="center" vertical="top"/>
    </xf>
    <xf numFmtId="172" fontId="22" fillId="0" borderId="0">
      <alignment horizontal="center" vertical="top"/>
    </xf>
    <xf numFmtId="172" fontId="22" fillId="0" borderId="0">
      <alignment horizontal="left" vertical="top"/>
    </xf>
    <xf numFmtId="172" fontId="22" fillId="0" borderId="0">
      <alignment horizontal="right" vertical="center" wrapText="1"/>
    </xf>
    <xf numFmtId="172" fontId="22" fillId="0" borderId="0">
      <alignment horizontal="right" vertical="top"/>
    </xf>
    <xf numFmtId="170" fontId="22" fillId="0" borderId="0">
      <alignment horizontal="center" vertical="top"/>
    </xf>
    <xf numFmtId="170" fontId="75" fillId="0" borderId="0">
      <alignment horizontal="right"/>
    </xf>
    <xf numFmtId="43" fontId="75" fillId="0" borderId="0">
      <alignment horizontal="center"/>
    </xf>
    <xf numFmtId="235" fontId="75" fillId="0" borderId="0"/>
    <xf numFmtId="236" fontId="75" fillId="0" borderId="0">
      <alignment horizontal="center"/>
    </xf>
    <xf numFmtId="236" fontId="75" fillId="0" borderId="0">
      <alignment horizontal="center" wrapText="1"/>
    </xf>
    <xf numFmtId="235" fontId="75" fillId="0" borderId="0">
      <alignment wrapText="1"/>
    </xf>
    <xf numFmtId="43" fontId="55" fillId="0" borderId="0">
      <alignment horizontal="center"/>
    </xf>
    <xf numFmtId="43" fontId="55" fillId="0" borderId="0"/>
    <xf numFmtId="172" fontId="22" fillId="0" borderId="0">
      <alignment horizontal="center" vertical="center" wrapText="1"/>
    </xf>
    <xf numFmtId="43" fontId="55" fillId="0" borderId="17">
      <alignment horizontal="center" vertical="center"/>
    </xf>
    <xf numFmtId="43" fontId="55" fillId="0" borderId="12">
      <alignment horizontal="center" vertical="center"/>
    </xf>
    <xf numFmtId="43" fontId="79" fillId="0" borderId="12">
      <alignment horizontal="center" vertical="center"/>
    </xf>
    <xf numFmtId="43" fontId="79" fillId="0" borderId="13">
      <alignment horizontal="center"/>
    </xf>
    <xf numFmtId="43" fontId="79" fillId="0" borderId="0">
      <alignment horizontal="center"/>
    </xf>
    <xf numFmtId="2" fontId="79" fillId="0" borderId="0">
      <alignment horizontal="center"/>
    </xf>
    <xf numFmtId="43" fontId="79" fillId="0" borderId="14">
      <alignment horizontal="center"/>
    </xf>
    <xf numFmtId="43" fontId="79" fillId="0" borderId="0">
      <alignment horizontal="center"/>
    </xf>
    <xf numFmtId="172" fontId="79" fillId="0" borderId="0">
      <alignment horizontal="center" wrapText="1"/>
    </xf>
    <xf numFmtId="172" fontId="79" fillId="0" borderId="3">
      <alignment horizontal="center" wrapText="1"/>
    </xf>
    <xf numFmtId="170" fontId="22" fillId="0" borderId="0">
      <alignment horizontal="right" vertical="center" wrapText="1"/>
    </xf>
    <xf numFmtId="165" fontId="79" fillId="0" borderId="3">
      <alignment horizontal="center" wrapText="1"/>
    </xf>
    <xf numFmtId="43" fontId="87" fillId="0" borderId="0">
      <alignment horizontal="left"/>
    </xf>
    <xf numFmtId="43" fontId="79" fillId="0" borderId="0">
      <alignment horizontal="center" wrapText="1"/>
    </xf>
    <xf numFmtId="43" fontId="79" fillId="0" borderId="0">
      <alignment wrapText="1"/>
    </xf>
    <xf numFmtId="43" fontId="79" fillId="6" borderId="9">
      <alignment horizontal="right" wrapText="1"/>
    </xf>
    <xf numFmtId="43" fontId="79" fillId="6" borderId="9">
      <alignment horizontal="center" wrapText="1"/>
    </xf>
    <xf numFmtId="172" fontId="2" fillId="0" borderId="0"/>
    <xf numFmtId="172" fontId="2" fillId="0" borderId="0">
      <alignment horizontal="center"/>
    </xf>
    <xf numFmtId="172" fontId="2" fillId="0" borderId="0">
      <alignment horizontal="left"/>
    </xf>
    <xf numFmtId="172" fontId="2" fillId="0" borderId="0">
      <alignment horizontal="center"/>
    </xf>
    <xf numFmtId="43" fontId="23" fillId="0" borderId="0">
      <alignment horizontal="center" vertical="center" wrapText="1"/>
    </xf>
    <xf numFmtId="172" fontId="20" fillId="0" borderId="0">
      <alignment horizontal="center"/>
    </xf>
    <xf numFmtId="172" fontId="2" fillId="0" borderId="0"/>
    <xf numFmtId="172" fontId="80" fillId="0" borderId="0">
      <alignment horizontal="left" vertical="center"/>
    </xf>
    <xf numFmtId="172" fontId="23" fillId="0" borderId="27"/>
    <xf numFmtId="172" fontId="23" fillId="0" borderId="0"/>
    <xf numFmtId="43" fontId="23" fillId="0" borderId="0"/>
    <xf numFmtId="43" fontId="23" fillId="0" borderId="0">
      <alignment horizontal="center"/>
    </xf>
    <xf numFmtId="172" fontId="23" fillId="0" borderId="0">
      <alignment horizontal="center"/>
    </xf>
    <xf numFmtId="172" fontId="23" fillId="6" borderId="24">
      <alignment horizontal="center"/>
    </xf>
    <xf numFmtId="49" fontId="22" fillId="0" borderId="0">
      <alignment horizontal="left"/>
    </xf>
    <xf numFmtId="235" fontId="23" fillId="0" borderId="0">
      <alignment horizontal="center" vertical="center" wrapText="1"/>
    </xf>
    <xf numFmtId="49" fontId="22" fillId="0" borderId="13">
      <alignment horizontal="left"/>
    </xf>
    <xf numFmtId="49" fontId="22" fillId="0" borderId="15">
      <alignment horizontal="left"/>
    </xf>
    <xf numFmtId="172" fontId="77" fillId="0" borderId="14"/>
    <xf numFmtId="49" fontId="22" fillId="0" borderId="14">
      <alignment horizontal="left"/>
    </xf>
    <xf numFmtId="172" fontId="2" fillId="0" borderId="0">
      <alignment horizontal="center"/>
    </xf>
    <xf numFmtId="172" fontId="2" fillId="0" borderId="0"/>
    <xf numFmtId="172" fontId="2" fillId="0" borderId="0"/>
    <xf numFmtId="172" fontId="20" fillId="0" borderId="0">
      <alignment horizontal="right"/>
    </xf>
    <xf numFmtId="172" fontId="20" fillId="0" borderId="0">
      <alignment horizontal="center"/>
    </xf>
    <xf numFmtId="172" fontId="20" fillId="0" borderId="3"/>
    <xf numFmtId="172" fontId="23" fillId="0" borderId="0">
      <alignment horizontal="left" vertical="center" wrapText="1"/>
    </xf>
    <xf numFmtId="172" fontId="20" fillId="0" borderId="3">
      <alignment horizontal="center"/>
    </xf>
    <xf numFmtId="172" fontId="20" fillId="0" borderId="3">
      <alignment horizontal="center" wrapText="1"/>
    </xf>
    <xf numFmtId="172" fontId="20" fillId="0" borderId="0"/>
    <xf numFmtId="172" fontId="20" fillId="0" borderId="3">
      <alignment horizontal="center" wrapText="1"/>
    </xf>
    <xf numFmtId="172" fontId="20" fillId="0" borderId="0">
      <alignment horizontal="center"/>
    </xf>
    <xf numFmtId="172" fontId="20" fillId="0" borderId="3">
      <alignment horizontal="center"/>
    </xf>
    <xf numFmtId="172" fontId="20" fillId="0" borderId="0"/>
    <xf numFmtId="172" fontId="20" fillId="0" borderId="3">
      <alignment horizontal="left" wrapText="1"/>
    </xf>
    <xf numFmtId="236" fontId="2" fillId="0" borderId="0">
      <alignment horizontal="center"/>
    </xf>
    <xf numFmtId="236" fontId="2" fillId="0" borderId="0">
      <alignment horizontal="left"/>
    </xf>
    <xf numFmtId="0" fontId="88" fillId="0" borderId="0"/>
    <xf numFmtId="10" fontId="6" fillId="0" borderId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227" fontId="6" fillId="0" borderId="0"/>
    <xf numFmtId="0" fontId="89" fillId="6" borderId="0"/>
    <xf numFmtId="0" fontId="54" fillId="0" borderId="0" applyNumberFormat="0" applyFont="0" applyFill="0" applyBorder="0" applyAlignment="0" applyProtection="0">
      <alignment horizontal="left"/>
    </xf>
    <xf numFmtId="15" fontId="54" fillId="0" borderId="0" applyFont="0" applyFill="0" applyBorder="0" applyAlignment="0" applyProtection="0"/>
    <xf numFmtId="4" fontId="54" fillId="0" borderId="0" applyFont="0" applyFill="0" applyBorder="0" applyAlignment="0" applyProtection="0"/>
    <xf numFmtId="0" fontId="90" fillId="0" borderId="10">
      <alignment horizontal="center"/>
    </xf>
    <xf numFmtId="3" fontId="54" fillId="0" borderId="0" applyFont="0" applyFill="0" applyBorder="0" applyAlignment="0" applyProtection="0"/>
    <xf numFmtId="0" fontId="54" fillId="20" borderId="0" applyNumberFormat="0" applyFont="0" applyBorder="0" applyAlignment="0" applyProtection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245" fontId="91" fillId="0" borderId="0"/>
    <xf numFmtId="0" fontId="6" fillId="0" borderId="0" applyFont="0" applyFill="0" applyBorder="0" applyProtection="0">
      <alignment horizontal="right"/>
    </xf>
    <xf numFmtId="0" fontId="6" fillId="0" borderId="0" applyFont="0" applyFill="0" applyBorder="0" applyProtection="0">
      <alignment horizontal="right"/>
    </xf>
    <xf numFmtId="0" fontId="6" fillId="0" borderId="0" applyFont="0" applyFill="0" applyBorder="0" applyProtection="0">
      <alignment horizontal="right"/>
    </xf>
    <xf numFmtId="0" fontId="92" fillId="21" borderId="0" applyNumberFormat="0" applyFont="0" applyBorder="0" applyAlignment="0">
      <alignment horizontal="center"/>
    </xf>
    <xf numFmtId="14" fontId="41" fillId="0" borderId="0" applyNumberFormat="0" applyFill="0" applyBorder="0" applyAlignment="0" applyProtection="0">
      <alignment horizontal="left"/>
    </xf>
    <xf numFmtId="49" fontId="2" fillId="0" borderId="0" applyFont="0" applyFill="0" applyBorder="0" applyProtection="0">
      <alignment horizontal="right"/>
    </xf>
    <xf numFmtId="49" fontId="20" fillId="0" borderId="0" applyFill="0" applyBorder="0" applyProtection="0">
      <alignment horizontal="right"/>
    </xf>
    <xf numFmtId="49" fontId="20" fillId="0" borderId="3" applyFill="0" applyProtection="0">
      <alignment horizontal="right"/>
    </xf>
    <xf numFmtId="49" fontId="20" fillId="0" borderId="12" applyFill="0" applyProtection="0">
      <alignment horizontal="right"/>
    </xf>
    <xf numFmtId="0" fontId="64" fillId="0" borderId="0" applyFill="0" applyBorder="0" applyProtection="0">
      <alignment horizontal="left"/>
    </xf>
    <xf numFmtId="0" fontId="13" fillId="22" borderId="0"/>
    <xf numFmtId="0" fontId="92" fillId="1" borderId="8" applyNumberFormat="0" applyFont="0" applyAlignment="0">
      <alignment horizontal="center"/>
    </xf>
    <xf numFmtId="246" fontId="93" fillId="0" borderId="0" applyFont="0" applyFill="0" applyBorder="0" applyAlignment="0" applyProtection="0"/>
    <xf numFmtId="1" fontId="6" fillId="0" borderId="0"/>
    <xf numFmtId="0" fontId="2" fillId="0" borderId="0" applyFont="0" applyFill="0" applyBorder="0" applyAlignment="0" applyProtection="0"/>
    <xf numFmtId="0" fontId="20" fillId="0" borderId="0" applyFill="0" applyBorder="0" applyAlignment="0" applyProtection="0"/>
    <xf numFmtId="42" fontId="21" fillId="0" borderId="0" applyFill="0" applyBorder="0" applyAlignment="0" applyProtection="0"/>
    <xf numFmtId="0" fontId="94" fillId="0" borderId="0" applyNumberFormat="0" applyFill="0" applyBorder="0" applyAlignment="0">
      <alignment horizontal="center"/>
    </xf>
    <xf numFmtId="12" fontId="6" fillId="0" borderId="0" applyFont="0" applyFill="0" applyBorder="0" applyProtection="0">
      <alignment horizontal="right"/>
    </xf>
    <xf numFmtId="0" fontId="6" fillId="23" borderId="0" applyFont="0" applyFill="0" applyBorder="0" applyProtection="0">
      <alignment horizontal="right"/>
    </xf>
    <xf numFmtId="0" fontId="4" fillId="0" borderId="0">
      <alignment vertical="top"/>
    </xf>
    <xf numFmtId="0" fontId="79" fillId="0" borderId="0" applyNumberFormat="0" applyFill="0" applyBorder="0" applyProtection="0">
      <alignment horizontal="left"/>
    </xf>
    <xf numFmtId="0" fontId="22" fillId="0" borderId="0" applyNumberFormat="0" applyFill="0" applyBorder="0" applyProtection="0">
      <alignment horizontal="left"/>
    </xf>
    <xf numFmtId="0" fontId="22" fillId="0" borderId="0" applyNumberFormat="0" applyFill="0" applyBorder="0" applyProtection="0">
      <alignment horizontal="left"/>
    </xf>
    <xf numFmtId="0" fontId="23" fillId="0" borderId="0" applyNumberFormat="0" applyFill="0" applyBorder="0" applyProtection="0">
      <alignment horizontal="left"/>
    </xf>
    <xf numFmtId="0" fontId="23" fillId="0" borderId="0" applyFill="0" applyBorder="0" applyProtection="0">
      <alignment horizontal="left" wrapText="1"/>
    </xf>
    <xf numFmtId="0" fontId="23" fillId="0" borderId="0" applyNumberFormat="0" applyFill="0" applyBorder="0" applyProtection="0">
      <alignment horizontal="right" wrapText="1"/>
    </xf>
    <xf numFmtId="1" fontId="22" fillId="0" borderId="0" applyFill="0" applyBorder="0" applyProtection="0">
      <alignment horizontal="left"/>
    </xf>
    <xf numFmtId="49" fontId="22" fillId="0" borderId="0" applyFill="0" applyBorder="0" applyProtection="0">
      <alignment horizontal="left"/>
    </xf>
    <xf numFmtId="1" fontId="22" fillId="0" borderId="0" applyFill="0" applyBorder="0" applyProtection="0">
      <alignment horizontal="center"/>
    </xf>
    <xf numFmtId="37" fontId="22" fillId="0" borderId="0" applyFill="0" applyBorder="0" applyProtection="0">
      <alignment horizontal="right"/>
    </xf>
    <xf numFmtId="7" fontId="22" fillId="0" borderId="0" applyFill="0" applyBorder="0" applyProtection="0">
      <alignment horizontal="right"/>
    </xf>
    <xf numFmtId="247" fontId="22" fillId="0" borderId="0" applyFill="0" applyBorder="0" applyProtection="0">
      <alignment horizontal="left"/>
    </xf>
    <xf numFmtId="37" fontId="23" fillId="0" borderId="0" applyFill="0" applyBorder="0" applyProtection="0">
      <alignment horizontal="right"/>
    </xf>
    <xf numFmtId="7" fontId="23" fillId="0" borderId="0" applyFill="0" applyBorder="0" applyProtection="0">
      <alignment horizontal="right"/>
    </xf>
    <xf numFmtId="248" fontId="22" fillId="0" borderId="0" applyFill="0" applyBorder="0" applyProtection="0">
      <alignment horizontal="right"/>
    </xf>
    <xf numFmtId="249" fontId="22" fillId="0" borderId="0" applyFill="0" applyBorder="0" applyProtection="0">
      <alignment horizontal="right"/>
    </xf>
    <xf numFmtId="250" fontId="22" fillId="0" borderId="0" applyFill="0" applyBorder="0" applyProtection="0">
      <alignment horizontal="right"/>
    </xf>
    <xf numFmtId="14" fontId="22" fillId="0" borderId="0" applyFill="0" applyBorder="0" applyProtection="0">
      <alignment horizontal="right"/>
    </xf>
    <xf numFmtId="14" fontId="22" fillId="0" borderId="0" applyFill="0" applyBorder="0" applyProtection="0">
      <alignment horizontal="right"/>
    </xf>
    <xf numFmtId="251" fontId="22" fillId="0" borderId="0" applyFill="0" applyBorder="0" applyProtection="0">
      <alignment horizontal="left"/>
    </xf>
    <xf numFmtId="252" fontId="22" fillId="0" borderId="0" applyFill="0" applyBorder="0" applyProtection="0">
      <alignment horizontal="left"/>
    </xf>
    <xf numFmtId="248" fontId="23" fillId="0" borderId="0" applyFill="0" applyBorder="0" applyProtection="0">
      <alignment horizontal="right"/>
    </xf>
    <xf numFmtId="1" fontId="23" fillId="0" borderId="0" applyFill="0" applyBorder="0" applyProtection="0">
      <alignment horizontal="left"/>
    </xf>
    <xf numFmtId="247" fontId="23" fillId="0" borderId="0" applyFill="0" applyBorder="0" applyProtection="0">
      <alignment horizontal="left"/>
    </xf>
    <xf numFmtId="37" fontId="23" fillId="0" borderId="0" applyFill="0" applyBorder="0" applyProtection="0">
      <alignment horizontal="right"/>
    </xf>
    <xf numFmtId="1" fontId="95" fillId="0" borderId="0" applyFill="0" applyBorder="0" applyProtection="0">
      <alignment horizontal="left"/>
    </xf>
    <xf numFmtId="49" fontId="22" fillId="0" borderId="0" applyFill="0" applyBorder="0" applyProtection="0">
      <alignment horizontal="left"/>
    </xf>
    <xf numFmtId="252" fontId="22" fillId="0" borderId="0" applyFill="0" applyBorder="0" applyProtection="0">
      <alignment horizontal="left"/>
    </xf>
    <xf numFmtId="0" fontId="4" fillId="0" borderId="0" applyNumberFormat="0" applyBorder="0" applyAlignment="0"/>
    <xf numFmtId="0" fontId="14" fillId="0" borderId="0"/>
    <xf numFmtId="40" fontId="96" fillId="0" borderId="0" applyBorder="0">
      <alignment horizontal="right"/>
    </xf>
    <xf numFmtId="6" fontId="70" fillId="0" borderId="36" applyFill="0">
      <alignment vertical="center"/>
    </xf>
    <xf numFmtId="0" fontId="15" fillId="0" borderId="0"/>
    <xf numFmtId="0" fontId="97" fillId="0" borderId="0"/>
    <xf numFmtId="0" fontId="2" fillId="0" borderId="0"/>
    <xf numFmtId="49" fontId="4" fillId="0" borderId="0" applyFill="0" applyBorder="0" applyAlignment="0"/>
    <xf numFmtId="0" fontId="26" fillId="0" borderId="0" applyFill="0" applyBorder="0" applyAlignment="0"/>
    <xf numFmtId="201" fontId="6" fillId="0" borderId="0" applyFill="0" applyBorder="0" applyAlignment="0"/>
    <xf numFmtId="0" fontId="16" fillId="0" borderId="0"/>
    <xf numFmtId="0" fontId="17" fillId="0" borderId="0"/>
    <xf numFmtId="0" fontId="18" fillId="0" borderId="0">
      <alignment vertical="top"/>
    </xf>
    <xf numFmtId="253" fontId="70" fillId="0" borderId="0" applyFill="0" applyBorder="0">
      <alignment vertical="center"/>
    </xf>
    <xf numFmtId="0" fontId="22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38" fontId="98" fillId="0" borderId="0" applyNumberFormat="0" applyFill="0" applyBorder="0">
      <alignment horizontal="left" vertical="center"/>
    </xf>
    <xf numFmtId="38" fontId="99" fillId="0" borderId="0" applyNumberFormat="0" applyFill="0" applyBorder="0">
      <alignment horizontal="centerContinuous" vertical="center"/>
    </xf>
    <xf numFmtId="0" fontId="19" fillId="0" borderId="0">
      <alignment vertical="top"/>
    </xf>
    <xf numFmtId="0" fontId="10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5" fillId="0" borderId="0" applyFill="0" applyBorder="0" applyAlignment="0" applyProtection="0"/>
    <xf numFmtId="0" fontId="16" fillId="0" borderId="0">
      <alignment wrapText="1"/>
    </xf>
    <xf numFmtId="0" fontId="101" fillId="0" borderId="0">
      <alignment horizontal="left"/>
      <protection locked="0"/>
    </xf>
    <xf numFmtId="5" fontId="86" fillId="0" borderId="0">
      <alignment vertical="center"/>
    </xf>
    <xf numFmtId="223" fontId="26" fillId="0" borderId="0"/>
    <xf numFmtId="254" fontId="27" fillId="0" borderId="0" applyFill="0" applyBorder="0" applyAlignment="0" applyProtection="0"/>
    <xf numFmtId="14" fontId="22" fillId="0" borderId="0" applyFont="0" applyFill="0" applyBorder="0" applyProtection="0"/>
    <xf numFmtId="255" fontId="102" fillId="0" borderId="0" applyFill="0" applyBorder="0">
      <alignment vertical="center"/>
    </xf>
    <xf numFmtId="0" fontId="70" fillId="24" borderId="37" applyNumberFormat="0" applyFont="0" applyBorder="0" applyAlignment="0" applyProtection="0">
      <alignment horizontal="right"/>
    </xf>
    <xf numFmtId="256" fontId="21" fillId="0" borderId="0" applyFont="0" applyFill="0" applyBorder="0" applyAlignment="0" applyProtection="0"/>
    <xf numFmtId="255" fontId="103" fillId="0" borderId="0">
      <alignment horizontal="center"/>
    </xf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</cellStyleXfs>
  <cellXfs count="396">
    <xf numFmtId="0" fontId="0" fillId="0" borderId="0" xfId="0"/>
    <xf numFmtId="0" fontId="107" fillId="0" borderId="0" xfId="0" applyFont="1"/>
    <xf numFmtId="0" fontId="108" fillId="0" borderId="0" xfId="0" applyFont="1"/>
    <xf numFmtId="0" fontId="109" fillId="0" borderId="0" xfId="0" applyFont="1"/>
    <xf numFmtId="165" fontId="110" fillId="0" borderId="0" xfId="0" applyNumberFormat="1" applyFont="1"/>
    <xf numFmtId="0" fontId="111" fillId="0" borderId="0" xfId="0" applyFont="1"/>
    <xf numFmtId="165" fontId="107" fillId="0" borderId="0" xfId="0" applyNumberFormat="1" applyFont="1"/>
    <xf numFmtId="0" fontId="107" fillId="0" borderId="0" xfId="0" applyFont="1" applyAlignment="1">
      <alignment horizontal="left"/>
    </xf>
    <xf numFmtId="165" fontId="111" fillId="0" borderId="0" xfId="0" applyNumberFormat="1" applyFont="1"/>
    <xf numFmtId="167" fontId="107" fillId="0" borderId="0" xfId="0" applyNumberFormat="1" applyFont="1"/>
    <xf numFmtId="0" fontId="112" fillId="26" borderId="0" xfId="0" applyFont="1" applyFill="1" applyAlignment="1">
      <alignment horizontal="left"/>
    </xf>
    <xf numFmtId="0" fontId="111" fillId="26" borderId="0" xfId="0" applyFont="1" applyFill="1"/>
    <xf numFmtId="0" fontId="111" fillId="26" borderId="38" xfId="0" applyFont="1" applyFill="1" applyBorder="1" applyAlignment="1">
      <alignment horizontal="centerContinuous"/>
    </xf>
    <xf numFmtId="168" fontId="111" fillId="26" borderId="0" xfId="0" applyNumberFormat="1" applyFont="1" applyFill="1" applyAlignment="1">
      <alignment horizontal="centerContinuous"/>
    </xf>
    <xf numFmtId="168" fontId="111" fillId="26" borderId="0" xfId="0" applyNumberFormat="1" applyFont="1" applyFill="1" applyAlignment="1">
      <alignment horizontal="center"/>
    </xf>
    <xf numFmtId="0" fontId="111" fillId="0" borderId="0" xfId="0" applyFont="1" applyAlignment="1">
      <alignment horizontal="left"/>
    </xf>
    <xf numFmtId="0" fontId="111" fillId="26" borderId="3" xfId="0" applyFont="1" applyFill="1" applyBorder="1"/>
    <xf numFmtId="0" fontId="107" fillId="26" borderId="3" xfId="0" applyFont="1" applyFill="1" applyBorder="1"/>
    <xf numFmtId="0" fontId="111" fillId="0" borderId="3" xfId="0" applyFont="1" applyBorder="1"/>
    <xf numFmtId="43" fontId="109" fillId="0" borderId="0" xfId="162" applyFont="1" applyFill="1" applyBorder="1" applyAlignment="1">
      <alignment horizontal="center"/>
    </xf>
    <xf numFmtId="37" fontId="107" fillId="0" borderId="0" xfId="0" applyNumberFormat="1" applyFont="1"/>
    <xf numFmtId="0" fontId="111" fillId="0" borderId="39" xfId="0" applyFont="1" applyBorder="1"/>
    <xf numFmtId="37" fontId="110" fillId="0" borderId="0" xfId="0" applyNumberFormat="1" applyFont="1" applyAlignment="1">
      <alignment horizontal="right"/>
    </xf>
    <xf numFmtId="165" fontId="109" fillId="0" borderId="0" xfId="0" applyNumberFormat="1" applyFont="1"/>
    <xf numFmtId="257" fontId="111" fillId="0" borderId="0" xfId="0" applyNumberFormat="1" applyFont="1"/>
    <xf numFmtId="257" fontId="107" fillId="0" borderId="0" xfId="0" applyNumberFormat="1" applyFont="1"/>
    <xf numFmtId="0" fontId="111" fillId="27" borderId="8" xfId="266" applyFont="1" applyFill="1" applyBorder="1" applyAlignment="1">
      <alignment horizontal="left" wrapText="1"/>
    </xf>
    <xf numFmtId="0" fontId="107" fillId="0" borderId="0" xfId="266" applyFont="1" applyAlignment="1">
      <alignment horizontal="center" wrapText="1"/>
    </xf>
    <xf numFmtId="0" fontId="107" fillId="0" borderId="0" xfId="266" applyFont="1"/>
    <xf numFmtId="166" fontId="111" fillId="0" borderId="0" xfId="0" applyNumberFormat="1" applyFont="1"/>
    <xf numFmtId="172" fontId="107" fillId="0" borderId="0" xfId="162" applyNumberFormat="1" applyFont="1"/>
    <xf numFmtId="165" fontId="114" fillId="0" borderId="0" xfId="0" applyNumberFormat="1" applyFont="1"/>
    <xf numFmtId="165" fontId="115" fillId="0" borderId="0" xfId="0" applyNumberFormat="1" applyFont="1"/>
    <xf numFmtId="165" fontId="110" fillId="0" borderId="0" xfId="0" applyNumberFormat="1" applyFont="1" applyAlignment="1">
      <alignment horizontal="right"/>
    </xf>
    <xf numFmtId="0" fontId="107" fillId="28" borderId="0" xfId="267" applyFont="1" applyFill="1"/>
    <xf numFmtId="0" fontId="111" fillId="28" borderId="8" xfId="267" applyFont="1" applyFill="1" applyBorder="1"/>
    <xf numFmtId="258" fontId="111" fillId="28" borderId="8" xfId="267" applyNumberFormat="1" applyFont="1" applyFill="1" applyBorder="1"/>
    <xf numFmtId="258" fontId="107" fillId="28" borderId="0" xfId="267" applyNumberFormat="1" applyFont="1" applyFill="1"/>
    <xf numFmtId="168" fontId="111" fillId="26" borderId="3" xfId="0" applyNumberFormat="1" applyFont="1" applyFill="1" applyBorder="1" applyAlignment="1">
      <alignment horizontal="centerContinuous"/>
    </xf>
    <xf numFmtId="165" fontId="110" fillId="29" borderId="0" xfId="0" applyNumberFormat="1" applyFont="1" applyFill="1"/>
    <xf numFmtId="0" fontId="111" fillId="29" borderId="0" xfId="0" applyFont="1" applyFill="1"/>
    <xf numFmtId="165" fontId="113" fillId="0" borderId="0" xfId="0" applyNumberFormat="1" applyFont="1"/>
    <xf numFmtId="0" fontId="107" fillId="0" borderId="0" xfId="0" applyFont="1" applyAlignment="1">
      <alignment horizontal="right"/>
    </xf>
    <xf numFmtId="258" fontId="111" fillId="0" borderId="0" xfId="0" applyNumberFormat="1" applyFont="1" applyAlignment="1">
      <alignment horizontal="right"/>
    </xf>
    <xf numFmtId="258" fontId="107" fillId="0" borderId="0" xfId="0" applyNumberFormat="1" applyFont="1" applyAlignment="1">
      <alignment horizontal="right"/>
    </xf>
    <xf numFmtId="37" fontId="107" fillId="0" borderId="0" xfId="0" applyNumberFormat="1" applyFont="1" applyAlignment="1">
      <alignment horizontal="right"/>
    </xf>
    <xf numFmtId="165" fontId="111" fillId="0" borderId="0" xfId="0" applyNumberFormat="1" applyFont="1" applyAlignment="1">
      <alignment horizontal="right"/>
    </xf>
    <xf numFmtId="9" fontId="107" fillId="0" borderId="0" xfId="543" applyFont="1"/>
    <xf numFmtId="37" fontId="107" fillId="29" borderId="0" xfId="0" applyNumberFormat="1" applyFont="1" applyFill="1"/>
    <xf numFmtId="260" fontId="107" fillId="0" borderId="0" xfId="0" applyNumberFormat="1" applyFont="1"/>
    <xf numFmtId="9" fontId="107" fillId="0" borderId="0" xfId="543" applyFont="1" applyFill="1"/>
    <xf numFmtId="0" fontId="107" fillId="0" borderId="7" xfId="0" applyFont="1" applyBorder="1"/>
    <xf numFmtId="172" fontId="107" fillId="0" borderId="0" xfId="162" applyNumberFormat="1" applyFont="1" applyFill="1" applyBorder="1"/>
    <xf numFmtId="165" fontId="111" fillId="0" borderId="39" xfId="0" applyNumberFormat="1" applyFont="1" applyBorder="1"/>
    <xf numFmtId="259" fontId="107" fillId="0" borderId="0" xfId="0" applyNumberFormat="1" applyFont="1"/>
    <xf numFmtId="259" fontId="111" fillId="0" borderId="39" xfId="0" applyNumberFormat="1" applyFont="1" applyBorder="1" applyAlignment="1">
      <alignment horizontal="right"/>
    </xf>
    <xf numFmtId="166" fontId="111" fillId="0" borderId="0" xfId="0" applyNumberFormat="1" applyFont="1" applyAlignment="1">
      <alignment horizontal="right"/>
    </xf>
    <xf numFmtId="1" fontId="107" fillId="0" borderId="0" xfId="0" applyNumberFormat="1" applyFont="1" applyAlignment="1">
      <alignment horizontal="right"/>
    </xf>
    <xf numFmtId="259" fontId="107" fillId="0" borderId="0" xfId="0" applyNumberFormat="1" applyFont="1" applyAlignment="1">
      <alignment horizontal="right"/>
    </xf>
    <xf numFmtId="0" fontId="111" fillId="0" borderId="7" xfId="0" applyFont="1" applyBorder="1"/>
    <xf numFmtId="259" fontId="111" fillId="0" borderId="0" xfId="0" applyNumberFormat="1" applyFont="1"/>
    <xf numFmtId="0" fontId="114" fillId="0" borderId="0" xfId="0" applyFont="1"/>
    <xf numFmtId="9" fontId="111" fillId="0" borderId="0" xfId="543" applyFont="1" applyFill="1"/>
    <xf numFmtId="9" fontId="111" fillId="0" borderId="0" xfId="543" applyFont="1" applyFill="1" applyBorder="1"/>
    <xf numFmtId="9" fontId="107" fillId="0" borderId="0" xfId="543" applyFont="1" applyFill="1" applyBorder="1"/>
    <xf numFmtId="169" fontId="111" fillId="0" borderId="0" xfId="543" applyNumberFormat="1" applyFont="1" applyFill="1"/>
    <xf numFmtId="0" fontId="111" fillId="0" borderId="0" xfId="266" applyFont="1"/>
    <xf numFmtId="168" fontId="111" fillId="26" borderId="8" xfId="0" applyNumberFormat="1" applyFont="1" applyFill="1" applyBorder="1" applyAlignment="1">
      <alignment horizontal="centerContinuous"/>
    </xf>
    <xf numFmtId="168" fontId="113" fillId="26" borderId="3" xfId="0" applyNumberFormat="1" applyFont="1" applyFill="1" applyBorder="1" applyAlignment="1">
      <alignment horizontal="centerContinuous"/>
    </xf>
    <xf numFmtId="0" fontId="111" fillId="28" borderId="0" xfId="267" applyFont="1" applyFill="1"/>
    <xf numFmtId="258" fontId="111" fillId="28" borderId="0" xfId="267" applyNumberFormat="1" applyFont="1" applyFill="1"/>
    <xf numFmtId="2" fontId="107" fillId="0" borderId="0" xfId="0" applyNumberFormat="1" applyFont="1"/>
    <xf numFmtId="259" fontId="107" fillId="0" borderId="7" xfId="0" applyNumberFormat="1" applyFont="1" applyBorder="1"/>
    <xf numFmtId="259" fontId="111" fillId="0" borderId="7" xfId="0" applyNumberFormat="1" applyFont="1" applyBorder="1"/>
    <xf numFmtId="259" fontId="113" fillId="0" borderId="0" xfId="0" applyNumberFormat="1" applyFont="1"/>
    <xf numFmtId="0" fontId="111" fillId="26" borderId="8" xfId="0" applyFont="1" applyFill="1" applyBorder="1"/>
    <xf numFmtId="0" fontId="111" fillId="0" borderId="6" xfId="0" applyFont="1" applyBorder="1"/>
    <xf numFmtId="259" fontId="111" fillId="0" borderId="6" xfId="0" applyNumberFormat="1" applyFont="1" applyBorder="1"/>
    <xf numFmtId="0" fontId="111" fillId="0" borderId="40" xfId="266" applyFont="1" applyBorder="1" applyAlignment="1">
      <alignment horizontal="left" wrapText="1"/>
    </xf>
    <xf numFmtId="0" fontId="107" fillId="0" borderId="21" xfId="266" applyFont="1" applyBorder="1" applyAlignment="1">
      <alignment horizontal="left" wrapText="1"/>
    </xf>
    <xf numFmtId="0" fontId="107" fillId="0" borderId="41" xfId="266" applyFont="1" applyBorder="1"/>
    <xf numFmtId="169" fontId="107" fillId="0" borderId="0" xfId="543" applyNumberFormat="1" applyFont="1"/>
    <xf numFmtId="261" fontId="111" fillId="0" borderId="0" xfId="0" applyNumberFormat="1" applyFont="1" applyAlignment="1">
      <alignment horizontal="right"/>
    </xf>
    <xf numFmtId="0" fontId="107" fillId="27" borderId="0" xfId="266" applyFont="1" applyFill="1" applyAlignment="1">
      <alignment horizontal="left" wrapText="1"/>
    </xf>
    <xf numFmtId="0" fontId="107" fillId="27" borderId="0" xfId="266" applyFont="1" applyFill="1" applyAlignment="1">
      <alignment horizontal="right" wrapText="1"/>
    </xf>
    <xf numFmtId="169" fontId="111" fillId="0" borderId="0" xfId="543" applyNumberFormat="1" applyFont="1"/>
    <xf numFmtId="169" fontId="110" fillId="0" borderId="0" xfId="543" applyNumberFormat="1" applyFont="1" applyFill="1"/>
    <xf numFmtId="172" fontId="116" fillId="27" borderId="0" xfId="162" applyNumberFormat="1" applyFont="1" applyFill="1" applyBorder="1" applyAlignment="1">
      <alignment horizontal="center" wrapText="1"/>
    </xf>
    <xf numFmtId="172" fontId="111" fillId="28" borderId="8" xfId="162" applyNumberFormat="1" applyFont="1" applyFill="1" applyBorder="1" applyAlignment="1">
      <alignment horizontal="center"/>
    </xf>
    <xf numFmtId="172" fontId="107" fillId="28" borderId="0" xfId="162" applyNumberFormat="1" applyFont="1" applyFill="1" applyAlignment="1">
      <alignment horizontal="center"/>
    </xf>
    <xf numFmtId="172" fontId="111" fillId="28" borderId="0" xfId="162" applyNumberFormat="1" applyFont="1" applyFill="1" applyBorder="1" applyAlignment="1">
      <alignment horizontal="center"/>
    </xf>
    <xf numFmtId="0" fontId="107" fillId="0" borderId="0" xfId="0" applyFont="1" applyAlignment="1">
      <alignment wrapText="1"/>
    </xf>
    <xf numFmtId="165" fontId="109" fillId="0" borderId="0" xfId="0" applyNumberFormat="1" applyFont="1" applyAlignment="1">
      <alignment horizontal="right" vertical="center"/>
    </xf>
    <xf numFmtId="165" fontId="110" fillId="0" borderId="0" xfId="0" applyNumberFormat="1" applyFont="1" applyAlignment="1">
      <alignment horizontal="right" vertical="center"/>
    </xf>
    <xf numFmtId="165" fontId="111" fillId="0" borderId="0" xfId="0" applyNumberFormat="1" applyFont="1" applyAlignment="1">
      <alignment horizontal="right" vertical="center"/>
    </xf>
    <xf numFmtId="165" fontId="107" fillId="0" borderId="0" xfId="0" applyNumberFormat="1" applyFont="1" applyAlignment="1">
      <alignment horizontal="right" vertical="center"/>
    </xf>
    <xf numFmtId="165" fontId="117" fillId="0" borderId="0" xfId="0" applyNumberFormat="1" applyFont="1"/>
    <xf numFmtId="165" fontId="116" fillId="0" borderId="0" xfId="0" applyNumberFormat="1" applyFont="1"/>
    <xf numFmtId="165" fontId="110" fillId="30" borderId="0" xfId="0" applyNumberFormat="1" applyFont="1" applyFill="1"/>
    <xf numFmtId="169" fontId="107" fillId="0" borderId="0" xfId="543" applyNumberFormat="1" applyFont="1" applyFill="1" applyBorder="1"/>
    <xf numFmtId="0" fontId="111" fillId="27" borderId="0" xfId="266" applyFont="1" applyFill="1" applyAlignment="1">
      <alignment horizontal="left" wrapText="1"/>
    </xf>
    <xf numFmtId="0" fontId="118" fillId="0" borderId="0" xfId="266" applyFont="1"/>
    <xf numFmtId="43" fontId="107" fillId="0" borderId="0" xfId="266" applyNumberFormat="1" applyFont="1"/>
    <xf numFmtId="259" fontId="118" fillId="0" borderId="0" xfId="266" applyNumberFormat="1" applyFont="1"/>
    <xf numFmtId="0" fontId="111" fillId="0" borderId="0" xfId="266" applyFont="1" applyAlignment="1">
      <alignment horizontal="left" wrapText="1"/>
    </xf>
    <xf numFmtId="1" fontId="107" fillId="0" borderId="0" xfId="266" applyNumberFormat="1" applyFont="1" applyAlignment="1">
      <alignment horizontal="left" wrapText="1"/>
    </xf>
    <xf numFmtId="17" fontId="111" fillId="27" borderId="8" xfId="266" applyNumberFormat="1" applyFont="1" applyFill="1" applyBorder="1" applyAlignment="1">
      <alignment horizontal="center" vertical="center" wrapText="1"/>
    </xf>
    <xf numFmtId="170" fontId="107" fillId="27" borderId="0" xfId="162" applyNumberFormat="1" applyFont="1" applyFill="1" applyBorder="1" applyAlignment="1">
      <alignment horizontal="right" wrapText="1"/>
    </xf>
    <xf numFmtId="172" fontId="107" fillId="27" borderId="0" xfId="266" applyNumberFormat="1" applyFont="1" applyFill="1" applyAlignment="1">
      <alignment horizontal="right" wrapText="1"/>
    </xf>
    <xf numFmtId="0" fontId="116" fillId="27" borderId="0" xfId="266" applyFont="1" applyFill="1" applyAlignment="1">
      <alignment horizontal="right" wrapText="1"/>
    </xf>
    <xf numFmtId="0" fontId="111" fillId="27" borderId="8" xfId="266" applyFont="1" applyFill="1" applyBorder="1" applyAlignment="1">
      <alignment horizontal="center" vertical="center" wrapText="1"/>
    </xf>
    <xf numFmtId="172" fontId="107" fillId="0" borderId="27" xfId="162" applyNumberFormat="1" applyFont="1" applyFill="1" applyBorder="1" applyAlignment="1">
      <alignment horizontal="left" wrapText="1"/>
    </xf>
    <xf numFmtId="172" fontId="107" fillId="0" borderId="42" xfId="162" applyNumberFormat="1" applyFont="1" applyFill="1" applyBorder="1" applyAlignment="1">
      <alignment horizontal="left" wrapText="1"/>
    </xf>
    <xf numFmtId="172" fontId="116" fillId="27" borderId="0" xfId="162" applyNumberFormat="1" applyFont="1" applyFill="1" applyBorder="1" applyAlignment="1">
      <alignment horizontal="right" wrapText="1"/>
    </xf>
    <xf numFmtId="165" fontId="107" fillId="0" borderId="0" xfId="0" applyNumberFormat="1" applyFont="1" applyAlignment="1">
      <alignment horizontal="right"/>
    </xf>
    <xf numFmtId="0" fontId="107" fillId="27" borderId="0" xfId="0" applyFont="1" applyFill="1" applyAlignment="1">
      <alignment horizontal="left" indent="1"/>
    </xf>
    <xf numFmtId="169" fontId="116" fillId="0" borderId="0" xfId="543" applyNumberFormat="1" applyFont="1" applyFill="1"/>
    <xf numFmtId="169" fontId="119" fillId="27" borderId="0" xfId="543" applyNumberFormat="1" applyFont="1" applyFill="1"/>
    <xf numFmtId="169" fontId="116" fillId="27" borderId="0" xfId="543" applyNumberFormat="1" applyFont="1" applyFill="1"/>
    <xf numFmtId="169" fontId="116" fillId="27" borderId="0" xfId="543" applyNumberFormat="1" applyFont="1" applyFill="1" applyBorder="1"/>
    <xf numFmtId="169" fontId="107" fillId="27" borderId="0" xfId="543" applyNumberFormat="1" applyFont="1" applyFill="1" applyBorder="1"/>
    <xf numFmtId="169" fontId="116" fillId="27" borderId="0" xfId="543" applyNumberFormat="1" applyFont="1" applyFill="1" applyAlignment="1">
      <alignment horizontal="right" vertical="center"/>
    </xf>
    <xf numFmtId="169" fontId="119" fillId="27" borderId="0" xfId="543" applyNumberFormat="1" applyFont="1" applyFill="1" applyAlignment="1">
      <alignment horizontal="right" vertical="center"/>
    </xf>
    <xf numFmtId="0" fontId="107" fillId="0" borderId="0" xfId="0" applyFont="1" applyAlignment="1">
      <alignment horizontal="left" indent="1"/>
    </xf>
    <xf numFmtId="169" fontId="119" fillId="0" borderId="0" xfId="543" applyNumberFormat="1" applyFont="1" applyFill="1"/>
    <xf numFmtId="169" fontId="107" fillId="27" borderId="0" xfId="543" applyNumberFormat="1" applyFont="1" applyFill="1" applyAlignment="1">
      <alignment horizontal="right" vertical="center"/>
    </xf>
    <xf numFmtId="169" fontId="107" fillId="27" borderId="0" xfId="543" applyNumberFormat="1" applyFont="1" applyFill="1"/>
    <xf numFmtId="169" fontId="107" fillId="0" borderId="0" xfId="543" applyNumberFormat="1" applyFont="1" applyFill="1"/>
    <xf numFmtId="0" fontId="107" fillId="27" borderId="0" xfId="0" applyFont="1" applyFill="1" applyAlignment="1">
      <alignment horizontal="left"/>
    </xf>
    <xf numFmtId="169" fontId="107" fillId="27" borderId="0" xfId="0" applyNumberFormat="1" applyFont="1" applyFill="1"/>
    <xf numFmtId="0" fontId="107" fillId="27" borderId="0" xfId="0" applyFont="1" applyFill="1"/>
    <xf numFmtId="169" fontId="116" fillId="27" borderId="0" xfId="543" applyNumberFormat="1" applyFont="1" applyFill="1" applyAlignment="1">
      <alignment horizontal="right"/>
    </xf>
    <xf numFmtId="169" fontId="107" fillId="27" borderId="0" xfId="543" applyNumberFormat="1" applyFont="1" applyFill="1" applyAlignment="1">
      <alignment horizontal="right"/>
    </xf>
    <xf numFmtId="9" fontId="107" fillId="27" borderId="0" xfId="543" applyFont="1" applyFill="1" applyAlignment="1">
      <alignment horizontal="right"/>
    </xf>
    <xf numFmtId="169" fontId="116" fillId="0" borderId="0" xfId="543" applyNumberFormat="1" applyFont="1" applyFill="1" applyAlignment="1">
      <alignment horizontal="right"/>
    </xf>
    <xf numFmtId="169" fontId="107" fillId="0" borderId="0" xfId="543" applyNumberFormat="1" applyFont="1" applyFill="1" applyAlignment="1">
      <alignment horizontal="right"/>
    </xf>
    <xf numFmtId="169" fontId="107" fillId="27" borderId="0" xfId="543" applyNumberFormat="1" applyFont="1" applyFill="1" applyBorder="1" applyAlignment="1">
      <alignment horizontal="left" indent="1"/>
    </xf>
    <xf numFmtId="169" fontId="119" fillId="27" borderId="0" xfId="543" applyNumberFormat="1" applyFont="1" applyFill="1" applyBorder="1"/>
    <xf numFmtId="169" fontId="114" fillId="0" borderId="0" xfId="543" applyNumberFormat="1" applyFont="1" applyFill="1" applyBorder="1"/>
    <xf numFmtId="169" fontId="114" fillId="0" borderId="0" xfId="543" applyNumberFormat="1" applyFont="1" applyFill="1" applyBorder="1" applyAlignment="1">
      <alignment horizontal="left" indent="1"/>
    </xf>
    <xf numFmtId="172" fontId="114" fillId="0" borderId="0" xfId="162" applyNumberFormat="1" applyFont="1" applyFill="1" applyBorder="1"/>
    <xf numFmtId="3" fontId="114" fillId="0" borderId="0" xfId="0" applyNumberFormat="1" applyFont="1"/>
    <xf numFmtId="0" fontId="111" fillId="0" borderId="23" xfId="266" applyFont="1" applyBorder="1"/>
    <xf numFmtId="15" fontId="111" fillId="0" borderId="24" xfId="266" applyNumberFormat="1" applyFont="1" applyBorder="1" applyAlignment="1">
      <alignment horizontal="center"/>
    </xf>
    <xf numFmtId="0" fontId="107" fillId="0" borderId="21" xfId="266" applyFont="1" applyBorder="1" applyAlignment="1">
      <alignment horizontal="left"/>
    </xf>
    <xf numFmtId="1" fontId="107" fillId="0" borderId="0" xfId="266" applyNumberFormat="1" applyFont="1"/>
    <xf numFmtId="1" fontId="107" fillId="0" borderId="27" xfId="266" applyNumberFormat="1" applyFont="1" applyBorder="1"/>
    <xf numFmtId="0" fontId="107" fillId="0" borderId="27" xfId="266" applyFont="1" applyBorder="1"/>
    <xf numFmtId="0" fontId="107" fillId="0" borderId="22" xfId="266" applyFont="1" applyBorder="1" applyAlignment="1">
      <alignment horizontal="left"/>
    </xf>
    <xf numFmtId="1" fontId="107" fillId="0" borderId="10" xfId="266" applyNumberFormat="1" applyFont="1" applyBorder="1"/>
    <xf numFmtId="0" fontId="107" fillId="0" borderId="28" xfId="266" applyFont="1" applyBorder="1" applyAlignment="1">
      <alignment horizontal="left"/>
    </xf>
    <xf numFmtId="0" fontId="107" fillId="0" borderId="0" xfId="266" applyFont="1" applyAlignment="1">
      <alignment horizontal="left"/>
    </xf>
    <xf numFmtId="0" fontId="111" fillId="0" borderId="26" xfId="266" applyFont="1" applyBorder="1" applyAlignment="1">
      <alignment horizontal="center"/>
    </xf>
    <xf numFmtId="0" fontId="111" fillId="0" borderId="43" xfId="266" applyFont="1" applyBorder="1" applyAlignment="1">
      <alignment horizontal="center" wrapText="1"/>
    </xf>
    <xf numFmtId="263" fontId="107" fillId="0" borderId="27" xfId="162" applyNumberFormat="1" applyFont="1" applyFill="1" applyBorder="1" applyAlignment="1">
      <alignment horizontal="left" wrapText="1"/>
    </xf>
    <xf numFmtId="0" fontId="107" fillId="26" borderId="0" xfId="0" applyFont="1" applyFill="1"/>
    <xf numFmtId="169" fontId="119" fillId="27" borderId="0" xfId="543" applyNumberFormat="1" applyFont="1" applyFill="1" applyBorder="1" applyAlignment="1">
      <alignment horizontal="right" vertical="center"/>
    </xf>
    <xf numFmtId="169" fontId="114" fillId="27" borderId="0" xfId="543" applyNumberFormat="1" applyFont="1" applyFill="1" applyBorder="1"/>
    <xf numFmtId="9" fontId="114" fillId="0" borderId="0" xfId="543" applyFont="1" applyBorder="1"/>
    <xf numFmtId="37" fontId="110" fillId="0" borderId="0" xfId="543" applyNumberFormat="1" applyFont="1" applyFill="1" applyBorder="1"/>
    <xf numFmtId="262" fontId="113" fillId="0" borderId="0" xfId="0" applyNumberFormat="1" applyFont="1"/>
    <xf numFmtId="0" fontId="107" fillId="29" borderId="0" xfId="266" applyFont="1" applyFill="1" applyAlignment="1">
      <alignment horizontal="left" wrapText="1"/>
    </xf>
    <xf numFmtId="172" fontId="116" fillId="29" borderId="0" xfId="162" applyNumberFormat="1" applyFont="1" applyFill="1" applyBorder="1" applyAlignment="1">
      <alignment horizontal="center" wrapText="1"/>
    </xf>
    <xf numFmtId="0" fontId="107" fillId="29" borderId="0" xfId="266" applyFont="1" applyFill="1" applyAlignment="1">
      <alignment horizontal="right" wrapText="1"/>
    </xf>
    <xf numFmtId="172" fontId="107" fillId="29" borderId="0" xfId="266" applyNumberFormat="1" applyFont="1" applyFill="1" applyAlignment="1">
      <alignment horizontal="right" wrapText="1"/>
    </xf>
    <xf numFmtId="165" fontId="107" fillId="28" borderId="0" xfId="267" applyNumberFormat="1" applyFont="1" applyFill="1"/>
    <xf numFmtId="0" fontId="111" fillId="29" borderId="8" xfId="266" applyFont="1" applyFill="1" applyBorder="1" applyAlignment="1">
      <alignment horizontal="center" vertical="center" wrapText="1"/>
    </xf>
    <xf numFmtId="172" fontId="107" fillId="0" borderId="27" xfId="162" applyNumberFormat="1" applyFont="1" applyFill="1" applyBorder="1"/>
    <xf numFmtId="172" fontId="107" fillId="0" borderId="10" xfId="162" applyNumberFormat="1" applyFont="1" applyFill="1" applyBorder="1" applyAlignment="1"/>
    <xf numFmtId="172" fontId="107" fillId="0" borderId="28" xfId="162" applyNumberFormat="1" applyFont="1" applyFill="1" applyBorder="1" applyAlignment="1">
      <alignment horizontal="left"/>
    </xf>
    <xf numFmtId="0" fontId="107" fillId="29" borderId="0" xfId="266" applyFont="1" applyFill="1"/>
    <xf numFmtId="43" fontId="116" fillId="27" borderId="0" xfId="162" applyFont="1" applyFill="1" applyBorder="1" applyAlignment="1">
      <alignment horizontal="center" wrapText="1"/>
    </xf>
    <xf numFmtId="43" fontId="107" fillId="27" borderId="0" xfId="162" applyFont="1" applyFill="1" applyBorder="1" applyAlignment="1">
      <alignment horizontal="center" wrapText="1"/>
    </xf>
    <xf numFmtId="43" fontId="107" fillId="29" borderId="0" xfId="162" applyFont="1" applyFill="1" applyBorder="1" applyAlignment="1">
      <alignment horizontal="center" wrapText="1"/>
    </xf>
    <xf numFmtId="170" fontId="116" fillId="27" borderId="0" xfId="162" applyNumberFormat="1" applyFont="1" applyFill="1" applyBorder="1" applyAlignment="1">
      <alignment horizontal="center" wrapText="1"/>
    </xf>
    <xf numFmtId="0" fontId="107" fillId="27" borderId="0" xfId="266" applyFont="1" applyFill="1"/>
    <xf numFmtId="172" fontId="111" fillId="27" borderId="0" xfId="162" applyNumberFormat="1" applyFont="1" applyFill="1" applyBorder="1" applyAlignment="1">
      <alignment horizontal="center"/>
    </xf>
    <xf numFmtId="165" fontId="107" fillId="27" borderId="0" xfId="0" applyNumberFormat="1" applyFont="1" applyFill="1"/>
    <xf numFmtId="0" fontId="111" fillId="27" borderId="8" xfId="267" applyFont="1" applyFill="1" applyBorder="1"/>
    <xf numFmtId="172" fontId="111" fillId="27" borderId="8" xfId="162" applyNumberFormat="1" applyFont="1" applyFill="1" applyBorder="1" applyAlignment="1">
      <alignment horizontal="center"/>
    </xf>
    <xf numFmtId="258" fontId="111" fillId="27" borderId="8" xfId="267" applyNumberFormat="1" applyFont="1" applyFill="1" applyBorder="1"/>
    <xf numFmtId="0" fontId="107" fillId="27" borderId="0" xfId="267" applyFont="1" applyFill="1"/>
    <xf numFmtId="172" fontId="107" fillId="27" borderId="0" xfId="162" applyNumberFormat="1" applyFont="1" applyFill="1" applyAlignment="1">
      <alignment horizontal="center"/>
    </xf>
    <xf numFmtId="0" fontId="111" fillId="27" borderId="0" xfId="267" applyFont="1" applyFill="1"/>
    <xf numFmtId="0" fontId="113" fillId="0" borderId="0" xfId="266" applyFont="1"/>
    <xf numFmtId="0" fontId="111" fillId="0" borderId="19" xfId="266" applyFont="1" applyBorder="1"/>
    <xf numFmtId="0" fontId="111" fillId="0" borderId="20" xfId="266" applyFont="1" applyBorder="1" applyAlignment="1">
      <alignment horizontal="center"/>
    </xf>
    <xf numFmtId="172" fontId="107" fillId="0" borderId="44" xfId="162" applyNumberFormat="1" applyFont="1" applyFill="1" applyBorder="1"/>
    <xf numFmtId="172" fontId="107" fillId="0" borderId="45" xfId="162" applyNumberFormat="1" applyFont="1" applyFill="1" applyBorder="1" applyAlignment="1"/>
    <xf numFmtId="15" fontId="111" fillId="0" borderId="46" xfId="266" applyNumberFormat="1" applyFont="1" applyBorder="1" applyAlignment="1">
      <alignment horizontal="center"/>
    </xf>
    <xf numFmtId="172" fontId="107" fillId="0" borderId="20" xfId="162" applyNumberFormat="1" applyFont="1" applyFill="1" applyBorder="1"/>
    <xf numFmtId="172" fontId="107" fillId="0" borderId="46" xfId="162" applyNumberFormat="1" applyFont="1" applyFill="1" applyBorder="1"/>
    <xf numFmtId="43" fontId="107" fillId="0" borderId="27" xfId="162" applyFont="1" applyFill="1" applyBorder="1" applyAlignment="1">
      <alignment horizontal="left" wrapText="1"/>
    </xf>
    <xf numFmtId="172" fontId="107" fillId="27" borderId="0" xfId="162" applyNumberFormat="1" applyFont="1" applyFill="1" applyBorder="1" applyAlignment="1">
      <alignment horizontal="center" wrapText="1"/>
    </xf>
    <xf numFmtId="172" fontId="107" fillId="29" borderId="0" xfId="162" applyNumberFormat="1" applyFont="1" applyFill="1" applyBorder="1" applyAlignment="1">
      <alignment horizontal="center" wrapText="1"/>
    </xf>
    <xf numFmtId="0" fontId="111" fillId="26" borderId="38" xfId="0" applyFont="1" applyFill="1" applyBorder="1" applyAlignment="1">
      <alignment horizontal="center"/>
    </xf>
    <xf numFmtId="259" fontId="111" fillId="0" borderId="0" xfId="0" applyNumberFormat="1" applyFont="1" applyAlignment="1">
      <alignment horizontal="right"/>
    </xf>
    <xf numFmtId="168" fontId="111" fillId="26" borderId="3" xfId="0" applyNumberFormat="1" applyFont="1" applyFill="1" applyBorder="1" applyAlignment="1">
      <alignment horizontal="center"/>
    </xf>
    <xf numFmtId="170" fontId="107" fillId="0" borderId="46" xfId="162" applyNumberFormat="1" applyFont="1" applyFill="1" applyBorder="1"/>
    <xf numFmtId="170" fontId="116" fillId="0" borderId="44" xfId="162" applyNumberFormat="1" applyFont="1" applyFill="1" applyBorder="1"/>
    <xf numFmtId="170" fontId="107" fillId="0" borderId="27" xfId="162" applyNumberFormat="1" applyFont="1" applyFill="1" applyBorder="1"/>
    <xf numFmtId="170" fontId="107" fillId="0" borderId="20" xfId="162" applyNumberFormat="1" applyFont="1" applyFill="1" applyBorder="1"/>
    <xf numFmtId="170" fontId="107" fillId="0" borderId="27" xfId="162" applyNumberFormat="1" applyFont="1" applyFill="1" applyBorder="1" applyAlignment="1">
      <alignment horizontal="left" wrapText="1"/>
    </xf>
    <xf numFmtId="170" fontId="107" fillId="0" borderId="42" xfId="162" applyNumberFormat="1" applyFont="1" applyFill="1" applyBorder="1" applyAlignment="1">
      <alignment horizontal="left" wrapText="1"/>
    </xf>
    <xf numFmtId="170" fontId="107" fillId="27" borderId="0" xfId="162" applyNumberFormat="1" applyFont="1" applyFill="1" applyBorder="1" applyAlignment="1">
      <alignment horizontal="center" wrapText="1"/>
    </xf>
    <xf numFmtId="170" fontId="111" fillId="29" borderId="0" xfId="266" applyNumberFormat="1" applyFont="1" applyFill="1" applyAlignment="1">
      <alignment horizontal="center" vertical="center" wrapText="1"/>
    </xf>
    <xf numFmtId="170" fontId="107" fillId="27" borderId="0" xfId="266" applyNumberFormat="1" applyFont="1" applyFill="1" applyAlignment="1">
      <alignment horizontal="right" wrapText="1"/>
    </xf>
    <xf numFmtId="170" fontId="107" fillId="29" borderId="0" xfId="266" applyNumberFormat="1" applyFont="1" applyFill="1" applyAlignment="1">
      <alignment horizontal="right" wrapText="1"/>
    </xf>
    <xf numFmtId="170" fontId="111" fillId="28" borderId="8" xfId="162" applyNumberFormat="1" applyFont="1" applyFill="1" applyBorder="1" applyAlignment="1">
      <alignment horizontal="center"/>
    </xf>
    <xf numFmtId="170" fontId="107" fillId="28" borderId="0" xfId="162" applyNumberFormat="1" applyFont="1" applyFill="1" applyAlignment="1">
      <alignment horizontal="center"/>
    </xf>
    <xf numFmtId="170" fontId="107" fillId="28" borderId="0" xfId="267" applyNumberFormat="1" applyFont="1" applyFill="1"/>
    <xf numFmtId="170" fontId="111" fillId="28" borderId="0" xfId="162" applyNumberFormat="1" applyFont="1" applyFill="1" applyBorder="1" applyAlignment="1">
      <alignment horizontal="center"/>
    </xf>
    <xf numFmtId="170" fontId="111" fillId="28" borderId="0" xfId="267" applyNumberFormat="1" applyFont="1" applyFill="1"/>
    <xf numFmtId="170" fontId="107" fillId="0" borderId="0" xfId="0" applyNumberFormat="1" applyFont="1"/>
    <xf numFmtId="170" fontId="116" fillId="0" borderId="27" xfId="162" applyNumberFormat="1" applyFont="1" applyFill="1" applyBorder="1" applyAlignment="1">
      <alignment horizontal="left" wrapText="1"/>
    </xf>
    <xf numFmtId="9" fontId="116" fillId="0" borderId="0" xfId="543" applyFont="1" applyFill="1"/>
    <xf numFmtId="170" fontId="117" fillId="27" borderId="8" xfId="162" applyNumberFormat="1" applyFont="1" applyFill="1" applyBorder="1" applyAlignment="1">
      <alignment horizontal="center"/>
    </xf>
    <xf numFmtId="170" fontId="111" fillId="27" borderId="8" xfId="162" applyNumberFormat="1" applyFont="1" applyFill="1" applyBorder="1" applyAlignment="1">
      <alignment horizontal="center"/>
    </xf>
    <xf numFmtId="170" fontId="107" fillId="27" borderId="0" xfId="162" applyNumberFormat="1" applyFont="1" applyFill="1" applyAlignment="1">
      <alignment horizontal="center"/>
    </xf>
    <xf numFmtId="170" fontId="111" fillId="27" borderId="0" xfId="162" applyNumberFormat="1" applyFont="1" applyFill="1" applyBorder="1" applyAlignment="1">
      <alignment horizontal="center"/>
    </xf>
    <xf numFmtId="170" fontId="107" fillId="27" borderId="0" xfId="0" applyNumberFormat="1" applyFont="1" applyFill="1"/>
    <xf numFmtId="170" fontId="120" fillId="27" borderId="0" xfId="162" applyNumberFormat="1" applyFont="1" applyFill="1" applyBorder="1" applyAlignment="1">
      <alignment horizontal="center" wrapText="1"/>
    </xf>
    <xf numFmtId="170" fontId="120" fillId="29" borderId="0" xfId="162" applyNumberFormat="1" applyFont="1" applyFill="1" applyBorder="1" applyAlignment="1">
      <alignment horizontal="center" wrapText="1"/>
    </xf>
    <xf numFmtId="169" fontId="107" fillId="0" borderId="0" xfId="0" applyNumberFormat="1" applyFont="1"/>
    <xf numFmtId="169" fontId="119" fillId="0" borderId="0" xfId="543" applyNumberFormat="1" applyFont="1" applyFill="1" applyBorder="1"/>
    <xf numFmtId="169" fontId="107" fillId="0" borderId="0" xfId="543" applyNumberFormat="1" applyFont="1" applyFill="1" applyBorder="1" applyAlignment="1">
      <alignment horizontal="right"/>
    </xf>
    <xf numFmtId="169" fontId="107" fillId="0" borderId="0" xfId="543" applyNumberFormat="1" applyFont="1" applyFill="1" applyBorder="1" applyAlignment="1">
      <alignment horizontal="left" indent="1"/>
    </xf>
    <xf numFmtId="267" fontId="107" fillId="0" borderId="0" xfId="0" applyNumberFormat="1" applyFont="1"/>
    <xf numFmtId="0" fontId="107" fillId="26" borderId="0" xfId="0" applyFont="1" applyFill="1" applyAlignment="1">
      <alignment horizontal="center"/>
    </xf>
    <xf numFmtId="1" fontId="118" fillId="0" borderId="0" xfId="266" applyNumberFormat="1" applyFont="1"/>
    <xf numFmtId="268" fontId="111" fillId="0" borderId="0" xfId="0" applyNumberFormat="1" applyFont="1"/>
    <xf numFmtId="268" fontId="107" fillId="0" borderId="0" xfId="0" applyNumberFormat="1" applyFont="1"/>
    <xf numFmtId="268" fontId="107" fillId="0" borderId="0" xfId="0" applyNumberFormat="1" applyFont="1" applyAlignment="1">
      <alignment horizontal="right"/>
    </xf>
    <xf numFmtId="268" fontId="111" fillId="0" borderId="39" xfId="0" applyNumberFormat="1" applyFont="1" applyBorder="1" applyAlignment="1">
      <alignment horizontal="right"/>
    </xf>
    <xf numFmtId="268" fontId="107" fillId="0" borderId="7" xfId="0" applyNumberFormat="1" applyFont="1" applyBorder="1"/>
    <xf numFmtId="268" fontId="111" fillId="0" borderId="6" xfId="0" applyNumberFormat="1" applyFont="1" applyBorder="1"/>
    <xf numFmtId="268" fontId="111" fillId="0" borderId="7" xfId="0" applyNumberFormat="1" applyFont="1" applyBorder="1"/>
    <xf numFmtId="170" fontId="107" fillId="0" borderId="0" xfId="162" applyNumberFormat="1" applyFont="1" applyFill="1" applyBorder="1"/>
    <xf numFmtId="0" fontId="121" fillId="0" borderId="0" xfId="266" applyFont="1"/>
    <xf numFmtId="170" fontId="121" fillId="0" borderId="0" xfId="162" applyNumberFormat="1" applyFont="1" applyFill="1" applyBorder="1"/>
    <xf numFmtId="0" fontId="111" fillId="26" borderId="3" xfId="0" applyFont="1" applyFill="1" applyBorder="1" applyAlignment="1">
      <alignment horizontal="center"/>
    </xf>
    <xf numFmtId="269" fontId="107" fillId="0" borderId="0" xfId="266" applyNumberFormat="1" applyFont="1"/>
    <xf numFmtId="165" fontId="107" fillId="31" borderId="0" xfId="0" applyNumberFormat="1" applyFont="1" applyFill="1"/>
    <xf numFmtId="165" fontId="117" fillId="31" borderId="0" xfId="0" applyNumberFormat="1" applyFont="1" applyFill="1"/>
    <xf numFmtId="169" fontId="119" fillId="31" borderId="0" xfId="543" applyNumberFormat="1" applyFont="1" applyFill="1" applyAlignment="1">
      <alignment horizontal="right" vertical="center"/>
    </xf>
    <xf numFmtId="169" fontId="119" fillId="31" borderId="0" xfId="543" applyNumberFormat="1" applyFont="1" applyFill="1"/>
    <xf numFmtId="170" fontId="107" fillId="0" borderId="44" xfId="162" applyNumberFormat="1" applyFont="1" applyFill="1" applyBorder="1"/>
    <xf numFmtId="165" fontId="107" fillId="31" borderId="0" xfId="0" applyNumberFormat="1" applyFont="1" applyFill="1" applyAlignment="1">
      <alignment horizontal="right"/>
    </xf>
    <xf numFmtId="258" fontId="107" fillId="31" borderId="0" xfId="0" applyNumberFormat="1" applyFont="1" applyFill="1" applyAlignment="1">
      <alignment horizontal="right"/>
    </xf>
    <xf numFmtId="258" fontId="111" fillId="31" borderId="0" xfId="0" applyNumberFormat="1" applyFont="1" applyFill="1" applyAlignment="1">
      <alignment horizontal="right"/>
    </xf>
    <xf numFmtId="165" fontId="107" fillId="31" borderId="0" xfId="0" applyNumberFormat="1" applyFont="1" applyFill="1" applyAlignment="1">
      <alignment horizontal="right" vertical="center"/>
    </xf>
    <xf numFmtId="269" fontId="111" fillId="0" borderId="0" xfId="266" applyNumberFormat="1" applyFont="1"/>
    <xf numFmtId="258" fontId="117" fillId="27" borderId="8" xfId="267" applyNumberFormat="1" applyFont="1" applyFill="1" applyBorder="1"/>
    <xf numFmtId="37" fontId="111" fillId="0" borderId="0" xfId="0" applyNumberFormat="1" applyFont="1" applyAlignment="1">
      <alignment horizontal="right" vertical="center"/>
    </xf>
    <xf numFmtId="168" fontId="111" fillId="26" borderId="3" xfId="0" applyNumberFormat="1" applyFont="1" applyFill="1" applyBorder="1" applyAlignment="1">
      <alignment horizontal="right"/>
    </xf>
    <xf numFmtId="1" fontId="107" fillId="27" borderId="0" xfId="0" applyNumberFormat="1" applyFont="1" applyFill="1"/>
    <xf numFmtId="172" fontId="111" fillId="28" borderId="47" xfId="162" applyNumberFormat="1" applyFont="1" applyFill="1" applyBorder="1" applyAlignment="1">
      <alignment horizontal="center"/>
    </xf>
    <xf numFmtId="259" fontId="111" fillId="28" borderId="47" xfId="267" applyNumberFormat="1" applyFont="1" applyFill="1" applyBorder="1"/>
    <xf numFmtId="0" fontId="111" fillId="28" borderId="48" xfId="267" applyFont="1" applyFill="1" applyBorder="1"/>
    <xf numFmtId="37" fontId="107" fillId="31" borderId="0" xfId="0" applyNumberFormat="1" applyFont="1" applyFill="1"/>
    <xf numFmtId="9" fontId="107" fillId="31" borderId="0" xfId="543" applyFont="1" applyFill="1"/>
    <xf numFmtId="169" fontId="107" fillId="31" borderId="0" xfId="543" applyNumberFormat="1" applyFont="1" applyFill="1"/>
    <xf numFmtId="170" fontId="107" fillId="27" borderId="8" xfId="162" applyNumberFormat="1" applyFont="1" applyFill="1" applyBorder="1" applyAlignment="1">
      <alignment horizontal="center"/>
    </xf>
    <xf numFmtId="165" fontId="109" fillId="28" borderId="0" xfId="0" applyNumberFormat="1" applyFont="1" applyFill="1" applyAlignment="1">
      <alignment horizontal="right" vertical="center"/>
    </xf>
    <xf numFmtId="165" fontId="110" fillId="28" borderId="0" xfId="0" applyNumberFormat="1" applyFont="1" applyFill="1" applyAlignment="1">
      <alignment horizontal="right" vertical="center"/>
    </xf>
    <xf numFmtId="165" fontId="117" fillId="28" borderId="0" xfId="0" applyNumberFormat="1" applyFont="1" applyFill="1"/>
    <xf numFmtId="165" fontId="111" fillId="28" borderId="0" xfId="0" applyNumberFormat="1" applyFont="1" applyFill="1"/>
    <xf numFmtId="165" fontId="110" fillId="28" borderId="0" xfId="0" applyNumberFormat="1" applyFont="1" applyFill="1"/>
    <xf numFmtId="165" fontId="116" fillId="28" borderId="0" xfId="0" applyNumberFormat="1" applyFont="1" applyFill="1"/>
    <xf numFmtId="165" fontId="109" fillId="28" borderId="0" xfId="0" applyNumberFormat="1" applyFont="1" applyFill="1"/>
    <xf numFmtId="170" fontId="116" fillId="28" borderId="27" xfId="162" applyNumberFormat="1" applyFont="1" applyFill="1" applyBorder="1" applyAlignment="1">
      <alignment horizontal="left" wrapText="1"/>
    </xf>
    <xf numFmtId="0" fontId="111" fillId="28" borderId="0" xfId="266" applyFont="1" applyFill="1"/>
    <xf numFmtId="0" fontId="107" fillId="28" borderId="0" xfId="266" applyFont="1" applyFill="1"/>
    <xf numFmtId="9" fontId="116" fillId="28" borderId="0" xfId="543" applyFont="1" applyFill="1"/>
    <xf numFmtId="39" fontId="107" fillId="0" borderId="0" xfId="0" applyNumberFormat="1" applyFont="1" applyAlignment="1">
      <alignment horizontal="right"/>
    </xf>
    <xf numFmtId="170" fontId="111" fillId="27" borderId="12" xfId="162" applyNumberFormat="1" applyFont="1" applyFill="1" applyBorder="1" applyAlignment="1">
      <alignment horizontal="center"/>
    </xf>
    <xf numFmtId="170" fontId="116" fillId="31" borderId="27" xfId="162" applyNumberFormat="1" applyFont="1" applyFill="1" applyBorder="1" applyAlignment="1">
      <alignment horizontal="left" wrapText="1"/>
    </xf>
    <xf numFmtId="168" fontId="111" fillId="26" borderId="3" xfId="0" applyNumberFormat="1" applyFont="1" applyFill="1" applyBorder="1"/>
    <xf numFmtId="262" fontId="110" fillId="0" borderId="0" xfId="0" applyNumberFormat="1" applyFont="1"/>
    <xf numFmtId="0" fontId="107" fillId="27" borderId="0" xfId="266" applyFont="1" applyFill="1" applyAlignment="1">
      <alignment horizontal="left"/>
    </xf>
    <xf numFmtId="0" fontId="113" fillId="26" borderId="3" xfId="0" applyFont="1" applyFill="1" applyBorder="1" applyAlignment="1">
      <alignment horizontal="center"/>
    </xf>
    <xf numFmtId="165" fontId="110" fillId="32" borderId="0" xfId="0" applyNumberFormat="1" applyFont="1" applyFill="1"/>
    <xf numFmtId="0" fontId="111" fillId="32" borderId="0" xfId="0" applyFont="1" applyFill="1"/>
    <xf numFmtId="0" fontId="114" fillId="32" borderId="0" xfId="0" applyFont="1" applyFill="1" applyAlignment="1">
      <alignment horizontal="left"/>
    </xf>
    <xf numFmtId="165" fontId="107" fillId="32" borderId="0" xfId="0" applyNumberFormat="1" applyFont="1" applyFill="1"/>
    <xf numFmtId="168" fontId="111" fillId="0" borderId="0" xfId="0" applyNumberFormat="1" applyFont="1"/>
    <xf numFmtId="168" fontId="111" fillId="0" borderId="0" xfId="0" applyNumberFormat="1" applyFont="1" applyAlignment="1">
      <alignment horizontal="center"/>
    </xf>
    <xf numFmtId="169" fontId="119" fillId="0" borderId="0" xfId="543" applyNumberFormat="1" applyFont="1" applyFill="1" applyBorder="1" applyAlignment="1">
      <alignment horizontal="right" vertical="center"/>
    </xf>
    <xf numFmtId="10" fontId="110" fillId="0" borderId="0" xfId="543" applyNumberFormat="1" applyFont="1" applyFill="1" applyBorder="1" applyAlignment="1">
      <alignment horizontal="right" vertical="center"/>
    </xf>
    <xf numFmtId="168" fontId="111" fillId="0" borderId="0" xfId="0" applyNumberFormat="1" applyFont="1" applyAlignment="1">
      <alignment horizontal="centerContinuous"/>
    </xf>
    <xf numFmtId="9" fontId="116" fillId="0" borderId="0" xfId="543" applyFont="1" applyFill="1" applyBorder="1"/>
    <xf numFmtId="268" fontId="111" fillId="0" borderId="0" xfId="0" applyNumberFormat="1" applyFont="1" applyAlignment="1">
      <alignment horizontal="right"/>
    </xf>
    <xf numFmtId="0" fontId="5" fillId="0" borderId="0" xfId="0" applyFont="1"/>
    <xf numFmtId="264" fontId="111" fillId="0" borderId="0" xfId="0" applyNumberFormat="1" applyFont="1" applyAlignment="1">
      <alignment horizontal="right"/>
    </xf>
    <xf numFmtId="264" fontId="111" fillId="0" borderId="0" xfId="0" applyNumberFormat="1" applyFont="1"/>
    <xf numFmtId="268" fontId="107" fillId="27" borderId="0" xfId="0" applyNumberFormat="1" applyFont="1" applyFill="1" applyAlignment="1">
      <alignment horizontal="right"/>
    </xf>
    <xf numFmtId="265" fontId="107" fillId="27" borderId="0" xfId="0" applyNumberFormat="1" applyFont="1" applyFill="1" applyAlignment="1">
      <alignment horizontal="right"/>
    </xf>
    <xf numFmtId="258" fontId="107" fillId="27" borderId="0" xfId="0" applyNumberFormat="1" applyFont="1" applyFill="1" applyAlignment="1">
      <alignment horizontal="right"/>
    </xf>
    <xf numFmtId="258" fontId="111" fillId="27" borderId="0" xfId="0" applyNumberFormat="1" applyFont="1" applyFill="1" applyAlignment="1">
      <alignment horizontal="right"/>
    </xf>
    <xf numFmtId="168" fontId="111" fillId="26" borderId="8" xfId="0" applyNumberFormat="1" applyFont="1" applyFill="1" applyBorder="1" applyAlignment="1">
      <alignment horizontal="center"/>
    </xf>
    <xf numFmtId="0" fontId="107" fillId="0" borderId="0" xfId="266" applyFont="1" applyAlignment="1">
      <alignment horizontal="left" wrapText="1"/>
    </xf>
    <xf numFmtId="170" fontId="120" fillId="0" borderId="0" xfId="162" applyNumberFormat="1" applyFont="1" applyFill="1" applyBorder="1" applyAlignment="1">
      <alignment horizontal="center" wrapText="1"/>
    </xf>
    <xf numFmtId="170" fontId="107" fillId="0" borderId="0" xfId="162" applyNumberFormat="1" applyFont="1" applyFill="1" applyBorder="1" applyAlignment="1">
      <alignment horizontal="center" wrapText="1"/>
    </xf>
    <xf numFmtId="170" fontId="111" fillId="0" borderId="0" xfId="266" applyNumberFormat="1" applyFont="1" applyAlignment="1">
      <alignment horizontal="center" vertical="center" wrapText="1"/>
    </xf>
    <xf numFmtId="170" fontId="107" fillId="0" borderId="0" xfId="266" applyNumberFormat="1" applyFont="1" applyAlignment="1">
      <alignment horizontal="right" wrapText="1"/>
    </xf>
    <xf numFmtId="0" fontId="111" fillId="26" borderId="3" xfId="266" applyFont="1" applyFill="1" applyBorder="1" applyAlignment="1">
      <alignment horizontal="left" wrapText="1"/>
    </xf>
    <xf numFmtId="17" fontId="111" fillId="26" borderId="3" xfId="266" applyNumberFormat="1" applyFont="1" applyFill="1" applyBorder="1" applyAlignment="1">
      <alignment horizontal="center" vertical="center"/>
    </xf>
    <xf numFmtId="0" fontId="111" fillId="26" borderId="3" xfId="266" applyFont="1" applyFill="1" applyBorder="1" applyAlignment="1">
      <alignment horizontal="center" vertical="center"/>
    </xf>
    <xf numFmtId="17" fontId="113" fillId="0" borderId="0" xfId="266" applyNumberFormat="1" applyFont="1" applyAlignment="1">
      <alignment horizontal="center" vertical="center"/>
    </xf>
    <xf numFmtId="170" fontId="114" fillId="0" borderId="0" xfId="266" applyNumberFormat="1" applyFont="1" applyAlignment="1">
      <alignment horizontal="right" wrapText="1"/>
    </xf>
    <xf numFmtId="170" fontId="114" fillId="0" borderId="0" xfId="162" applyNumberFormat="1" applyFont="1" applyFill="1" applyBorder="1" applyAlignment="1">
      <alignment horizontal="center" wrapText="1"/>
    </xf>
    <xf numFmtId="170" fontId="113" fillId="0" borderId="0" xfId="162" applyNumberFormat="1" applyFont="1" applyFill="1" applyBorder="1" applyAlignment="1">
      <alignment horizontal="center"/>
    </xf>
    <xf numFmtId="258" fontId="113" fillId="0" borderId="0" xfId="267" applyNumberFormat="1" applyFont="1"/>
    <xf numFmtId="170" fontId="114" fillId="0" borderId="0" xfId="267" applyNumberFormat="1" applyFont="1"/>
    <xf numFmtId="170" fontId="113" fillId="0" borderId="0" xfId="267" applyNumberFormat="1" applyFont="1"/>
    <xf numFmtId="170" fontId="114" fillId="0" borderId="0" xfId="0" applyNumberFormat="1" applyFont="1"/>
    <xf numFmtId="0" fontId="107" fillId="0" borderId="0" xfId="267" applyFont="1"/>
    <xf numFmtId="0" fontId="111" fillId="0" borderId="41" xfId="266" applyFont="1" applyBorder="1"/>
    <xf numFmtId="170" fontId="111" fillId="0" borderId="42" xfId="162" applyNumberFormat="1" applyFont="1" applyFill="1" applyBorder="1" applyAlignment="1">
      <alignment horizontal="left" wrapText="1"/>
    </xf>
    <xf numFmtId="170" fontId="111" fillId="0" borderId="0" xfId="162" applyNumberFormat="1" applyFont="1" applyFill="1" applyBorder="1" applyAlignment="1">
      <alignment horizontal="center"/>
    </xf>
    <xf numFmtId="17" fontId="111" fillId="0" borderId="0" xfId="266" applyNumberFormat="1" applyFont="1" applyAlignment="1">
      <alignment horizontal="center" vertical="center" wrapText="1"/>
    </xf>
    <xf numFmtId="170" fontId="107" fillId="0" borderId="0" xfId="162" applyNumberFormat="1" applyFont="1" applyFill="1" applyBorder="1" applyAlignment="1">
      <alignment horizontal="center"/>
    </xf>
    <xf numFmtId="0" fontId="111" fillId="0" borderId="21" xfId="266" applyFont="1" applyBorder="1" applyAlignment="1">
      <alignment horizontal="left" wrapText="1"/>
    </xf>
    <xf numFmtId="17" fontId="111" fillId="0" borderId="27" xfId="266" applyNumberFormat="1" applyFont="1" applyBorder="1" applyAlignment="1">
      <alignment horizontal="center" vertical="center" wrapText="1"/>
    </xf>
    <xf numFmtId="0" fontId="111" fillId="0" borderId="21" xfId="267" applyFont="1" applyBorder="1"/>
    <xf numFmtId="258" fontId="111" fillId="0" borderId="27" xfId="267" applyNumberFormat="1" applyFont="1" applyBorder="1"/>
    <xf numFmtId="0" fontId="107" fillId="0" borderId="21" xfId="267" applyFont="1" applyBorder="1"/>
    <xf numFmtId="0" fontId="107" fillId="0" borderId="22" xfId="267" applyFont="1" applyBorder="1"/>
    <xf numFmtId="170" fontId="107" fillId="0" borderId="10" xfId="0" applyNumberFormat="1" applyFont="1" applyBorder="1"/>
    <xf numFmtId="0" fontId="107" fillId="0" borderId="28" xfId="266" applyFont="1" applyBorder="1"/>
    <xf numFmtId="0" fontId="113" fillId="26" borderId="40" xfId="266" applyFont="1" applyFill="1" applyBorder="1" applyAlignment="1">
      <alignment horizontal="left" wrapText="1"/>
    </xf>
    <xf numFmtId="17" fontId="111" fillId="26" borderId="49" xfId="266" applyNumberFormat="1" applyFont="1" applyFill="1" applyBorder="1" applyAlignment="1">
      <alignment horizontal="center" vertical="center" wrapText="1"/>
    </xf>
    <xf numFmtId="17" fontId="111" fillId="26" borderId="43" xfId="266" applyNumberFormat="1" applyFont="1" applyFill="1" applyBorder="1" applyAlignment="1">
      <alignment horizontal="center" vertical="center" wrapText="1"/>
    </xf>
    <xf numFmtId="0" fontId="111" fillId="26" borderId="40" xfId="266" applyFont="1" applyFill="1" applyBorder="1" applyAlignment="1">
      <alignment horizontal="left" wrapText="1"/>
    </xf>
    <xf numFmtId="15" fontId="111" fillId="26" borderId="46" xfId="266" applyNumberFormat="1" applyFont="1" applyFill="1" applyBorder="1" applyAlignment="1">
      <alignment horizontal="center" vertical="center"/>
    </xf>
    <xf numFmtId="0" fontId="111" fillId="26" borderId="20" xfId="266" applyFont="1" applyFill="1" applyBorder="1" applyAlignment="1">
      <alignment horizontal="center" vertical="center"/>
    </xf>
    <xf numFmtId="0" fontId="111" fillId="26" borderId="43" xfId="266" applyFont="1" applyFill="1" applyBorder="1" applyAlignment="1">
      <alignment horizontal="center" vertical="center" wrapText="1"/>
    </xf>
    <xf numFmtId="170" fontId="111" fillId="0" borderId="46" xfId="162" applyNumberFormat="1" applyFont="1" applyFill="1" applyBorder="1"/>
    <xf numFmtId="170" fontId="111" fillId="0" borderId="20" xfId="162" applyNumberFormat="1" applyFont="1" applyFill="1" applyBorder="1"/>
    <xf numFmtId="0" fontId="107" fillId="28" borderId="21" xfId="266" applyFont="1" applyFill="1" applyBorder="1"/>
    <xf numFmtId="9" fontId="116" fillId="0" borderId="27" xfId="543" applyFont="1" applyFill="1" applyBorder="1"/>
    <xf numFmtId="0" fontId="107" fillId="0" borderId="22" xfId="266" applyFont="1" applyBorder="1"/>
    <xf numFmtId="9" fontId="116" fillId="0" borderId="28" xfId="543" applyFont="1" applyFill="1" applyBorder="1"/>
    <xf numFmtId="0" fontId="111" fillId="26" borderId="40" xfId="266" applyFont="1" applyFill="1" applyBorder="1"/>
    <xf numFmtId="0" fontId="107" fillId="26" borderId="43" xfId="266" applyFont="1" applyFill="1" applyBorder="1"/>
    <xf numFmtId="43" fontId="111" fillId="0" borderId="0" xfId="162" applyFont="1" applyFill="1" applyBorder="1" applyAlignment="1">
      <alignment horizontal="center"/>
    </xf>
    <xf numFmtId="170" fontId="107" fillId="28" borderId="0" xfId="162" applyNumberFormat="1" applyFont="1" applyFill="1" applyBorder="1" applyAlignment="1">
      <alignment horizontal="center"/>
    </xf>
    <xf numFmtId="165" fontId="110" fillId="27" borderId="0" xfId="0" applyNumberFormat="1" applyFont="1" applyFill="1"/>
    <xf numFmtId="0" fontId="123" fillId="0" borderId="0" xfId="0" applyFont="1" applyAlignment="1">
      <alignment horizontal="left"/>
    </xf>
    <xf numFmtId="165" fontId="118" fillId="0" borderId="0" xfId="0" applyNumberFormat="1" applyFont="1"/>
    <xf numFmtId="0" fontId="118" fillId="0" borderId="0" xfId="0" applyFont="1"/>
    <xf numFmtId="165" fontId="124" fillId="0" borderId="0" xfId="0" applyNumberFormat="1" applyFont="1"/>
    <xf numFmtId="0" fontId="118" fillId="0" borderId="0" xfId="0" applyFont="1" applyAlignment="1">
      <alignment horizontal="left"/>
    </xf>
    <xf numFmtId="3" fontId="0" fillId="0" borderId="0" xfId="0" applyNumberFormat="1"/>
    <xf numFmtId="3" fontId="107" fillId="0" borderId="0" xfId="0" applyNumberFormat="1" applyFont="1"/>
    <xf numFmtId="3" fontId="111" fillId="0" borderId="0" xfId="0" applyNumberFormat="1" applyFont="1"/>
    <xf numFmtId="37" fontId="122" fillId="0" borderId="0" xfId="0" applyNumberFormat="1" applyFont="1"/>
    <xf numFmtId="0" fontId="125" fillId="0" borderId="0" xfId="0" applyFont="1"/>
    <xf numFmtId="0" fontId="47" fillId="0" borderId="0" xfId="0" applyFont="1"/>
    <xf numFmtId="165" fontId="126" fillId="0" borderId="0" xfId="0" applyNumberFormat="1" applyFont="1"/>
    <xf numFmtId="0" fontId="124" fillId="0" borderId="0" xfId="0" applyFont="1"/>
    <xf numFmtId="1" fontId="111" fillId="0" borderId="0" xfId="0" applyNumberFormat="1" applyFont="1" applyAlignment="1">
      <alignment horizontal="right"/>
    </xf>
    <xf numFmtId="0" fontId="107" fillId="32" borderId="0" xfId="0" applyFont="1" applyFill="1"/>
    <xf numFmtId="261" fontId="107" fillId="32" borderId="0" xfId="0" applyNumberFormat="1" applyFont="1" applyFill="1" applyAlignment="1">
      <alignment horizontal="right"/>
    </xf>
    <xf numFmtId="264" fontId="107" fillId="32" borderId="0" xfId="0" applyNumberFormat="1" applyFont="1" applyFill="1" applyAlignment="1">
      <alignment horizontal="right"/>
    </xf>
    <xf numFmtId="264" fontId="107" fillId="32" borderId="0" xfId="0" applyNumberFormat="1" applyFont="1" applyFill="1"/>
    <xf numFmtId="39" fontId="107" fillId="27" borderId="0" xfId="0" applyNumberFormat="1" applyFont="1" applyFill="1" applyAlignment="1">
      <alignment horizontal="right"/>
    </xf>
    <xf numFmtId="265" fontId="111" fillId="27" borderId="0" xfId="0" applyNumberFormat="1" applyFont="1" applyFill="1" applyAlignment="1">
      <alignment horizontal="right"/>
    </xf>
    <xf numFmtId="268" fontId="111" fillId="27" borderId="0" xfId="0" applyNumberFormat="1" applyFont="1" applyFill="1" applyAlignment="1">
      <alignment horizontal="right"/>
    </xf>
    <xf numFmtId="169" fontId="116" fillId="32" borderId="0" xfId="543" applyNumberFormat="1" applyFont="1" applyFill="1" applyAlignment="1">
      <alignment horizontal="right"/>
    </xf>
    <xf numFmtId="169" fontId="107" fillId="32" borderId="0" xfId="543" applyNumberFormat="1" applyFont="1" applyFill="1" applyAlignment="1">
      <alignment horizontal="right"/>
    </xf>
    <xf numFmtId="0" fontId="127" fillId="32" borderId="0" xfId="0" applyFont="1" applyFill="1" applyAlignment="1">
      <alignment horizontal="left" vertical="center"/>
    </xf>
    <xf numFmtId="0" fontId="111" fillId="33" borderId="0" xfId="0" applyFont="1" applyFill="1"/>
    <xf numFmtId="169" fontId="118" fillId="0" borderId="0" xfId="543" applyNumberFormat="1" applyFont="1" applyFill="1" applyBorder="1" applyAlignment="1">
      <alignment horizontal="left" indent="1"/>
    </xf>
    <xf numFmtId="172" fontId="118" fillId="0" borderId="0" xfId="162" applyNumberFormat="1" applyFont="1" applyFill="1" applyBorder="1"/>
    <xf numFmtId="169" fontId="118" fillId="0" borderId="0" xfId="543" applyNumberFormat="1" applyFont="1" applyFill="1" applyBorder="1"/>
    <xf numFmtId="0" fontId="107" fillId="0" borderId="0" xfId="0" applyFont="1" applyAlignment="1">
      <alignment vertical="top"/>
    </xf>
    <xf numFmtId="9" fontId="111" fillId="0" borderId="20" xfId="266" applyNumberFormat="1" applyFont="1" applyBorder="1"/>
    <xf numFmtId="170" fontId="111" fillId="0" borderId="19" xfId="266" applyNumberFormat="1" applyFont="1" applyBorder="1" applyAlignment="1">
      <alignment horizontal="left"/>
    </xf>
    <xf numFmtId="0" fontId="117" fillId="0" borderId="20" xfId="266" applyFont="1" applyBorder="1" applyAlignment="1">
      <alignment horizontal="right"/>
    </xf>
    <xf numFmtId="170" fontId="116" fillId="0" borderId="0" xfId="162" applyNumberFormat="1" applyFont="1" applyFill="1" applyBorder="1" applyAlignment="1">
      <alignment horizontal="center" wrapText="1"/>
    </xf>
    <xf numFmtId="0" fontId="111" fillId="32" borderId="0" xfId="0" applyFont="1" applyFill="1" applyAlignment="1">
      <alignment horizontal="left"/>
    </xf>
    <xf numFmtId="257" fontId="111" fillId="0" borderId="0" xfId="0" applyNumberFormat="1" applyFont="1" applyAlignment="1">
      <alignment horizontal="left" indent="2"/>
    </xf>
    <xf numFmtId="0" fontId="111" fillId="0" borderId="0" xfId="0" applyFont="1" applyAlignment="1">
      <alignment horizontal="left" indent="2"/>
    </xf>
    <xf numFmtId="266" fontId="111" fillId="0" borderId="0" xfId="0" applyNumberFormat="1" applyFont="1" applyAlignment="1">
      <alignment horizontal="left" indent="2"/>
    </xf>
    <xf numFmtId="0" fontId="111" fillId="0" borderId="0" xfId="267" applyFont="1"/>
    <xf numFmtId="170" fontId="111" fillId="0" borderId="0" xfId="0" applyNumberFormat="1" applyFont="1"/>
    <xf numFmtId="170" fontId="111" fillId="0" borderId="0" xfId="162" applyNumberFormat="1" applyFont="1" applyFill="1" applyBorder="1" applyAlignment="1">
      <alignment horizontal="center" wrapText="1"/>
    </xf>
    <xf numFmtId="170" fontId="113" fillId="0" borderId="0" xfId="0" applyNumberFormat="1" applyFont="1"/>
    <xf numFmtId="0" fontId="111" fillId="0" borderId="22" xfId="267" applyFont="1" applyBorder="1"/>
    <xf numFmtId="170" fontId="111" fillId="0" borderId="10" xfId="0" applyNumberFormat="1" applyFont="1" applyBorder="1"/>
    <xf numFmtId="17" fontId="111" fillId="27" borderId="3" xfId="266" applyNumberFormat="1" applyFont="1" applyFill="1" applyBorder="1" applyAlignment="1">
      <alignment horizontal="left" vertical="center" wrapText="1"/>
    </xf>
    <xf numFmtId="0" fontId="111" fillId="27" borderId="3" xfId="266" applyFont="1" applyFill="1" applyBorder="1" applyAlignment="1">
      <alignment horizontal="left"/>
    </xf>
    <xf numFmtId="17" fontId="111" fillId="0" borderId="0" xfId="266" applyNumberFormat="1" applyFont="1" applyAlignment="1">
      <alignment horizontal="left" vertical="center" wrapText="1"/>
    </xf>
    <xf numFmtId="0" fontId="111" fillId="0" borderId="0" xfId="266" applyFont="1" applyAlignment="1">
      <alignment horizontal="left"/>
    </xf>
    <xf numFmtId="165" fontId="110" fillId="0" borderId="0" xfId="0" applyNumberFormat="1" applyFont="1" applyAlignment="1">
      <alignment horizontal="right" vertical="center" wrapText="1"/>
    </xf>
  </cellXfs>
  <cellStyles count="896">
    <cellStyle name="$" xfId="1" xr:uid="{00000000-0005-0000-0000-000000000000}"/>
    <cellStyle name="$_TSA Model - 1 8 06 - v2" xfId="2" xr:uid="{00000000-0005-0000-0000-000001000000}"/>
    <cellStyle name="%" xfId="3" xr:uid="{00000000-0005-0000-0000-000002000000}"/>
    <cellStyle name=";;;" xfId="4" xr:uid="{00000000-0005-0000-0000-000003000000}"/>
    <cellStyle name="_%(SignOnly)" xfId="5" xr:uid="{00000000-0005-0000-0000-000004000000}"/>
    <cellStyle name="_%(SignSpaceOnly)" xfId="6" xr:uid="{00000000-0005-0000-0000-000005000000}"/>
    <cellStyle name="_0% CADR" xfId="7" xr:uid="{00000000-0005-0000-0000-000006000000}"/>
    <cellStyle name="_0% IRR" xfId="8" xr:uid="{00000000-0005-0000-0000-000007000000}"/>
    <cellStyle name="_1% CADR" xfId="9" xr:uid="{00000000-0005-0000-0000-000008000000}"/>
    <cellStyle name="_10% CADR" xfId="10" xr:uid="{00000000-0005-0000-0000-000009000000}"/>
    <cellStyle name="_10% CDR" xfId="11" xr:uid="{00000000-0005-0000-0000-00000A000000}"/>
    <cellStyle name="_11% CADR" xfId="12" xr:uid="{00000000-0005-0000-0000-00000B000000}"/>
    <cellStyle name="_12% CADR" xfId="13" xr:uid="{00000000-0005-0000-0000-00000C000000}"/>
    <cellStyle name="_12% CDR" xfId="14" xr:uid="{00000000-0005-0000-0000-00000D000000}"/>
    <cellStyle name="_13% CADR" xfId="15" xr:uid="{00000000-0005-0000-0000-00000E000000}"/>
    <cellStyle name="_14% CADR" xfId="16" xr:uid="{00000000-0005-0000-0000-00000F000000}"/>
    <cellStyle name="_14% CDR" xfId="17" xr:uid="{00000000-0005-0000-0000-000010000000}"/>
    <cellStyle name="_16% CDR" xfId="18" xr:uid="{00000000-0005-0000-0000-000011000000}"/>
    <cellStyle name="_18% CDR" xfId="19" xr:uid="{00000000-0005-0000-0000-000012000000}"/>
    <cellStyle name="_19.6% CDR BBB Break In Yield" xfId="20" xr:uid="{00000000-0005-0000-0000-000013000000}"/>
    <cellStyle name="_2% CADR" xfId="21" xr:uid="{00000000-0005-0000-0000-000014000000}"/>
    <cellStyle name="_20% CDR" xfId="22" xr:uid="{00000000-0005-0000-0000-000015000000}"/>
    <cellStyle name="_21.5% CDR BBB Break In Yield" xfId="23" xr:uid="{00000000-0005-0000-0000-000016000000}"/>
    <cellStyle name="_3% CADR" xfId="24" xr:uid="{00000000-0005-0000-0000-000017000000}"/>
    <cellStyle name="_3% CDR" xfId="25" xr:uid="{00000000-0005-0000-0000-000018000000}"/>
    <cellStyle name="_4% CADR" xfId="26" xr:uid="{00000000-0005-0000-0000-000019000000}"/>
    <cellStyle name="_5% CADR" xfId="27" xr:uid="{00000000-0005-0000-0000-00001A000000}"/>
    <cellStyle name="_5% CDR" xfId="28" xr:uid="{00000000-0005-0000-0000-00001B000000}"/>
    <cellStyle name="_6% CADR" xfId="29" xr:uid="{00000000-0005-0000-0000-00001C000000}"/>
    <cellStyle name="_7% CADR" xfId="30" xr:uid="{00000000-0005-0000-0000-00001D000000}"/>
    <cellStyle name="_7% CDR" xfId="31" xr:uid="{00000000-0005-0000-0000-00001E000000}"/>
    <cellStyle name="_8% CADR" xfId="32" xr:uid="{00000000-0005-0000-0000-00001F000000}"/>
    <cellStyle name="_8.0% CDR BB Break In Yield" xfId="33" xr:uid="{00000000-0005-0000-0000-000020000000}"/>
    <cellStyle name="_8.1% CDR BB Break In Yield" xfId="34" xr:uid="{00000000-0005-0000-0000-000021000000}"/>
    <cellStyle name="_9% CADR" xfId="35" xr:uid="{00000000-0005-0000-0000-000022000000}"/>
    <cellStyle name="_Assets" xfId="36" xr:uid="{00000000-0005-0000-0000-000023000000}"/>
    <cellStyle name="_Assets_1" xfId="37" xr:uid="{00000000-0005-0000-0000-000024000000}"/>
    <cellStyle name="_Assets_1_COMPS - B2B Publishers" xfId="38" xr:uid="{00000000-0005-0000-0000-000025000000}"/>
    <cellStyle name="_Assets_1_COMPS - Directories" xfId="39" xr:uid="{00000000-0005-0000-0000-000026000000}"/>
    <cellStyle name="_Assets_1_F&amp;W Servicing Model" xfId="40" xr:uid="{00000000-0005-0000-0000-000027000000}"/>
    <cellStyle name="_Assets_1_F&amp;W Servicing Model v2" xfId="41" xr:uid="{00000000-0005-0000-0000-000028000000}"/>
    <cellStyle name="_Assets_1_S&amp;P Analysis" xfId="42" xr:uid="{00000000-0005-0000-0000-000029000000}"/>
    <cellStyle name="_Assets_1_Univision Annual Model" xfId="43" xr:uid="{00000000-0005-0000-0000-00002A000000}"/>
    <cellStyle name="_Assets_1_Yell Servicing Model" xfId="44" xr:uid="{00000000-0005-0000-0000-00002B000000}"/>
    <cellStyle name="_Assets_S&amp;P Analysis" xfId="45" xr:uid="{00000000-0005-0000-0000-00002C000000}"/>
    <cellStyle name="_Assets_S&amp;P Analysis_COMPS - B2B Publishers" xfId="46" xr:uid="{00000000-0005-0000-0000-00002D000000}"/>
    <cellStyle name="_Assets_S&amp;P Analysis_COMPS - Directories" xfId="47" xr:uid="{00000000-0005-0000-0000-00002E000000}"/>
    <cellStyle name="_Assets_S&amp;P Analysis_F&amp;W Servicing Model" xfId="48" xr:uid="{00000000-0005-0000-0000-00002F000000}"/>
    <cellStyle name="_Assets_S&amp;P Analysis_F&amp;W Servicing Model v2" xfId="49" xr:uid="{00000000-0005-0000-0000-000030000000}"/>
    <cellStyle name="_Assets_S&amp;P Analysis_Univision Annual Model" xfId="50" xr:uid="{00000000-0005-0000-0000-000031000000}"/>
    <cellStyle name="_Assets_S&amp;P Analysis_Yell Servicing Model" xfId="51" xr:uid="{00000000-0005-0000-0000-000032000000}"/>
    <cellStyle name="_Assumptions" xfId="52" xr:uid="{00000000-0005-0000-0000-000033000000}"/>
    <cellStyle name="_Assumptions_1" xfId="53" xr:uid="{00000000-0005-0000-0000-000034000000}"/>
    <cellStyle name="_Assumptions_1_COMPS - B2B Publishers" xfId="54" xr:uid="{00000000-0005-0000-0000-000035000000}"/>
    <cellStyle name="_Assumptions_1_COMPS - Directories" xfId="55" xr:uid="{00000000-0005-0000-0000-000036000000}"/>
    <cellStyle name="_Assumptions_1_F&amp;W Servicing Model" xfId="56" xr:uid="{00000000-0005-0000-0000-000037000000}"/>
    <cellStyle name="_Assumptions_1_F&amp;W Servicing Model v2" xfId="57" xr:uid="{00000000-0005-0000-0000-000038000000}"/>
    <cellStyle name="_Assumptions_1_Univision Annual Model" xfId="58" xr:uid="{00000000-0005-0000-0000-000039000000}"/>
    <cellStyle name="_Assumptions_1_Yell Servicing Model" xfId="59" xr:uid="{00000000-0005-0000-0000-00003A000000}"/>
    <cellStyle name="_Blue Mountain TRS (7-5-05)" xfId="60" xr:uid="{00000000-0005-0000-0000-00003B000000}"/>
    <cellStyle name="_Book2" xfId="61" xr:uid="{00000000-0005-0000-0000-00003C000000}"/>
    <cellStyle name="_CDO of CDO" xfId="62" xr:uid="{00000000-0005-0000-0000-00003D000000}"/>
    <cellStyle name="_CLO Portfolio 10_07_2005" xfId="63" xr:uid="{00000000-0005-0000-0000-00003E000000}"/>
    <cellStyle name="_Comma" xfId="64" xr:uid="{00000000-0005-0000-0000-00003F000000}"/>
    <cellStyle name="_Comma_dcf" xfId="65" xr:uid="{00000000-0005-0000-0000-000040000000}"/>
    <cellStyle name="_Currency" xfId="66" xr:uid="{00000000-0005-0000-0000-000041000000}"/>
    <cellStyle name="_Currency_dcf" xfId="67" xr:uid="{00000000-0005-0000-0000-000042000000}"/>
    <cellStyle name="_CurrencySpace" xfId="68" xr:uid="{00000000-0005-0000-0000-000043000000}"/>
    <cellStyle name="_CurrencySpace_dcf" xfId="69" xr:uid="{00000000-0005-0000-0000-000044000000}"/>
    <cellStyle name="_Euro" xfId="70" xr:uid="{00000000-0005-0000-0000-000045000000}"/>
    <cellStyle name="_EV8 Assumption List" xfId="71" xr:uid="{00000000-0005-0000-0000-000046000000}"/>
    <cellStyle name="_Exhibit I Babson Warehouse 2006-II CLO 8 18 06" xfId="72" xr:uid="{00000000-0005-0000-0000-000047000000}"/>
    <cellStyle name="_First PIK" xfId="73" xr:uid="{00000000-0005-0000-0000-000048000000}"/>
    <cellStyle name="_Galaxy VI CLO - WestLB Request" xfId="74" xr:uid="{00000000-0005-0000-0000-000049000000}"/>
    <cellStyle name="_Heading" xfId="75" xr:uid="{00000000-0005-0000-0000-00004A000000}"/>
    <cellStyle name="_Heading_prestemp" xfId="76" xr:uid="{00000000-0005-0000-0000-00004B000000}"/>
    <cellStyle name="_Highlight" xfId="77" xr:uid="{00000000-0005-0000-0000-00004C000000}"/>
    <cellStyle name="_Model FINAL (2)" xfId="78" xr:uid="{00000000-0005-0000-0000-00004D000000}"/>
    <cellStyle name="_Multiple" xfId="79" xr:uid="{00000000-0005-0000-0000-00004E000000}"/>
    <cellStyle name="_Multiple_dcf" xfId="80" xr:uid="{00000000-0005-0000-0000-00004F000000}"/>
    <cellStyle name="_MultipleSpace" xfId="81" xr:uid="{00000000-0005-0000-0000-000050000000}"/>
    <cellStyle name="_MultipleSpace_dcf" xfId="82" xr:uid="{00000000-0005-0000-0000-000051000000}"/>
    <cellStyle name="_Other Defafult Scenario 1" xfId="83" xr:uid="{00000000-0005-0000-0000-000052000000}"/>
    <cellStyle name="_Other Default Scenario 2" xfId="84" xr:uid="{00000000-0005-0000-0000-000053000000}"/>
    <cellStyle name="_Percent" xfId="85" xr:uid="{00000000-0005-0000-0000-000054000000}"/>
    <cellStyle name="_PercentSpace" xfId="86" xr:uid="{00000000-0005-0000-0000-000055000000}"/>
    <cellStyle name="_Port" xfId="87" xr:uid="{00000000-0005-0000-0000-000056000000}"/>
    <cellStyle name="_Port For S&amp;P" xfId="88" xr:uid="{00000000-0005-0000-0000-000057000000}"/>
    <cellStyle name="_Port_COMPS - B2B Publishers" xfId="89" xr:uid="{00000000-0005-0000-0000-000058000000}"/>
    <cellStyle name="_Port_COMPS - Directories" xfId="90" xr:uid="{00000000-0005-0000-0000-000059000000}"/>
    <cellStyle name="_Port_F&amp;W Servicing Model" xfId="91" xr:uid="{00000000-0005-0000-0000-00005A000000}"/>
    <cellStyle name="_Port_F&amp;W Servicing Model v2" xfId="92" xr:uid="{00000000-0005-0000-0000-00005B000000}"/>
    <cellStyle name="_Port_Univision Annual Model" xfId="93" xr:uid="{00000000-0005-0000-0000-00005C000000}"/>
    <cellStyle name="_Port_Yell Servicing Model" xfId="94" xr:uid="{00000000-0005-0000-0000-00005D000000}"/>
    <cellStyle name="_Pro Forma TTM 9.30.07 (CW NEIRB Acquisition)" xfId="95" xr:uid="{00000000-0005-0000-0000-00005E000000}"/>
    <cellStyle name="_S&amp;P Analysis" xfId="96" xr:uid="{00000000-0005-0000-0000-00005F000000}"/>
    <cellStyle name="_S&amp;P Analysis_COMPS - B2B Publishers" xfId="97" xr:uid="{00000000-0005-0000-0000-000060000000}"/>
    <cellStyle name="_S&amp;P Analysis_COMPS - Directories" xfId="98" xr:uid="{00000000-0005-0000-0000-000061000000}"/>
    <cellStyle name="_S&amp;P Analysis_F&amp;W Servicing Model" xfId="99" xr:uid="{00000000-0005-0000-0000-000062000000}"/>
    <cellStyle name="_S&amp;P Analysis_F&amp;W Servicing Model v2" xfId="100" xr:uid="{00000000-0005-0000-0000-000063000000}"/>
    <cellStyle name="_S&amp;P Analysis_Univision Annual Model" xfId="101" xr:uid="{00000000-0005-0000-0000-000064000000}"/>
    <cellStyle name="_S&amp;P Analysis_Yell Servicing Model" xfId="102" xr:uid="{00000000-0005-0000-0000-000065000000}"/>
    <cellStyle name="_S&amp;P Hypothetical Port Summary" xfId="103" xr:uid="{00000000-0005-0000-0000-000066000000}"/>
    <cellStyle name="_S&amp;P Port 80Div_2099WARF" xfId="104" xr:uid="{00000000-0005-0000-0000-000067000000}"/>
    <cellStyle name="_S&amp;P Stress Scenarios" xfId="105" xr:uid="{00000000-0005-0000-0000-000068000000}"/>
    <cellStyle name="_Sources and Uses" xfId="106" xr:uid="{00000000-0005-0000-0000-000069000000}"/>
    <cellStyle name="_SubHeading" xfId="107" xr:uid="{00000000-0005-0000-0000-00006A000000}"/>
    <cellStyle name="_SubHeading_prestemp" xfId="108" xr:uid="{00000000-0005-0000-0000-00006B000000}"/>
    <cellStyle name="_Table" xfId="109" xr:uid="{00000000-0005-0000-0000-00006C000000}"/>
    <cellStyle name="_TableHead" xfId="110" xr:uid="{00000000-0005-0000-0000-00006D000000}"/>
    <cellStyle name="_TableRowHead" xfId="111" xr:uid="{00000000-0005-0000-0000-00006E000000}"/>
    <cellStyle name="_TableSuperHead" xfId="112" xr:uid="{00000000-0005-0000-0000-00006F000000}"/>
    <cellStyle name="£Currency [0]" xfId="113" xr:uid="{00000000-0005-0000-0000-000070000000}"/>
    <cellStyle name="£Currency [1]" xfId="114" xr:uid="{00000000-0005-0000-0000-000071000000}"/>
    <cellStyle name="£Currency [2]" xfId="115" xr:uid="{00000000-0005-0000-0000-000072000000}"/>
    <cellStyle name="£Currency [p]" xfId="116" xr:uid="{00000000-0005-0000-0000-000073000000}"/>
    <cellStyle name="£Currency [p2]" xfId="117" xr:uid="{00000000-0005-0000-0000-000074000000}"/>
    <cellStyle name="£Pounds" xfId="118" xr:uid="{00000000-0005-0000-0000-000075000000}"/>
    <cellStyle name="Accounting $" xfId="119" xr:uid="{00000000-0005-0000-0000-000076000000}"/>
    <cellStyle name="Across" xfId="120" xr:uid="{00000000-0005-0000-0000-000077000000}"/>
    <cellStyle name="Adjustable" xfId="121" xr:uid="{00000000-0005-0000-0000-000078000000}"/>
    <cellStyle name="AFE" xfId="122" xr:uid="{00000000-0005-0000-0000-000079000000}"/>
    <cellStyle name="Andre's Title" xfId="123" xr:uid="{00000000-0005-0000-0000-00007A000000}"/>
    <cellStyle name="args.style" xfId="124" xr:uid="{00000000-0005-0000-0000-00007B000000}"/>
    <cellStyle name="Arial 10" xfId="125" xr:uid="{00000000-0005-0000-0000-00007C000000}"/>
    <cellStyle name="Arial 12" xfId="126" xr:uid="{00000000-0005-0000-0000-00007D000000}"/>
    <cellStyle name="Best" xfId="127" xr:uid="{00000000-0005-0000-0000-00007E000000}"/>
    <cellStyle name="Blank [$]" xfId="128" xr:uid="{00000000-0005-0000-0000-00007F000000}"/>
    <cellStyle name="Blank [,]" xfId="129" xr:uid="{00000000-0005-0000-0000-000080000000}"/>
    <cellStyle name="BlankedZeros" xfId="130" xr:uid="{00000000-0005-0000-0000-000081000000}"/>
    <cellStyle name="blp_column_header" xfId="131" xr:uid="{00000000-0005-0000-0000-000082000000}"/>
    <cellStyle name="Blue" xfId="132" xr:uid="{00000000-0005-0000-0000-000083000000}"/>
    <cellStyle name="bluepercent" xfId="133" xr:uid="{00000000-0005-0000-0000-000084000000}"/>
    <cellStyle name="Body" xfId="134" xr:uid="{00000000-0005-0000-0000-000085000000}"/>
    <cellStyle name="Bold" xfId="135" xr:uid="{00000000-0005-0000-0000-000086000000}"/>
    <cellStyle name="BoldItalic" xfId="136" xr:uid="{00000000-0005-0000-0000-000087000000}"/>
    <cellStyle name="Bottom" xfId="137" xr:uid="{00000000-0005-0000-0000-000088000000}"/>
    <cellStyle name="Bottom Edge" xfId="138" xr:uid="{00000000-0005-0000-0000-000089000000}"/>
    <cellStyle name="British Pound" xfId="139" xr:uid="{00000000-0005-0000-0000-00008A000000}"/>
    <cellStyle name="Business Description" xfId="140" xr:uid="{00000000-0005-0000-0000-00008B000000}"/>
    <cellStyle name="c" xfId="141" xr:uid="{00000000-0005-0000-0000-00008C000000}"/>
    <cellStyle name="Calc Currency (0)" xfId="142" xr:uid="{00000000-0005-0000-0000-00008D000000}"/>
    <cellStyle name="Calc Currency (2)" xfId="143" xr:uid="{00000000-0005-0000-0000-00008E000000}"/>
    <cellStyle name="Calc Percent (0)" xfId="144" xr:uid="{00000000-0005-0000-0000-00008F000000}"/>
    <cellStyle name="Calc Percent (1)" xfId="145" xr:uid="{00000000-0005-0000-0000-000090000000}"/>
    <cellStyle name="Calc Percent (2)" xfId="146" xr:uid="{00000000-0005-0000-0000-000091000000}"/>
    <cellStyle name="Calc Units (0)" xfId="147" xr:uid="{00000000-0005-0000-0000-000092000000}"/>
    <cellStyle name="Calc Units (1)" xfId="148" xr:uid="{00000000-0005-0000-0000-000093000000}"/>
    <cellStyle name="Calc Units (2)" xfId="149" xr:uid="{00000000-0005-0000-0000-000094000000}"/>
    <cellStyle name="Case" xfId="150" xr:uid="{00000000-0005-0000-0000-000095000000}"/>
    <cellStyle name="cc" xfId="151" xr:uid="{00000000-0005-0000-0000-000096000000}"/>
    <cellStyle name="Center" xfId="152" xr:uid="{00000000-0005-0000-0000-000097000000}"/>
    <cellStyle name="CenterBold" xfId="153" xr:uid="{00000000-0005-0000-0000-000098000000}"/>
    <cellStyle name="CenterItalic" xfId="154" xr:uid="{00000000-0005-0000-0000-000099000000}"/>
    <cellStyle name="Cents" xfId="155" xr:uid="{00000000-0005-0000-0000-00009A000000}"/>
    <cellStyle name="ChartingText" xfId="156" xr:uid="{00000000-0005-0000-0000-00009B000000}"/>
    <cellStyle name="Co. Names" xfId="157" xr:uid="{00000000-0005-0000-0000-00009C000000}"/>
    <cellStyle name="Co. Names - Bold" xfId="158" xr:uid="{00000000-0005-0000-0000-00009D000000}"/>
    <cellStyle name="Co. Names_Break-Up" xfId="159" xr:uid="{00000000-0005-0000-0000-00009E000000}"/>
    <cellStyle name="COL HEADINGS" xfId="160" xr:uid="{00000000-0005-0000-0000-00009F000000}"/>
    <cellStyle name="ColumnHeaderNormal" xfId="161" xr:uid="{00000000-0005-0000-0000-0000A0000000}"/>
    <cellStyle name="Comma" xfId="162" builtinId="3"/>
    <cellStyle name="Comma  - Style1" xfId="163" xr:uid="{00000000-0005-0000-0000-0000A2000000}"/>
    <cellStyle name="Comma  - Style2" xfId="164" xr:uid="{00000000-0005-0000-0000-0000A3000000}"/>
    <cellStyle name="Comma  - Style3" xfId="165" xr:uid="{00000000-0005-0000-0000-0000A4000000}"/>
    <cellStyle name="Comma  - Style4" xfId="166" xr:uid="{00000000-0005-0000-0000-0000A5000000}"/>
    <cellStyle name="Comma  - Style5" xfId="167" xr:uid="{00000000-0005-0000-0000-0000A6000000}"/>
    <cellStyle name="Comma  - Style6" xfId="168" xr:uid="{00000000-0005-0000-0000-0000A7000000}"/>
    <cellStyle name="Comma  - Style7" xfId="169" xr:uid="{00000000-0005-0000-0000-0000A8000000}"/>
    <cellStyle name="Comma  - Style8" xfId="170" xr:uid="{00000000-0005-0000-0000-0000A9000000}"/>
    <cellStyle name="Comma [0]; --" xfId="171" xr:uid="{00000000-0005-0000-0000-0000AA000000}"/>
    <cellStyle name="Comma [00]" xfId="172" xr:uid="{00000000-0005-0000-0000-0000AB000000}"/>
    <cellStyle name="Comma [1]" xfId="173" xr:uid="{00000000-0005-0000-0000-0000AC000000}"/>
    <cellStyle name="Comma Cents" xfId="174" xr:uid="{00000000-0005-0000-0000-0000AD000000}"/>
    <cellStyle name="Comma0" xfId="175" xr:uid="{00000000-0005-0000-0000-0000AE000000}"/>
    <cellStyle name="Commas" xfId="176" xr:uid="{00000000-0005-0000-0000-0000AF000000}"/>
    <cellStyle name="CommasBold" xfId="177" xr:uid="{00000000-0005-0000-0000-0000B0000000}"/>
    <cellStyle name="CompanyTitle" xfId="178" xr:uid="{00000000-0005-0000-0000-0000B1000000}"/>
    <cellStyle name="Copied" xfId="179" xr:uid="{00000000-0005-0000-0000-0000B2000000}"/>
    <cellStyle name="Currency $" xfId="180" xr:uid="{00000000-0005-0000-0000-0000B3000000}"/>
    <cellStyle name="Currency [0]; --" xfId="181" xr:uid="{00000000-0005-0000-0000-0000B4000000}"/>
    <cellStyle name="Currency [00]" xfId="182" xr:uid="{00000000-0005-0000-0000-0000B5000000}"/>
    <cellStyle name="Currency [1]" xfId="183" xr:uid="{00000000-0005-0000-0000-0000B6000000}"/>
    <cellStyle name="Currency [2]" xfId="184" xr:uid="{00000000-0005-0000-0000-0000B7000000}"/>
    <cellStyle name="data" xfId="185" xr:uid="{00000000-0005-0000-0000-0000B8000000}"/>
    <cellStyle name="Date" xfId="186" xr:uid="{00000000-0005-0000-0000-0000B9000000}"/>
    <cellStyle name="Date Short" xfId="187" xr:uid="{00000000-0005-0000-0000-0000BA000000}"/>
    <cellStyle name="Date_COMPS - Directories" xfId="188" xr:uid="{00000000-0005-0000-0000-0000BB000000}"/>
    <cellStyle name="DateLeftBold" xfId="189" xr:uid="{00000000-0005-0000-0000-0000BC000000}"/>
    <cellStyle name="Default" xfId="190" xr:uid="{00000000-0005-0000-0000-0000BD000000}"/>
    <cellStyle name="DELTA" xfId="191" xr:uid="{00000000-0005-0000-0000-0000BE000000}"/>
    <cellStyle name="Dollars" xfId="192" xr:uid="{00000000-0005-0000-0000-0000BF000000}"/>
    <cellStyle name="Dollars []" xfId="193" xr:uid="{00000000-0005-0000-0000-0000C0000000}"/>
    <cellStyle name="Dollars_Pro Forma TTM 9.30.07 (CW NEIRB Acquisition)" xfId="194" xr:uid="{00000000-0005-0000-0000-0000C1000000}"/>
    <cellStyle name="Double" xfId="195" xr:uid="{00000000-0005-0000-0000-0000C2000000}"/>
    <cellStyle name="Double Accounting" xfId="196" xr:uid="{00000000-0005-0000-0000-0000C3000000}"/>
    <cellStyle name="Enter Currency (0)" xfId="197" xr:uid="{00000000-0005-0000-0000-0000C4000000}"/>
    <cellStyle name="Enter Currency (2)" xfId="198" xr:uid="{00000000-0005-0000-0000-0000C5000000}"/>
    <cellStyle name="Enter Units (0)" xfId="199" xr:uid="{00000000-0005-0000-0000-0000C6000000}"/>
    <cellStyle name="Enter Units (1)" xfId="200" xr:uid="{00000000-0005-0000-0000-0000C7000000}"/>
    <cellStyle name="Enter Units (2)" xfId="201" xr:uid="{00000000-0005-0000-0000-0000C8000000}"/>
    <cellStyle name="Entered" xfId="202" xr:uid="{00000000-0005-0000-0000-0000C9000000}"/>
    <cellStyle name="Euro" xfId="203" xr:uid="{00000000-0005-0000-0000-0000CA000000}"/>
    <cellStyle name="Fit" xfId="204" xr:uid="{00000000-0005-0000-0000-0000CB000000}"/>
    <cellStyle name="Footer" xfId="205" xr:uid="{00000000-0005-0000-0000-0000CC000000}"/>
    <cellStyle name="Footnotes" xfId="206" xr:uid="{00000000-0005-0000-0000-0000CD000000}"/>
    <cellStyle name="Grey" xfId="207" xr:uid="{00000000-0005-0000-0000-0000CE000000}"/>
    <cellStyle name="GreybarHeader" xfId="208" xr:uid="{00000000-0005-0000-0000-0000CF000000}"/>
    <cellStyle name="Grouped Head" xfId="209" xr:uid="{00000000-0005-0000-0000-0000D0000000}"/>
    <cellStyle name="h" xfId="210" xr:uid="{00000000-0005-0000-0000-0000D1000000}"/>
    <cellStyle name="HAlignCenter" xfId="211" xr:uid="{00000000-0005-0000-0000-0000D2000000}"/>
    <cellStyle name="HAlignLeft" xfId="212" xr:uid="{00000000-0005-0000-0000-0000D3000000}"/>
    <cellStyle name="HAlignRight" xfId="213" xr:uid="{00000000-0005-0000-0000-0000D4000000}"/>
    <cellStyle name="Head 1" xfId="214" xr:uid="{00000000-0005-0000-0000-0000D5000000}"/>
    <cellStyle name="Header" xfId="215" xr:uid="{00000000-0005-0000-0000-0000D6000000}"/>
    <cellStyle name="Header1" xfId="216" xr:uid="{00000000-0005-0000-0000-0000D7000000}"/>
    <cellStyle name="Header2" xfId="217" xr:uid="{00000000-0005-0000-0000-0000D8000000}"/>
    <cellStyle name="headers" xfId="218" xr:uid="{00000000-0005-0000-0000-0000D9000000}"/>
    <cellStyle name="Heading" xfId="219" xr:uid="{00000000-0005-0000-0000-0000DA000000}"/>
    <cellStyle name="HEADINGS" xfId="220" xr:uid="{00000000-0005-0000-0000-0000DB000000}"/>
    <cellStyle name="HEADINGSTOP" xfId="221" xr:uid="{00000000-0005-0000-0000-0000DC000000}"/>
    <cellStyle name="imput" xfId="222" xr:uid="{00000000-0005-0000-0000-0000DE000000}"/>
    <cellStyle name="Input [yellow]" xfId="223" xr:uid="{00000000-0005-0000-0000-0000DF000000}"/>
    <cellStyle name="Invisible" xfId="224" xr:uid="{00000000-0005-0000-0000-0000E0000000}"/>
    <cellStyle name="ItalicHeader" xfId="225" xr:uid="{00000000-0005-0000-0000-0000E1000000}"/>
    <cellStyle name="Item Descriptions" xfId="226" xr:uid="{00000000-0005-0000-0000-0000E2000000}"/>
    <cellStyle name="Item Descriptions - Bold" xfId="227" xr:uid="{00000000-0005-0000-0000-0000E3000000}"/>
    <cellStyle name="Item Descriptions_6079BX" xfId="228" xr:uid="{00000000-0005-0000-0000-0000E4000000}"/>
    <cellStyle name="Left" xfId="229" xr:uid="{00000000-0005-0000-0000-0000E5000000}"/>
    <cellStyle name="LeftBold" xfId="230" xr:uid="{00000000-0005-0000-0000-0000E6000000}"/>
    <cellStyle name="LeftBoldBottomRule" xfId="231" xr:uid="{00000000-0005-0000-0000-0000E7000000}"/>
    <cellStyle name="LeftBoldCenterRule" xfId="232" xr:uid="{00000000-0005-0000-0000-0000E8000000}"/>
    <cellStyle name="Line" xfId="233" xr:uid="{00000000-0005-0000-0000-0000E9000000}"/>
    <cellStyle name="Link Currency (0)" xfId="234" xr:uid="{00000000-0005-0000-0000-0000EA000000}"/>
    <cellStyle name="Link Currency (2)" xfId="235" xr:uid="{00000000-0005-0000-0000-0000EB000000}"/>
    <cellStyle name="Link Units (0)" xfId="236" xr:uid="{00000000-0005-0000-0000-0000EC000000}"/>
    <cellStyle name="Link Units (1)" xfId="237" xr:uid="{00000000-0005-0000-0000-0000ED000000}"/>
    <cellStyle name="Link Units (2)" xfId="238" xr:uid="{00000000-0005-0000-0000-0000EE000000}"/>
    <cellStyle name="locked" xfId="239" xr:uid="{00000000-0005-0000-0000-0000EF000000}"/>
    <cellStyle name="m&amp;a" xfId="240" xr:uid="{00000000-0005-0000-0000-0000F0000000}"/>
    <cellStyle name="Map Labels" xfId="241" xr:uid="{00000000-0005-0000-0000-0000F1000000}"/>
    <cellStyle name="Map Legend" xfId="242" xr:uid="{00000000-0005-0000-0000-0000F2000000}"/>
    <cellStyle name="Merrill" xfId="243" xr:uid="{00000000-0005-0000-0000-0000F3000000}"/>
    <cellStyle name="Millares_Inv Detail A7" xfId="244" xr:uid="{00000000-0005-0000-0000-0000F4000000}"/>
    <cellStyle name="Milliers [0]_r00SC" xfId="245" xr:uid="{00000000-0005-0000-0000-0000F5000000}"/>
    <cellStyle name="Milliers_r00SC" xfId="246" xr:uid="{00000000-0005-0000-0000-0000F6000000}"/>
    <cellStyle name="Mix" xfId="247" xr:uid="{00000000-0005-0000-0000-0000F7000000}"/>
    <cellStyle name="mon" xfId="248" xr:uid="{00000000-0005-0000-0000-0000F8000000}"/>
    <cellStyle name="Monétaire [0]_r00SC" xfId="249" xr:uid="{00000000-0005-0000-0000-0000F9000000}"/>
    <cellStyle name="Monétaire_r00SC" xfId="250" xr:uid="{00000000-0005-0000-0000-0000FA000000}"/>
    <cellStyle name="Money" xfId="251" xr:uid="{00000000-0005-0000-0000-0000FB000000}"/>
    <cellStyle name="Multiple" xfId="252" xr:uid="{00000000-0005-0000-0000-0000FC000000}"/>
    <cellStyle name="Multiple []" xfId="253" xr:uid="{00000000-0005-0000-0000-0000FD000000}"/>
    <cellStyle name="Multiple [0]" xfId="254" xr:uid="{00000000-0005-0000-0000-0000FE000000}"/>
    <cellStyle name="Multiple [0] []" xfId="255" xr:uid="{00000000-0005-0000-0000-0000FF000000}"/>
    <cellStyle name="Multiple [0]_New MA Public Comps and WACC Model" xfId="256" xr:uid="{00000000-0005-0000-0000-000000010000}"/>
    <cellStyle name="Multiple [1]" xfId="257" xr:uid="{00000000-0005-0000-0000-000001010000}"/>
    <cellStyle name="Multiple [1] []" xfId="258" xr:uid="{00000000-0005-0000-0000-000002010000}"/>
    <cellStyle name="Multiple [1]_New MA Public Comps and WACC Model" xfId="259" xr:uid="{00000000-0005-0000-0000-000003010000}"/>
    <cellStyle name="Multiple_CapitalSum" xfId="260" xr:uid="{00000000-0005-0000-0000-000004010000}"/>
    <cellStyle name="N2Style" xfId="261" xr:uid="{00000000-0005-0000-0000-000005010000}"/>
    <cellStyle name="NewColumnHeaderNormal" xfId="262" xr:uid="{00000000-0005-0000-0000-000006010000}"/>
    <cellStyle name="NewSectionHeaderNormal" xfId="263" xr:uid="{00000000-0005-0000-0000-000007010000}"/>
    <cellStyle name="NewTitleNormal" xfId="264" xr:uid="{00000000-0005-0000-0000-000008010000}"/>
    <cellStyle name="Normal" xfId="0" builtinId="0"/>
    <cellStyle name="Normal - Style1" xfId="265" xr:uid="{00000000-0005-0000-0000-00000A010000}"/>
    <cellStyle name="Normal 2" xfId="266" xr:uid="{00000000-0005-0000-0000-00000B010000}"/>
    <cellStyle name="Normal 2 2" xfId="267" xr:uid="{00000000-0005-0000-0000-00000C010000}"/>
    <cellStyle name="Normal1" xfId="268" xr:uid="{00000000-0005-0000-0000-00000D010000}"/>
    <cellStyle name="Normal10" xfId="269" xr:uid="{00000000-0005-0000-0000-00000E010000}"/>
    <cellStyle name="Normal100" xfId="270" xr:uid="{00000000-0005-0000-0000-00000F010000}"/>
    <cellStyle name="Normal101" xfId="271" xr:uid="{00000000-0005-0000-0000-000010010000}"/>
    <cellStyle name="Normal102" xfId="272" xr:uid="{00000000-0005-0000-0000-000011010000}"/>
    <cellStyle name="Normal103" xfId="273" xr:uid="{00000000-0005-0000-0000-000012010000}"/>
    <cellStyle name="Normal104" xfId="274" xr:uid="{00000000-0005-0000-0000-000013010000}"/>
    <cellStyle name="Normal105" xfId="275" xr:uid="{00000000-0005-0000-0000-000014010000}"/>
    <cellStyle name="Normal106" xfId="276" xr:uid="{00000000-0005-0000-0000-000015010000}"/>
    <cellStyle name="Normal107" xfId="277" xr:uid="{00000000-0005-0000-0000-000016010000}"/>
    <cellStyle name="Normal108" xfId="278" xr:uid="{00000000-0005-0000-0000-000017010000}"/>
    <cellStyle name="Normal109" xfId="279" xr:uid="{00000000-0005-0000-0000-000018010000}"/>
    <cellStyle name="Normal11" xfId="280" xr:uid="{00000000-0005-0000-0000-000019010000}"/>
    <cellStyle name="Normal110" xfId="281" xr:uid="{00000000-0005-0000-0000-00001A010000}"/>
    <cellStyle name="Normal111" xfId="282" xr:uid="{00000000-0005-0000-0000-00001B010000}"/>
    <cellStyle name="Normal112" xfId="283" xr:uid="{00000000-0005-0000-0000-00001C010000}"/>
    <cellStyle name="Normal113" xfId="284" xr:uid="{00000000-0005-0000-0000-00001D010000}"/>
    <cellStyle name="Normal114" xfId="285" xr:uid="{00000000-0005-0000-0000-00001E010000}"/>
    <cellStyle name="Normal115" xfId="286" xr:uid="{00000000-0005-0000-0000-00001F010000}"/>
    <cellStyle name="Normal116" xfId="287" xr:uid="{00000000-0005-0000-0000-000020010000}"/>
    <cellStyle name="Normal117" xfId="288" xr:uid="{00000000-0005-0000-0000-000021010000}"/>
    <cellStyle name="Normal118" xfId="289" xr:uid="{00000000-0005-0000-0000-000022010000}"/>
    <cellStyle name="Normal119" xfId="290" xr:uid="{00000000-0005-0000-0000-000023010000}"/>
    <cellStyle name="Normal12" xfId="291" xr:uid="{00000000-0005-0000-0000-000024010000}"/>
    <cellStyle name="Normal120" xfId="292" xr:uid="{00000000-0005-0000-0000-000025010000}"/>
    <cellStyle name="Normal121" xfId="293" xr:uid="{00000000-0005-0000-0000-000026010000}"/>
    <cellStyle name="Normal122" xfId="294" xr:uid="{00000000-0005-0000-0000-000027010000}"/>
    <cellStyle name="Normal123" xfId="295" xr:uid="{00000000-0005-0000-0000-000028010000}"/>
    <cellStyle name="Normal124" xfId="296" xr:uid="{00000000-0005-0000-0000-000029010000}"/>
    <cellStyle name="Normal125" xfId="297" xr:uid="{00000000-0005-0000-0000-00002A010000}"/>
    <cellStyle name="Normal126" xfId="298" xr:uid="{00000000-0005-0000-0000-00002B010000}"/>
    <cellStyle name="Normal127" xfId="299" xr:uid="{00000000-0005-0000-0000-00002C010000}"/>
    <cellStyle name="Normal128" xfId="300" xr:uid="{00000000-0005-0000-0000-00002D010000}"/>
    <cellStyle name="Normal129" xfId="301" xr:uid="{00000000-0005-0000-0000-00002E010000}"/>
    <cellStyle name="Normal13" xfId="302" xr:uid="{00000000-0005-0000-0000-00002F010000}"/>
    <cellStyle name="Normal130" xfId="303" xr:uid="{00000000-0005-0000-0000-000030010000}"/>
    <cellStyle name="Normal131" xfId="304" xr:uid="{00000000-0005-0000-0000-000031010000}"/>
    <cellStyle name="Normal132" xfId="305" xr:uid="{00000000-0005-0000-0000-000032010000}"/>
    <cellStyle name="Normal133" xfId="306" xr:uid="{00000000-0005-0000-0000-000033010000}"/>
    <cellStyle name="Normal134" xfId="307" xr:uid="{00000000-0005-0000-0000-000034010000}"/>
    <cellStyle name="Normal135" xfId="308" xr:uid="{00000000-0005-0000-0000-000035010000}"/>
    <cellStyle name="Normal136" xfId="309" xr:uid="{00000000-0005-0000-0000-000036010000}"/>
    <cellStyle name="Normal137" xfId="310" xr:uid="{00000000-0005-0000-0000-000037010000}"/>
    <cellStyle name="Normal138" xfId="311" xr:uid="{00000000-0005-0000-0000-000038010000}"/>
    <cellStyle name="Normal139" xfId="312" xr:uid="{00000000-0005-0000-0000-000039010000}"/>
    <cellStyle name="Normal14" xfId="313" xr:uid="{00000000-0005-0000-0000-00003A010000}"/>
    <cellStyle name="Normal140" xfId="314" xr:uid="{00000000-0005-0000-0000-00003B010000}"/>
    <cellStyle name="Normal141" xfId="315" xr:uid="{00000000-0005-0000-0000-00003C010000}"/>
    <cellStyle name="Normal142" xfId="316" xr:uid="{00000000-0005-0000-0000-00003D010000}"/>
    <cellStyle name="Normal143" xfId="317" xr:uid="{00000000-0005-0000-0000-00003E010000}"/>
    <cellStyle name="Normal144" xfId="318" xr:uid="{00000000-0005-0000-0000-00003F010000}"/>
    <cellStyle name="Normal145" xfId="319" xr:uid="{00000000-0005-0000-0000-000040010000}"/>
    <cellStyle name="Normal146" xfId="320" xr:uid="{00000000-0005-0000-0000-000041010000}"/>
    <cellStyle name="Normal147" xfId="321" xr:uid="{00000000-0005-0000-0000-000042010000}"/>
    <cellStyle name="Normal148" xfId="322" xr:uid="{00000000-0005-0000-0000-000043010000}"/>
    <cellStyle name="Normal149" xfId="323" xr:uid="{00000000-0005-0000-0000-000044010000}"/>
    <cellStyle name="Normal15" xfId="324" xr:uid="{00000000-0005-0000-0000-000045010000}"/>
    <cellStyle name="Normal150" xfId="325" xr:uid="{00000000-0005-0000-0000-000046010000}"/>
    <cellStyle name="Normal151" xfId="326" xr:uid="{00000000-0005-0000-0000-000047010000}"/>
    <cellStyle name="Normal152" xfId="327" xr:uid="{00000000-0005-0000-0000-000048010000}"/>
    <cellStyle name="Normal153" xfId="328" xr:uid="{00000000-0005-0000-0000-000049010000}"/>
    <cellStyle name="Normal154" xfId="329" xr:uid="{00000000-0005-0000-0000-00004A010000}"/>
    <cellStyle name="Normal155" xfId="330" xr:uid="{00000000-0005-0000-0000-00004B010000}"/>
    <cellStyle name="Normal156" xfId="331" xr:uid="{00000000-0005-0000-0000-00004C010000}"/>
    <cellStyle name="Normal157" xfId="332" xr:uid="{00000000-0005-0000-0000-00004D010000}"/>
    <cellStyle name="Normal158" xfId="333" xr:uid="{00000000-0005-0000-0000-00004E010000}"/>
    <cellStyle name="Normal159" xfId="334" xr:uid="{00000000-0005-0000-0000-00004F010000}"/>
    <cellStyle name="Normal16" xfId="335" xr:uid="{00000000-0005-0000-0000-000050010000}"/>
    <cellStyle name="Normal160" xfId="336" xr:uid="{00000000-0005-0000-0000-000051010000}"/>
    <cellStyle name="Normal161" xfId="337" xr:uid="{00000000-0005-0000-0000-000052010000}"/>
    <cellStyle name="Normal162" xfId="338" xr:uid="{00000000-0005-0000-0000-000053010000}"/>
    <cellStyle name="Normal163" xfId="339" xr:uid="{00000000-0005-0000-0000-000054010000}"/>
    <cellStyle name="Normal164" xfId="340" xr:uid="{00000000-0005-0000-0000-000055010000}"/>
    <cellStyle name="Normal165" xfId="341" xr:uid="{00000000-0005-0000-0000-000056010000}"/>
    <cellStyle name="Normal166" xfId="342" xr:uid="{00000000-0005-0000-0000-000057010000}"/>
    <cellStyle name="Normal167" xfId="343" xr:uid="{00000000-0005-0000-0000-000058010000}"/>
    <cellStyle name="Normal168" xfId="344" xr:uid="{00000000-0005-0000-0000-000059010000}"/>
    <cellStyle name="Normal169" xfId="345" xr:uid="{00000000-0005-0000-0000-00005A010000}"/>
    <cellStyle name="Normal17" xfId="346" xr:uid="{00000000-0005-0000-0000-00005B010000}"/>
    <cellStyle name="Normal170" xfId="347" xr:uid="{00000000-0005-0000-0000-00005C010000}"/>
    <cellStyle name="Normal171" xfId="348" xr:uid="{00000000-0005-0000-0000-00005D010000}"/>
    <cellStyle name="Normal172" xfId="349" xr:uid="{00000000-0005-0000-0000-00005E010000}"/>
    <cellStyle name="Normal173" xfId="350" xr:uid="{00000000-0005-0000-0000-00005F010000}"/>
    <cellStyle name="Normal174" xfId="351" xr:uid="{00000000-0005-0000-0000-000060010000}"/>
    <cellStyle name="Normal175" xfId="352" xr:uid="{00000000-0005-0000-0000-000061010000}"/>
    <cellStyle name="Normal176" xfId="353" xr:uid="{00000000-0005-0000-0000-000062010000}"/>
    <cellStyle name="Normal177" xfId="354" xr:uid="{00000000-0005-0000-0000-000063010000}"/>
    <cellStyle name="Normal178" xfId="355" xr:uid="{00000000-0005-0000-0000-000064010000}"/>
    <cellStyle name="Normal179" xfId="356" xr:uid="{00000000-0005-0000-0000-000065010000}"/>
    <cellStyle name="Normal18" xfId="357" xr:uid="{00000000-0005-0000-0000-000066010000}"/>
    <cellStyle name="Normal180" xfId="358" xr:uid="{00000000-0005-0000-0000-000067010000}"/>
    <cellStyle name="Normal181" xfId="359" xr:uid="{00000000-0005-0000-0000-000068010000}"/>
    <cellStyle name="Normal182" xfId="360" xr:uid="{00000000-0005-0000-0000-000069010000}"/>
    <cellStyle name="Normal183" xfId="361" xr:uid="{00000000-0005-0000-0000-00006A010000}"/>
    <cellStyle name="Normal184" xfId="362" xr:uid="{00000000-0005-0000-0000-00006B010000}"/>
    <cellStyle name="Normal185" xfId="363" xr:uid="{00000000-0005-0000-0000-00006C010000}"/>
    <cellStyle name="Normal186" xfId="364" xr:uid="{00000000-0005-0000-0000-00006D010000}"/>
    <cellStyle name="Normal187" xfId="365" xr:uid="{00000000-0005-0000-0000-00006E010000}"/>
    <cellStyle name="Normal188" xfId="366" xr:uid="{00000000-0005-0000-0000-00006F010000}"/>
    <cellStyle name="Normal189" xfId="367" xr:uid="{00000000-0005-0000-0000-000070010000}"/>
    <cellStyle name="Normal19" xfId="368" xr:uid="{00000000-0005-0000-0000-000071010000}"/>
    <cellStyle name="Normal190" xfId="369" xr:uid="{00000000-0005-0000-0000-000072010000}"/>
    <cellStyle name="Normal191" xfId="370" xr:uid="{00000000-0005-0000-0000-000073010000}"/>
    <cellStyle name="Normal192" xfId="371" xr:uid="{00000000-0005-0000-0000-000074010000}"/>
    <cellStyle name="Normal193" xfId="372" xr:uid="{00000000-0005-0000-0000-000075010000}"/>
    <cellStyle name="Normal194" xfId="373" xr:uid="{00000000-0005-0000-0000-000076010000}"/>
    <cellStyle name="Normal195" xfId="374" xr:uid="{00000000-0005-0000-0000-000077010000}"/>
    <cellStyle name="Normal196" xfId="375" xr:uid="{00000000-0005-0000-0000-000078010000}"/>
    <cellStyle name="Normal197" xfId="376" xr:uid="{00000000-0005-0000-0000-000079010000}"/>
    <cellStyle name="Normal198" xfId="377" xr:uid="{00000000-0005-0000-0000-00007A010000}"/>
    <cellStyle name="Normal199" xfId="378" xr:uid="{00000000-0005-0000-0000-00007B010000}"/>
    <cellStyle name="Normal2" xfId="379" xr:uid="{00000000-0005-0000-0000-00007C010000}"/>
    <cellStyle name="Normal20" xfId="380" xr:uid="{00000000-0005-0000-0000-00007D010000}"/>
    <cellStyle name="Normal200" xfId="381" xr:uid="{00000000-0005-0000-0000-00007E010000}"/>
    <cellStyle name="Normal201" xfId="382" xr:uid="{00000000-0005-0000-0000-00007F010000}"/>
    <cellStyle name="Normal202" xfId="383" xr:uid="{00000000-0005-0000-0000-000080010000}"/>
    <cellStyle name="Normal203" xfId="384" xr:uid="{00000000-0005-0000-0000-000081010000}"/>
    <cellStyle name="Normal204" xfId="385" xr:uid="{00000000-0005-0000-0000-000082010000}"/>
    <cellStyle name="Normal205" xfId="386" xr:uid="{00000000-0005-0000-0000-000083010000}"/>
    <cellStyle name="Normal206" xfId="387" xr:uid="{00000000-0005-0000-0000-000084010000}"/>
    <cellStyle name="Normal207" xfId="388" xr:uid="{00000000-0005-0000-0000-000085010000}"/>
    <cellStyle name="Normal208" xfId="389" xr:uid="{00000000-0005-0000-0000-000086010000}"/>
    <cellStyle name="Normal209" xfId="390" xr:uid="{00000000-0005-0000-0000-000087010000}"/>
    <cellStyle name="Normal21" xfId="391" xr:uid="{00000000-0005-0000-0000-000088010000}"/>
    <cellStyle name="Normal210" xfId="392" xr:uid="{00000000-0005-0000-0000-000089010000}"/>
    <cellStyle name="Normal211" xfId="393" xr:uid="{00000000-0005-0000-0000-00008A010000}"/>
    <cellStyle name="Normal212" xfId="394" xr:uid="{00000000-0005-0000-0000-00008B010000}"/>
    <cellStyle name="Normal213" xfId="395" xr:uid="{00000000-0005-0000-0000-00008C010000}"/>
    <cellStyle name="Normal214" xfId="396" xr:uid="{00000000-0005-0000-0000-00008D010000}"/>
    <cellStyle name="Normal215" xfId="397" xr:uid="{00000000-0005-0000-0000-00008E010000}"/>
    <cellStyle name="Normal216" xfId="398" xr:uid="{00000000-0005-0000-0000-00008F010000}"/>
    <cellStyle name="Normal217" xfId="399" xr:uid="{00000000-0005-0000-0000-000090010000}"/>
    <cellStyle name="Normal218" xfId="400" xr:uid="{00000000-0005-0000-0000-000091010000}"/>
    <cellStyle name="Normal219" xfId="401" xr:uid="{00000000-0005-0000-0000-000092010000}"/>
    <cellStyle name="Normal22" xfId="402" xr:uid="{00000000-0005-0000-0000-000093010000}"/>
    <cellStyle name="Normal220" xfId="403" xr:uid="{00000000-0005-0000-0000-000094010000}"/>
    <cellStyle name="Normal221" xfId="404" xr:uid="{00000000-0005-0000-0000-000095010000}"/>
    <cellStyle name="Normal222" xfId="405" xr:uid="{00000000-0005-0000-0000-000096010000}"/>
    <cellStyle name="Normal223" xfId="406" xr:uid="{00000000-0005-0000-0000-000097010000}"/>
    <cellStyle name="Normal224" xfId="407" xr:uid="{00000000-0005-0000-0000-000098010000}"/>
    <cellStyle name="Normal225" xfId="408" xr:uid="{00000000-0005-0000-0000-000099010000}"/>
    <cellStyle name="Normal226" xfId="409" xr:uid="{00000000-0005-0000-0000-00009A010000}"/>
    <cellStyle name="Normal227" xfId="410" xr:uid="{00000000-0005-0000-0000-00009B010000}"/>
    <cellStyle name="Normal228" xfId="411" xr:uid="{00000000-0005-0000-0000-00009C010000}"/>
    <cellStyle name="Normal229" xfId="412" xr:uid="{00000000-0005-0000-0000-00009D010000}"/>
    <cellStyle name="Normal23" xfId="413" xr:uid="{00000000-0005-0000-0000-00009E010000}"/>
    <cellStyle name="Normal230" xfId="414" xr:uid="{00000000-0005-0000-0000-00009F010000}"/>
    <cellStyle name="Normal231" xfId="415" xr:uid="{00000000-0005-0000-0000-0000A0010000}"/>
    <cellStyle name="Normal232" xfId="416" xr:uid="{00000000-0005-0000-0000-0000A1010000}"/>
    <cellStyle name="Normal233" xfId="417" xr:uid="{00000000-0005-0000-0000-0000A2010000}"/>
    <cellStyle name="Normal234" xfId="418" xr:uid="{00000000-0005-0000-0000-0000A3010000}"/>
    <cellStyle name="Normal235" xfId="419" xr:uid="{00000000-0005-0000-0000-0000A4010000}"/>
    <cellStyle name="Normal236" xfId="420" xr:uid="{00000000-0005-0000-0000-0000A5010000}"/>
    <cellStyle name="Normal237" xfId="421" xr:uid="{00000000-0005-0000-0000-0000A6010000}"/>
    <cellStyle name="Normal238" xfId="422" xr:uid="{00000000-0005-0000-0000-0000A7010000}"/>
    <cellStyle name="Normal239" xfId="423" xr:uid="{00000000-0005-0000-0000-0000A8010000}"/>
    <cellStyle name="Normal24" xfId="424" xr:uid="{00000000-0005-0000-0000-0000A9010000}"/>
    <cellStyle name="Normal240" xfId="425" xr:uid="{00000000-0005-0000-0000-0000AA010000}"/>
    <cellStyle name="Normal241" xfId="426" xr:uid="{00000000-0005-0000-0000-0000AB010000}"/>
    <cellStyle name="Normal242" xfId="427" xr:uid="{00000000-0005-0000-0000-0000AC010000}"/>
    <cellStyle name="Normal243" xfId="428" xr:uid="{00000000-0005-0000-0000-0000AD010000}"/>
    <cellStyle name="Normal244" xfId="429" xr:uid="{00000000-0005-0000-0000-0000AE010000}"/>
    <cellStyle name="Normal245" xfId="430" xr:uid="{00000000-0005-0000-0000-0000AF010000}"/>
    <cellStyle name="Normal246" xfId="431" xr:uid="{00000000-0005-0000-0000-0000B0010000}"/>
    <cellStyle name="Normal247" xfId="432" xr:uid="{00000000-0005-0000-0000-0000B1010000}"/>
    <cellStyle name="Normal248" xfId="433" xr:uid="{00000000-0005-0000-0000-0000B2010000}"/>
    <cellStyle name="Normal249" xfId="434" xr:uid="{00000000-0005-0000-0000-0000B3010000}"/>
    <cellStyle name="Normal25" xfId="435" xr:uid="{00000000-0005-0000-0000-0000B4010000}"/>
    <cellStyle name="Normal250" xfId="436" xr:uid="{00000000-0005-0000-0000-0000B5010000}"/>
    <cellStyle name="Normal251" xfId="437" xr:uid="{00000000-0005-0000-0000-0000B6010000}"/>
    <cellStyle name="Normal252" xfId="438" xr:uid="{00000000-0005-0000-0000-0000B7010000}"/>
    <cellStyle name="Normal253" xfId="439" xr:uid="{00000000-0005-0000-0000-0000B8010000}"/>
    <cellStyle name="Normal26" xfId="440" xr:uid="{00000000-0005-0000-0000-0000B9010000}"/>
    <cellStyle name="Normal27" xfId="441" xr:uid="{00000000-0005-0000-0000-0000BA010000}"/>
    <cellStyle name="Normal28" xfId="442" xr:uid="{00000000-0005-0000-0000-0000BB010000}"/>
    <cellStyle name="Normal29" xfId="443" xr:uid="{00000000-0005-0000-0000-0000BC010000}"/>
    <cellStyle name="Normal3" xfId="444" xr:uid="{00000000-0005-0000-0000-0000BD010000}"/>
    <cellStyle name="Normal30" xfId="445" xr:uid="{00000000-0005-0000-0000-0000BE010000}"/>
    <cellStyle name="Normal31" xfId="446" xr:uid="{00000000-0005-0000-0000-0000BF010000}"/>
    <cellStyle name="Normal32" xfId="447" xr:uid="{00000000-0005-0000-0000-0000C0010000}"/>
    <cellStyle name="Normal33" xfId="448" xr:uid="{00000000-0005-0000-0000-0000C1010000}"/>
    <cellStyle name="Normal34" xfId="449" xr:uid="{00000000-0005-0000-0000-0000C2010000}"/>
    <cellStyle name="Normal35" xfId="450" xr:uid="{00000000-0005-0000-0000-0000C3010000}"/>
    <cellStyle name="Normal36" xfId="451" xr:uid="{00000000-0005-0000-0000-0000C4010000}"/>
    <cellStyle name="Normal37" xfId="452" xr:uid="{00000000-0005-0000-0000-0000C5010000}"/>
    <cellStyle name="Normal38" xfId="453" xr:uid="{00000000-0005-0000-0000-0000C6010000}"/>
    <cellStyle name="Normal39" xfId="454" xr:uid="{00000000-0005-0000-0000-0000C7010000}"/>
    <cellStyle name="Normal4" xfId="455" xr:uid="{00000000-0005-0000-0000-0000C8010000}"/>
    <cellStyle name="Normal40" xfId="456" xr:uid="{00000000-0005-0000-0000-0000C9010000}"/>
    <cellStyle name="Normal41" xfId="457" xr:uid="{00000000-0005-0000-0000-0000CA010000}"/>
    <cellStyle name="Normal42" xfId="458" xr:uid="{00000000-0005-0000-0000-0000CB010000}"/>
    <cellStyle name="Normal43" xfId="459" xr:uid="{00000000-0005-0000-0000-0000CC010000}"/>
    <cellStyle name="Normal44" xfId="460" xr:uid="{00000000-0005-0000-0000-0000CD010000}"/>
    <cellStyle name="Normal45" xfId="461" xr:uid="{00000000-0005-0000-0000-0000CE010000}"/>
    <cellStyle name="Normal46" xfId="462" xr:uid="{00000000-0005-0000-0000-0000CF010000}"/>
    <cellStyle name="Normal47" xfId="463" xr:uid="{00000000-0005-0000-0000-0000D0010000}"/>
    <cellStyle name="Normal48" xfId="464" xr:uid="{00000000-0005-0000-0000-0000D1010000}"/>
    <cellStyle name="Normal49" xfId="465" xr:uid="{00000000-0005-0000-0000-0000D2010000}"/>
    <cellStyle name="Normal5" xfId="466" xr:uid="{00000000-0005-0000-0000-0000D3010000}"/>
    <cellStyle name="Normal50" xfId="467" xr:uid="{00000000-0005-0000-0000-0000D4010000}"/>
    <cellStyle name="Normal51" xfId="468" xr:uid="{00000000-0005-0000-0000-0000D5010000}"/>
    <cellStyle name="Normal52" xfId="469" xr:uid="{00000000-0005-0000-0000-0000D6010000}"/>
    <cellStyle name="Normal53" xfId="470" xr:uid="{00000000-0005-0000-0000-0000D7010000}"/>
    <cellStyle name="Normal54" xfId="471" xr:uid="{00000000-0005-0000-0000-0000D8010000}"/>
    <cellStyle name="Normal55" xfId="472" xr:uid="{00000000-0005-0000-0000-0000D9010000}"/>
    <cellStyle name="Normal56" xfId="473" xr:uid="{00000000-0005-0000-0000-0000DA010000}"/>
    <cellStyle name="Normal57" xfId="474" xr:uid="{00000000-0005-0000-0000-0000DB010000}"/>
    <cellStyle name="Normal58" xfId="475" xr:uid="{00000000-0005-0000-0000-0000DC010000}"/>
    <cellStyle name="Normal59" xfId="476" xr:uid="{00000000-0005-0000-0000-0000DD010000}"/>
    <cellStyle name="Normal6" xfId="477" xr:uid="{00000000-0005-0000-0000-0000DE010000}"/>
    <cellStyle name="Normal60" xfId="478" xr:uid="{00000000-0005-0000-0000-0000DF010000}"/>
    <cellStyle name="Normal61" xfId="479" xr:uid="{00000000-0005-0000-0000-0000E0010000}"/>
    <cellStyle name="Normal62" xfId="480" xr:uid="{00000000-0005-0000-0000-0000E1010000}"/>
    <cellStyle name="Normal63" xfId="481" xr:uid="{00000000-0005-0000-0000-0000E2010000}"/>
    <cellStyle name="Normal64" xfId="482" xr:uid="{00000000-0005-0000-0000-0000E3010000}"/>
    <cellStyle name="Normal65" xfId="483" xr:uid="{00000000-0005-0000-0000-0000E4010000}"/>
    <cellStyle name="Normal66" xfId="484" xr:uid="{00000000-0005-0000-0000-0000E5010000}"/>
    <cellStyle name="Normal67" xfId="485" xr:uid="{00000000-0005-0000-0000-0000E6010000}"/>
    <cellStyle name="Normal68" xfId="486" xr:uid="{00000000-0005-0000-0000-0000E7010000}"/>
    <cellStyle name="Normal69" xfId="487" xr:uid="{00000000-0005-0000-0000-0000E8010000}"/>
    <cellStyle name="Normal7" xfId="488" xr:uid="{00000000-0005-0000-0000-0000E9010000}"/>
    <cellStyle name="Normal70" xfId="489" xr:uid="{00000000-0005-0000-0000-0000EA010000}"/>
    <cellStyle name="Normal71" xfId="490" xr:uid="{00000000-0005-0000-0000-0000EB010000}"/>
    <cellStyle name="Normal72" xfId="491" xr:uid="{00000000-0005-0000-0000-0000EC010000}"/>
    <cellStyle name="Normal73" xfId="492" xr:uid="{00000000-0005-0000-0000-0000ED010000}"/>
    <cellStyle name="Normal74" xfId="493" xr:uid="{00000000-0005-0000-0000-0000EE010000}"/>
    <cellStyle name="Normal75" xfId="494" xr:uid="{00000000-0005-0000-0000-0000EF010000}"/>
    <cellStyle name="Normal76" xfId="495" xr:uid="{00000000-0005-0000-0000-0000F0010000}"/>
    <cellStyle name="Normal77" xfId="496" xr:uid="{00000000-0005-0000-0000-0000F1010000}"/>
    <cellStyle name="Normal78" xfId="497" xr:uid="{00000000-0005-0000-0000-0000F2010000}"/>
    <cellStyle name="Normal79" xfId="498" xr:uid="{00000000-0005-0000-0000-0000F3010000}"/>
    <cellStyle name="Normal8" xfId="499" xr:uid="{00000000-0005-0000-0000-0000F4010000}"/>
    <cellStyle name="Normal80" xfId="500" xr:uid="{00000000-0005-0000-0000-0000F5010000}"/>
    <cellStyle name="Normal81" xfId="501" xr:uid="{00000000-0005-0000-0000-0000F6010000}"/>
    <cellStyle name="Normal82" xfId="502" xr:uid="{00000000-0005-0000-0000-0000F7010000}"/>
    <cellStyle name="Normal83" xfId="503" xr:uid="{00000000-0005-0000-0000-0000F8010000}"/>
    <cellStyle name="Normal84" xfId="504" xr:uid="{00000000-0005-0000-0000-0000F9010000}"/>
    <cellStyle name="Normal85" xfId="505" xr:uid="{00000000-0005-0000-0000-0000FA010000}"/>
    <cellStyle name="Normal86" xfId="506" xr:uid="{00000000-0005-0000-0000-0000FB010000}"/>
    <cellStyle name="Normal87" xfId="507" xr:uid="{00000000-0005-0000-0000-0000FC010000}"/>
    <cellStyle name="Normal88" xfId="508" xr:uid="{00000000-0005-0000-0000-0000FD010000}"/>
    <cellStyle name="Normal89" xfId="509" xr:uid="{00000000-0005-0000-0000-0000FE010000}"/>
    <cellStyle name="Normal9" xfId="510" xr:uid="{00000000-0005-0000-0000-0000FF010000}"/>
    <cellStyle name="Normal90" xfId="511" xr:uid="{00000000-0005-0000-0000-000000020000}"/>
    <cellStyle name="Normal91" xfId="512" xr:uid="{00000000-0005-0000-0000-000001020000}"/>
    <cellStyle name="Normal92" xfId="513" xr:uid="{00000000-0005-0000-0000-000002020000}"/>
    <cellStyle name="Normal93" xfId="514" xr:uid="{00000000-0005-0000-0000-000003020000}"/>
    <cellStyle name="Normal94" xfId="515" xr:uid="{00000000-0005-0000-0000-000004020000}"/>
    <cellStyle name="Normal95" xfId="516" xr:uid="{00000000-0005-0000-0000-000005020000}"/>
    <cellStyle name="Normal96" xfId="517" xr:uid="{00000000-0005-0000-0000-000006020000}"/>
    <cellStyle name="Normal97" xfId="518" xr:uid="{00000000-0005-0000-0000-000007020000}"/>
    <cellStyle name="Normal98" xfId="519" xr:uid="{00000000-0005-0000-0000-000008020000}"/>
    <cellStyle name="Normal99" xfId="520" xr:uid="{00000000-0005-0000-0000-000009020000}"/>
    <cellStyle name="NotDeclared_1" xfId="521" xr:uid="{00000000-0005-0000-0000-00000A020000}"/>
    <cellStyle name="Numbers" xfId="522" xr:uid="{00000000-0005-0000-0000-00000B020000}"/>
    <cellStyle name="Numbers - Bold" xfId="523" xr:uid="{00000000-0005-0000-0000-00000C020000}"/>
    <cellStyle name="Numbers - Bold - Italic" xfId="524" xr:uid="{00000000-0005-0000-0000-00000D020000}"/>
    <cellStyle name="Numbers - Bold_6079BX" xfId="525" xr:uid="{00000000-0005-0000-0000-00000E020000}"/>
    <cellStyle name="Numbers - Large" xfId="526" xr:uid="{00000000-0005-0000-0000-00000F020000}"/>
    <cellStyle name="Numbers_6079BX" xfId="527" xr:uid="{00000000-0005-0000-0000-000010020000}"/>
    <cellStyle name="OSW_RowLabels" xfId="528" xr:uid="{00000000-0005-0000-0000-000011020000}"/>
    <cellStyle name="Outline" xfId="529" xr:uid="{00000000-0005-0000-0000-000012020000}"/>
    <cellStyle name="Output Amounts" xfId="530" xr:uid="{00000000-0005-0000-0000-000013020000}"/>
    <cellStyle name="Output Column Headings" xfId="531" xr:uid="{00000000-0005-0000-0000-000014020000}"/>
    <cellStyle name="Output Line Items" xfId="532" xr:uid="{00000000-0005-0000-0000-000015020000}"/>
    <cellStyle name="Output Report Heading" xfId="533" xr:uid="{00000000-0005-0000-0000-000016020000}"/>
    <cellStyle name="Page" xfId="534" xr:uid="{00000000-0005-0000-0000-000017020000}"/>
    <cellStyle name="PB Table Heading" xfId="535" xr:uid="{00000000-0005-0000-0000-000018020000}"/>
    <cellStyle name="PB Table Highlight1" xfId="536" xr:uid="{00000000-0005-0000-0000-000019020000}"/>
    <cellStyle name="PB Table Highlight2" xfId="537" xr:uid="{00000000-0005-0000-0000-00001A020000}"/>
    <cellStyle name="PB Table Highlight3" xfId="538" xr:uid="{00000000-0005-0000-0000-00001B020000}"/>
    <cellStyle name="PB Table Standard Row" xfId="539" xr:uid="{00000000-0005-0000-0000-00001C020000}"/>
    <cellStyle name="PB Table Subtotal Row" xfId="540" xr:uid="{00000000-0005-0000-0000-00001D020000}"/>
    <cellStyle name="PB Table Total Row" xfId="541" xr:uid="{00000000-0005-0000-0000-00001E020000}"/>
    <cellStyle name="Per cent" xfId="543" builtinId="5"/>
    <cellStyle name="per.style" xfId="542" xr:uid="{00000000-0005-0000-0000-00001F020000}"/>
    <cellStyle name="Percent [0]" xfId="544" xr:uid="{00000000-0005-0000-0000-000021020000}"/>
    <cellStyle name="Percent [00]" xfId="545" xr:uid="{00000000-0005-0000-0000-000022020000}"/>
    <cellStyle name="Percent [1]" xfId="546" xr:uid="{00000000-0005-0000-0000-000023020000}"/>
    <cellStyle name="Percent [1][]" xfId="547" xr:uid="{00000000-0005-0000-0000-000024020000}"/>
    <cellStyle name="Percent [1]_New MA Public Comps and WACC Model" xfId="548" xr:uid="{00000000-0005-0000-0000-000025020000}"/>
    <cellStyle name="Percent [2]" xfId="549" xr:uid="{00000000-0005-0000-0000-000026020000}"/>
    <cellStyle name="Percent Comma" xfId="550" xr:uid="{00000000-0005-0000-0000-000027020000}"/>
    <cellStyle name="Percent1" xfId="551" xr:uid="{00000000-0005-0000-0000-000028020000}"/>
    <cellStyle name="Percent10" xfId="552" xr:uid="{00000000-0005-0000-0000-000029020000}"/>
    <cellStyle name="Percent100" xfId="553" xr:uid="{00000000-0005-0000-0000-00002A020000}"/>
    <cellStyle name="Percent101" xfId="554" xr:uid="{00000000-0005-0000-0000-00002B020000}"/>
    <cellStyle name="Percent102" xfId="555" xr:uid="{00000000-0005-0000-0000-00002C020000}"/>
    <cellStyle name="Percent103" xfId="556" xr:uid="{00000000-0005-0000-0000-00002D020000}"/>
    <cellStyle name="Percent104" xfId="557" xr:uid="{00000000-0005-0000-0000-00002E020000}"/>
    <cellStyle name="Percent105" xfId="558" xr:uid="{00000000-0005-0000-0000-00002F020000}"/>
    <cellStyle name="Percent106" xfId="559" xr:uid="{00000000-0005-0000-0000-000030020000}"/>
    <cellStyle name="Percent107" xfId="560" xr:uid="{00000000-0005-0000-0000-000031020000}"/>
    <cellStyle name="Percent108" xfId="561" xr:uid="{00000000-0005-0000-0000-000032020000}"/>
    <cellStyle name="Percent109" xfId="562" xr:uid="{00000000-0005-0000-0000-000033020000}"/>
    <cellStyle name="Percent11" xfId="563" xr:uid="{00000000-0005-0000-0000-000034020000}"/>
    <cellStyle name="Percent110" xfId="564" xr:uid="{00000000-0005-0000-0000-000035020000}"/>
    <cellStyle name="Percent111" xfId="565" xr:uid="{00000000-0005-0000-0000-000036020000}"/>
    <cellStyle name="Percent112" xfId="566" xr:uid="{00000000-0005-0000-0000-000037020000}"/>
    <cellStyle name="Percent113" xfId="567" xr:uid="{00000000-0005-0000-0000-000038020000}"/>
    <cellStyle name="Percent114" xfId="568" xr:uid="{00000000-0005-0000-0000-000039020000}"/>
    <cellStyle name="Percent115" xfId="569" xr:uid="{00000000-0005-0000-0000-00003A020000}"/>
    <cellStyle name="Percent116" xfId="570" xr:uid="{00000000-0005-0000-0000-00003B020000}"/>
    <cellStyle name="Percent117" xfId="571" xr:uid="{00000000-0005-0000-0000-00003C020000}"/>
    <cellStyle name="Percent118" xfId="572" xr:uid="{00000000-0005-0000-0000-00003D020000}"/>
    <cellStyle name="Percent119" xfId="573" xr:uid="{00000000-0005-0000-0000-00003E020000}"/>
    <cellStyle name="Percent12" xfId="574" xr:uid="{00000000-0005-0000-0000-00003F020000}"/>
    <cellStyle name="Percent120" xfId="575" xr:uid="{00000000-0005-0000-0000-000040020000}"/>
    <cellStyle name="Percent121" xfId="576" xr:uid="{00000000-0005-0000-0000-000041020000}"/>
    <cellStyle name="Percent122" xfId="577" xr:uid="{00000000-0005-0000-0000-000042020000}"/>
    <cellStyle name="Percent123" xfId="578" xr:uid="{00000000-0005-0000-0000-000043020000}"/>
    <cellStyle name="Percent124" xfId="579" xr:uid="{00000000-0005-0000-0000-000044020000}"/>
    <cellStyle name="Percent125" xfId="580" xr:uid="{00000000-0005-0000-0000-000045020000}"/>
    <cellStyle name="Percent126" xfId="581" xr:uid="{00000000-0005-0000-0000-000046020000}"/>
    <cellStyle name="Percent127" xfId="582" xr:uid="{00000000-0005-0000-0000-000047020000}"/>
    <cellStyle name="Percent128" xfId="583" xr:uid="{00000000-0005-0000-0000-000048020000}"/>
    <cellStyle name="Percent129" xfId="584" xr:uid="{00000000-0005-0000-0000-000049020000}"/>
    <cellStyle name="Percent13" xfId="585" xr:uid="{00000000-0005-0000-0000-00004A020000}"/>
    <cellStyle name="Percent130" xfId="586" xr:uid="{00000000-0005-0000-0000-00004B020000}"/>
    <cellStyle name="Percent131" xfId="587" xr:uid="{00000000-0005-0000-0000-00004C020000}"/>
    <cellStyle name="Percent132" xfId="588" xr:uid="{00000000-0005-0000-0000-00004D020000}"/>
    <cellStyle name="Percent133" xfId="589" xr:uid="{00000000-0005-0000-0000-00004E020000}"/>
    <cellStyle name="Percent134" xfId="590" xr:uid="{00000000-0005-0000-0000-00004F020000}"/>
    <cellStyle name="Percent135" xfId="591" xr:uid="{00000000-0005-0000-0000-000050020000}"/>
    <cellStyle name="Percent136" xfId="592" xr:uid="{00000000-0005-0000-0000-000051020000}"/>
    <cellStyle name="Percent137" xfId="593" xr:uid="{00000000-0005-0000-0000-000052020000}"/>
    <cellStyle name="Percent138" xfId="594" xr:uid="{00000000-0005-0000-0000-000053020000}"/>
    <cellStyle name="Percent139" xfId="595" xr:uid="{00000000-0005-0000-0000-000054020000}"/>
    <cellStyle name="Percent14" xfId="596" xr:uid="{00000000-0005-0000-0000-000055020000}"/>
    <cellStyle name="Percent140" xfId="597" xr:uid="{00000000-0005-0000-0000-000056020000}"/>
    <cellStyle name="Percent141" xfId="598" xr:uid="{00000000-0005-0000-0000-000057020000}"/>
    <cellStyle name="Percent142" xfId="599" xr:uid="{00000000-0005-0000-0000-000058020000}"/>
    <cellStyle name="Percent143" xfId="600" xr:uid="{00000000-0005-0000-0000-000059020000}"/>
    <cellStyle name="Percent144" xfId="601" xr:uid="{00000000-0005-0000-0000-00005A020000}"/>
    <cellStyle name="Percent145" xfId="602" xr:uid="{00000000-0005-0000-0000-00005B020000}"/>
    <cellStyle name="Percent146" xfId="603" xr:uid="{00000000-0005-0000-0000-00005C020000}"/>
    <cellStyle name="Percent147" xfId="604" xr:uid="{00000000-0005-0000-0000-00005D020000}"/>
    <cellStyle name="Percent148" xfId="605" xr:uid="{00000000-0005-0000-0000-00005E020000}"/>
    <cellStyle name="Percent149" xfId="606" xr:uid="{00000000-0005-0000-0000-00005F020000}"/>
    <cellStyle name="Percent15" xfId="607" xr:uid="{00000000-0005-0000-0000-000060020000}"/>
    <cellStyle name="Percent150" xfId="608" xr:uid="{00000000-0005-0000-0000-000061020000}"/>
    <cellStyle name="Percent151" xfId="609" xr:uid="{00000000-0005-0000-0000-000062020000}"/>
    <cellStyle name="Percent152" xfId="610" xr:uid="{00000000-0005-0000-0000-000063020000}"/>
    <cellStyle name="Percent153" xfId="611" xr:uid="{00000000-0005-0000-0000-000064020000}"/>
    <cellStyle name="Percent154" xfId="612" xr:uid="{00000000-0005-0000-0000-000065020000}"/>
    <cellStyle name="Percent155" xfId="613" xr:uid="{00000000-0005-0000-0000-000066020000}"/>
    <cellStyle name="Percent156" xfId="614" xr:uid="{00000000-0005-0000-0000-000067020000}"/>
    <cellStyle name="Percent157" xfId="615" xr:uid="{00000000-0005-0000-0000-000068020000}"/>
    <cellStyle name="Percent158" xfId="616" xr:uid="{00000000-0005-0000-0000-000069020000}"/>
    <cellStyle name="Percent159" xfId="617" xr:uid="{00000000-0005-0000-0000-00006A020000}"/>
    <cellStyle name="Percent16" xfId="618" xr:uid="{00000000-0005-0000-0000-00006B020000}"/>
    <cellStyle name="Percent160" xfId="619" xr:uid="{00000000-0005-0000-0000-00006C020000}"/>
    <cellStyle name="Percent161" xfId="620" xr:uid="{00000000-0005-0000-0000-00006D020000}"/>
    <cellStyle name="Percent162" xfId="621" xr:uid="{00000000-0005-0000-0000-00006E020000}"/>
    <cellStyle name="Percent163" xfId="622" xr:uid="{00000000-0005-0000-0000-00006F020000}"/>
    <cellStyle name="Percent164" xfId="623" xr:uid="{00000000-0005-0000-0000-000070020000}"/>
    <cellStyle name="Percent165" xfId="624" xr:uid="{00000000-0005-0000-0000-000071020000}"/>
    <cellStyle name="Percent166" xfId="625" xr:uid="{00000000-0005-0000-0000-000072020000}"/>
    <cellStyle name="Percent167" xfId="626" xr:uid="{00000000-0005-0000-0000-000073020000}"/>
    <cellStyle name="Percent168" xfId="627" xr:uid="{00000000-0005-0000-0000-000074020000}"/>
    <cellStyle name="Percent169" xfId="628" xr:uid="{00000000-0005-0000-0000-000075020000}"/>
    <cellStyle name="Percent17" xfId="629" xr:uid="{00000000-0005-0000-0000-000076020000}"/>
    <cellStyle name="Percent170" xfId="630" xr:uid="{00000000-0005-0000-0000-000077020000}"/>
    <cellStyle name="Percent171" xfId="631" xr:uid="{00000000-0005-0000-0000-000078020000}"/>
    <cellStyle name="Percent172" xfId="632" xr:uid="{00000000-0005-0000-0000-000079020000}"/>
    <cellStyle name="Percent173" xfId="633" xr:uid="{00000000-0005-0000-0000-00007A020000}"/>
    <cellStyle name="Percent174" xfId="634" xr:uid="{00000000-0005-0000-0000-00007B020000}"/>
    <cellStyle name="Percent175" xfId="635" xr:uid="{00000000-0005-0000-0000-00007C020000}"/>
    <cellStyle name="Percent176" xfId="636" xr:uid="{00000000-0005-0000-0000-00007D020000}"/>
    <cellStyle name="Percent177" xfId="637" xr:uid="{00000000-0005-0000-0000-00007E020000}"/>
    <cellStyle name="Percent178" xfId="638" xr:uid="{00000000-0005-0000-0000-00007F020000}"/>
    <cellStyle name="Percent179" xfId="639" xr:uid="{00000000-0005-0000-0000-000080020000}"/>
    <cellStyle name="Percent18" xfId="640" xr:uid="{00000000-0005-0000-0000-000081020000}"/>
    <cellStyle name="Percent180" xfId="641" xr:uid="{00000000-0005-0000-0000-000082020000}"/>
    <cellStyle name="Percent181" xfId="642" xr:uid="{00000000-0005-0000-0000-000083020000}"/>
    <cellStyle name="Percent182" xfId="643" xr:uid="{00000000-0005-0000-0000-000084020000}"/>
    <cellStyle name="Percent183" xfId="644" xr:uid="{00000000-0005-0000-0000-000085020000}"/>
    <cellStyle name="Percent184" xfId="645" xr:uid="{00000000-0005-0000-0000-000086020000}"/>
    <cellStyle name="Percent185" xfId="646" xr:uid="{00000000-0005-0000-0000-000087020000}"/>
    <cellStyle name="Percent186" xfId="647" xr:uid="{00000000-0005-0000-0000-000088020000}"/>
    <cellStyle name="Percent187" xfId="648" xr:uid="{00000000-0005-0000-0000-000089020000}"/>
    <cellStyle name="Percent188" xfId="649" xr:uid="{00000000-0005-0000-0000-00008A020000}"/>
    <cellStyle name="Percent189" xfId="650" xr:uid="{00000000-0005-0000-0000-00008B020000}"/>
    <cellStyle name="Percent19" xfId="651" xr:uid="{00000000-0005-0000-0000-00008C020000}"/>
    <cellStyle name="Percent190" xfId="652" xr:uid="{00000000-0005-0000-0000-00008D020000}"/>
    <cellStyle name="Percent191" xfId="653" xr:uid="{00000000-0005-0000-0000-00008E020000}"/>
    <cellStyle name="Percent192" xfId="654" xr:uid="{00000000-0005-0000-0000-00008F020000}"/>
    <cellStyle name="Percent193" xfId="655" xr:uid="{00000000-0005-0000-0000-000090020000}"/>
    <cellStyle name="Percent194" xfId="656" xr:uid="{00000000-0005-0000-0000-000091020000}"/>
    <cellStyle name="Percent195" xfId="657" xr:uid="{00000000-0005-0000-0000-000092020000}"/>
    <cellStyle name="Percent196" xfId="658" xr:uid="{00000000-0005-0000-0000-000093020000}"/>
    <cellStyle name="Percent197" xfId="659" xr:uid="{00000000-0005-0000-0000-000094020000}"/>
    <cellStyle name="Percent198" xfId="660" xr:uid="{00000000-0005-0000-0000-000095020000}"/>
    <cellStyle name="Percent199" xfId="661" xr:uid="{00000000-0005-0000-0000-000096020000}"/>
    <cellStyle name="Percent1Bold" xfId="662" xr:uid="{00000000-0005-0000-0000-000097020000}"/>
    <cellStyle name="Percent2" xfId="663" xr:uid="{00000000-0005-0000-0000-000098020000}"/>
    <cellStyle name="Percent20" xfId="664" xr:uid="{00000000-0005-0000-0000-000099020000}"/>
    <cellStyle name="Percent200" xfId="665" xr:uid="{00000000-0005-0000-0000-00009A020000}"/>
    <cellStyle name="Percent201" xfId="666" xr:uid="{00000000-0005-0000-0000-00009B020000}"/>
    <cellStyle name="Percent202" xfId="667" xr:uid="{00000000-0005-0000-0000-00009C020000}"/>
    <cellStyle name="Percent203" xfId="668" xr:uid="{00000000-0005-0000-0000-00009D020000}"/>
    <cellStyle name="Percent204" xfId="669" xr:uid="{00000000-0005-0000-0000-00009E020000}"/>
    <cellStyle name="Percent205" xfId="670" xr:uid="{00000000-0005-0000-0000-00009F020000}"/>
    <cellStyle name="Percent206" xfId="671" xr:uid="{00000000-0005-0000-0000-0000A0020000}"/>
    <cellStyle name="Percent207" xfId="672" xr:uid="{00000000-0005-0000-0000-0000A1020000}"/>
    <cellStyle name="Percent208" xfId="673" xr:uid="{00000000-0005-0000-0000-0000A2020000}"/>
    <cellStyle name="Percent209" xfId="674" xr:uid="{00000000-0005-0000-0000-0000A3020000}"/>
    <cellStyle name="Percent21" xfId="675" xr:uid="{00000000-0005-0000-0000-0000A4020000}"/>
    <cellStyle name="Percent210" xfId="676" xr:uid="{00000000-0005-0000-0000-0000A5020000}"/>
    <cellStyle name="Percent211" xfId="677" xr:uid="{00000000-0005-0000-0000-0000A6020000}"/>
    <cellStyle name="Percent212" xfId="678" xr:uid="{00000000-0005-0000-0000-0000A7020000}"/>
    <cellStyle name="Percent213" xfId="679" xr:uid="{00000000-0005-0000-0000-0000A8020000}"/>
    <cellStyle name="Percent214" xfId="680" xr:uid="{00000000-0005-0000-0000-0000A9020000}"/>
    <cellStyle name="Percent215" xfId="681" xr:uid="{00000000-0005-0000-0000-0000AA020000}"/>
    <cellStyle name="Percent216" xfId="682" xr:uid="{00000000-0005-0000-0000-0000AB020000}"/>
    <cellStyle name="Percent217" xfId="683" xr:uid="{00000000-0005-0000-0000-0000AC020000}"/>
    <cellStyle name="Percent218" xfId="684" xr:uid="{00000000-0005-0000-0000-0000AD020000}"/>
    <cellStyle name="Percent219" xfId="685" xr:uid="{00000000-0005-0000-0000-0000AE020000}"/>
    <cellStyle name="Percent22" xfId="686" xr:uid="{00000000-0005-0000-0000-0000AF020000}"/>
    <cellStyle name="Percent220" xfId="687" xr:uid="{00000000-0005-0000-0000-0000B0020000}"/>
    <cellStyle name="Percent221" xfId="688" xr:uid="{00000000-0005-0000-0000-0000B1020000}"/>
    <cellStyle name="Percent222" xfId="689" xr:uid="{00000000-0005-0000-0000-0000B2020000}"/>
    <cellStyle name="Percent223" xfId="690" xr:uid="{00000000-0005-0000-0000-0000B3020000}"/>
    <cellStyle name="Percent224" xfId="691" xr:uid="{00000000-0005-0000-0000-0000B4020000}"/>
    <cellStyle name="Percent225" xfId="692" xr:uid="{00000000-0005-0000-0000-0000B5020000}"/>
    <cellStyle name="Percent226" xfId="693" xr:uid="{00000000-0005-0000-0000-0000B6020000}"/>
    <cellStyle name="Percent227" xfId="694" xr:uid="{00000000-0005-0000-0000-0000B7020000}"/>
    <cellStyle name="Percent228" xfId="695" xr:uid="{00000000-0005-0000-0000-0000B8020000}"/>
    <cellStyle name="Percent229" xfId="696" xr:uid="{00000000-0005-0000-0000-0000B9020000}"/>
    <cellStyle name="Percent23" xfId="697" xr:uid="{00000000-0005-0000-0000-0000BA020000}"/>
    <cellStyle name="Percent230" xfId="698" xr:uid="{00000000-0005-0000-0000-0000BB020000}"/>
    <cellStyle name="Percent231" xfId="699" xr:uid="{00000000-0005-0000-0000-0000BC020000}"/>
    <cellStyle name="Percent232" xfId="700" xr:uid="{00000000-0005-0000-0000-0000BD020000}"/>
    <cellStyle name="Percent233" xfId="701" xr:uid="{00000000-0005-0000-0000-0000BE020000}"/>
    <cellStyle name="Percent234" xfId="702" xr:uid="{00000000-0005-0000-0000-0000BF020000}"/>
    <cellStyle name="Percent235" xfId="703" xr:uid="{00000000-0005-0000-0000-0000C0020000}"/>
    <cellStyle name="Percent236" xfId="704" xr:uid="{00000000-0005-0000-0000-0000C1020000}"/>
    <cellStyle name="Percent24" xfId="705" xr:uid="{00000000-0005-0000-0000-0000C2020000}"/>
    <cellStyle name="Percent25" xfId="706" xr:uid="{00000000-0005-0000-0000-0000C3020000}"/>
    <cellStyle name="Percent26" xfId="707" xr:uid="{00000000-0005-0000-0000-0000C4020000}"/>
    <cellStyle name="Percent27" xfId="708" xr:uid="{00000000-0005-0000-0000-0000C5020000}"/>
    <cellStyle name="Percent28" xfId="709" xr:uid="{00000000-0005-0000-0000-0000C6020000}"/>
    <cellStyle name="Percent29" xfId="710" xr:uid="{00000000-0005-0000-0000-0000C7020000}"/>
    <cellStyle name="Percent3" xfId="711" xr:uid="{00000000-0005-0000-0000-0000C8020000}"/>
    <cellStyle name="Percent30" xfId="712" xr:uid="{00000000-0005-0000-0000-0000C9020000}"/>
    <cellStyle name="Percent31" xfId="713" xr:uid="{00000000-0005-0000-0000-0000CA020000}"/>
    <cellStyle name="Percent32" xfId="714" xr:uid="{00000000-0005-0000-0000-0000CB020000}"/>
    <cellStyle name="Percent33" xfId="715" xr:uid="{00000000-0005-0000-0000-0000CC020000}"/>
    <cellStyle name="Percent34" xfId="716" xr:uid="{00000000-0005-0000-0000-0000CD020000}"/>
    <cellStyle name="Percent35" xfId="717" xr:uid="{00000000-0005-0000-0000-0000CE020000}"/>
    <cellStyle name="Percent36" xfId="718" xr:uid="{00000000-0005-0000-0000-0000CF020000}"/>
    <cellStyle name="Percent37" xfId="719" xr:uid="{00000000-0005-0000-0000-0000D0020000}"/>
    <cellStyle name="Percent38" xfId="720" xr:uid="{00000000-0005-0000-0000-0000D1020000}"/>
    <cellStyle name="Percent39" xfId="721" xr:uid="{00000000-0005-0000-0000-0000D2020000}"/>
    <cellStyle name="Percent4" xfId="722" xr:uid="{00000000-0005-0000-0000-0000D3020000}"/>
    <cellStyle name="Percent40" xfId="723" xr:uid="{00000000-0005-0000-0000-0000D4020000}"/>
    <cellStyle name="Percent41" xfId="724" xr:uid="{00000000-0005-0000-0000-0000D5020000}"/>
    <cellStyle name="Percent42" xfId="725" xr:uid="{00000000-0005-0000-0000-0000D6020000}"/>
    <cellStyle name="Percent43" xfId="726" xr:uid="{00000000-0005-0000-0000-0000D7020000}"/>
    <cellStyle name="Percent44" xfId="727" xr:uid="{00000000-0005-0000-0000-0000D8020000}"/>
    <cellStyle name="Percent45" xfId="728" xr:uid="{00000000-0005-0000-0000-0000D9020000}"/>
    <cellStyle name="Percent46" xfId="729" xr:uid="{00000000-0005-0000-0000-0000DA020000}"/>
    <cellStyle name="Percent47" xfId="730" xr:uid="{00000000-0005-0000-0000-0000DB020000}"/>
    <cellStyle name="Percent48" xfId="731" xr:uid="{00000000-0005-0000-0000-0000DC020000}"/>
    <cellStyle name="Percent49" xfId="732" xr:uid="{00000000-0005-0000-0000-0000DD020000}"/>
    <cellStyle name="Percent5" xfId="733" xr:uid="{00000000-0005-0000-0000-0000DE020000}"/>
    <cellStyle name="Percent50" xfId="734" xr:uid="{00000000-0005-0000-0000-0000DF020000}"/>
    <cellStyle name="Percent51" xfId="735" xr:uid="{00000000-0005-0000-0000-0000E0020000}"/>
    <cellStyle name="Percent52" xfId="736" xr:uid="{00000000-0005-0000-0000-0000E1020000}"/>
    <cellStyle name="Percent53" xfId="737" xr:uid="{00000000-0005-0000-0000-0000E2020000}"/>
    <cellStyle name="Percent54" xfId="738" xr:uid="{00000000-0005-0000-0000-0000E3020000}"/>
    <cellStyle name="Percent55" xfId="739" xr:uid="{00000000-0005-0000-0000-0000E4020000}"/>
    <cellStyle name="Percent56" xfId="740" xr:uid="{00000000-0005-0000-0000-0000E5020000}"/>
    <cellStyle name="Percent57" xfId="741" xr:uid="{00000000-0005-0000-0000-0000E6020000}"/>
    <cellStyle name="Percent58" xfId="742" xr:uid="{00000000-0005-0000-0000-0000E7020000}"/>
    <cellStyle name="Percent59" xfId="743" xr:uid="{00000000-0005-0000-0000-0000E8020000}"/>
    <cellStyle name="Percent6" xfId="744" xr:uid="{00000000-0005-0000-0000-0000E9020000}"/>
    <cellStyle name="Percent60" xfId="745" xr:uid="{00000000-0005-0000-0000-0000EA020000}"/>
    <cellStyle name="Percent61" xfId="746" xr:uid="{00000000-0005-0000-0000-0000EB020000}"/>
    <cellStyle name="Percent62" xfId="747" xr:uid="{00000000-0005-0000-0000-0000EC020000}"/>
    <cellStyle name="Percent63" xfId="748" xr:uid="{00000000-0005-0000-0000-0000ED020000}"/>
    <cellStyle name="Percent64" xfId="749" xr:uid="{00000000-0005-0000-0000-0000EE020000}"/>
    <cellStyle name="Percent65" xfId="750" xr:uid="{00000000-0005-0000-0000-0000EF020000}"/>
    <cellStyle name="Percent66" xfId="751" xr:uid="{00000000-0005-0000-0000-0000F0020000}"/>
    <cellStyle name="Percent67" xfId="752" xr:uid="{00000000-0005-0000-0000-0000F1020000}"/>
    <cellStyle name="Percent68" xfId="753" xr:uid="{00000000-0005-0000-0000-0000F2020000}"/>
    <cellStyle name="Percent69" xfId="754" xr:uid="{00000000-0005-0000-0000-0000F3020000}"/>
    <cellStyle name="Percent7" xfId="755" xr:uid="{00000000-0005-0000-0000-0000F4020000}"/>
    <cellStyle name="Percent70" xfId="756" xr:uid="{00000000-0005-0000-0000-0000F5020000}"/>
    <cellStyle name="Percent71" xfId="757" xr:uid="{00000000-0005-0000-0000-0000F6020000}"/>
    <cellStyle name="Percent72" xfId="758" xr:uid="{00000000-0005-0000-0000-0000F7020000}"/>
    <cellStyle name="Percent73" xfId="759" xr:uid="{00000000-0005-0000-0000-0000F8020000}"/>
    <cellStyle name="Percent74" xfId="760" xr:uid="{00000000-0005-0000-0000-0000F9020000}"/>
    <cellStyle name="Percent75" xfId="761" xr:uid="{00000000-0005-0000-0000-0000FA020000}"/>
    <cellStyle name="Percent76" xfId="762" xr:uid="{00000000-0005-0000-0000-0000FB020000}"/>
    <cellStyle name="Percent77" xfId="763" xr:uid="{00000000-0005-0000-0000-0000FC020000}"/>
    <cellStyle name="Percent78" xfId="764" xr:uid="{00000000-0005-0000-0000-0000FD020000}"/>
    <cellStyle name="Percent79" xfId="765" xr:uid="{00000000-0005-0000-0000-0000FE020000}"/>
    <cellStyle name="Percent8" xfId="766" xr:uid="{00000000-0005-0000-0000-0000FF020000}"/>
    <cellStyle name="Percent80" xfId="767" xr:uid="{00000000-0005-0000-0000-000000030000}"/>
    <cellStyle name="Percent81" xfId="768" xr:uid="{00000000-0005-0000-0000-000001030000}"/>
    <cellStyle name="Percent82" xfId="769" xr:uid="{00000000-0005-0000-0000-000002030000}"/>
    <cellStyle name="Percent83" xfId="770" xr:uid="{00000000-0005-0000-0000-000003030000}"/>
    <cellStyle name="Percent84" xfId="771" xr:uid="{00000000-0005-0000-0000-000004030000}"/>
    <cellStyle name="Percent85" xfId="772" xr:uid="{00000000-0005-0000-0000-000005030000}"/>
    <cellStyle name="Percent86" xfId="773" xr:uid="{00000000-0005-0000-0000-000006030000}"/>
    <cellStyle name="Percent87" xfId="774" xr:uid="{00000000-0005-0000-0000-000007030000}"/>
    <cellStyle name="Percent88" xfId="775" xr:uid="{00000000-0005-0000-0000-000008030000}"/>
    <cellStyle name="Percent89" xfId="776" xr:uid="{00000000-0005-0000-0000-000009030000}"/>
    <cellStyle name="Percent9" xfId="777" xr:uid="{00000000-0005-0000-0000-00000A030000}"/>
    <cellStyle name="Percent90" xfId="778" xr:uid="{00000000-0005-0000-0000-00000B030000}"/>
    <cellStyle name="Percent91" xfId="779" xr:uid="{00000000-0005-0000-0000-00000C030000}"/>
    <cellStyle name="Percent92" xfId="780" xr:uid="{00000000-0005-0000-0000-00000D030000}"/>
    <cellStyle name="Percent93" xfId="781" xr:uid="{00000000-0005-0000-0000-00000E030000}"/>
    <cellStyle name="Percent94" xfId="782" xr:uid="{00000000-0005-0000-0000-00000F030000}"/>
    <cellStyle name="Percent95" xfId="783" xr:uid="{00000000-0005-0000-0000-000010030000}"/>
    <cellStyle name="Percent96" xfId="784" xr:uid="{00000000-0005-0000-0000-000011030000}"/>
    <cellStyle name="Percent97" xfId="785" xr:uid="{00000000-0005-0000-0000-000012030000}"/>
    <cellStyle name="Percent98" xfId="786" xr:uid="{00000000-0005-0000-0000-000013030000}"/>
    <cellStyle name="Percent99" xfId="787" xr:uid="{00000000-0005-0000-0000-000014030000}"/>
    <cellStyle name="Percentage" xfId="788" xr:uid="{00000000-0005-0000-0000-000015030000}"/>
    <cellStyle name="PercentStyle" xfId="789" xr:uid="{00000000-0005-0000-0000-000016030000}"/>
    <cellStyle name="PrePop Currency (0)" xfId="790" xr:uid="{00000000-0005-0000-0000-000017030000}"/>
    <cellStyle name="PrePop Currency (2)" xfId="791" xr:uid="{00000000-0005-0000-0000-000018030000}"/>
    <cellStyle name="PrePop Units (0)" xfId="792" xr:uid="{00000000-0005-0000-0000-000019030000}"/>
    <cellStyle name="PrePop Units (1)" xfId="793" xr:uid="{00000000-0005-0000-0000-00001A030000}"/>
    <cellStyle name="PrePop Units (2)" xfId="794" xr:uid="{00000000-0005-0000-0000-00001B030000}"/>
    <cellStyle name="Price" xfId="795" xr:uid="{00000000-0005-0000-0000-00001C030000}"/>
    <cellStyle name="Product Header" xfId="796" xr:uid="{00000000-0005-0000-0000-00001D030000}"/>
    <cellStyle name="PSChar" xfId="797" xr:uid="{00000000-0005-0000-0000-00001E030000}"/>
    <cellStyle name="PSDate" xfId="798" xr:uid="{00000000-0005-0000-0000-00001F030000}"/>
    <cellStyle name="PSDec" xfId="799" xr:uid="{00000000-0005-0000-0000-000020030000}"/>
    <cellStyle name="PSHeading" xfId="800" xr:uid="{00000000-0005-0000-0000-000021030000}"/>
    <cellStyle name="PSInt" xfId="801" xr:uid="{00000000-0005-0000-0000-000022030000}"/>
    <cellStyle name="PSSpacer" xfId="802" xr:uid="{00000000-0005-0000-0000-000023030000}"/>
    <cellStyle name="r" xfId="803" xr:uid="{00000000-0005-0000-0000-000024030000}"/>
    <cellStyle name="r_F&amp;W Servicing Model" xfId="804" xr:uid="{00000000-0005-0000-0000-000025030000}"/>
    <cellStyle name="r_F&amp;W Servicing Model v2" xfId="805" xr:uid="{00000000-0005-0000-0000-000026030000}"/>
    <cellStyle name="r_Yell Servicing Model" xfId="806" xr:uid="{00000000-0005-0000-0000-000027030000}"/>
    <cellStyle name="rate" xfId="807" xr:uid="{00000000-0005-0000-0000-000028030000}"/>
    <cellStyle name="Ratio" xfId="808" xr:uid="{00000000-0005-0000-0000-000029030000}"/>
    <cellStyle name="Ratio Comma" xfId="809" xr:uid="{00000000-0005-0000-0000-00002A030000}"/>
    <cellStyle name="Ratio_Private" xfId="810" xr:uid="{00000000-0005-0000-0000-00002B030000}"/>
    <cellStyle name="regstoresfromspecstores" xfId="811" xr:uid="{00000000-0005-0000-0000-00002C030000}"/>
    <cellStyle name="RevList" xfId="812" xr:uid="{00000000-0005-0000-0000-00002D030000}"/>
    <cellStyle name="Right" xfId="813" xr:uid="{00000000-0005-0000-0000-00002E030000}"/>
    <cellStyle name="RightBold" xfId="814" xr:uid="{00000000-0005-0000-0000-00002F030000}"/>
    <cellStyle name="RightBoldBottomRule" xfId="815" xr:uid="{00000000-0005-0000-0000-000030030000}"/>
    <cellStyle name="RightBoldCenterRule" xfId="816" xr:uid="{00000000-0005-0000-0000-000031030000}"/>
    <cellStyle name="Section" xfId="817" xr:uid="{00000000-0005-0000-0000-000032030000}"/>
    <cellStyle name="SectionHeaderNormal" xfId="818" xr:uid="{00000000-0005-0000-0000-000033030000}"/>
    <cellStyle name="SHADEDSTORES" xfId="819" xr:uid="{00000000-0005-0000-0000-000034030000}"/>
    <cellStyle name="Short $" xfId="820" xr:uid="{00000000-0005-0000-0000-000035030000}"/>
    <cellStyle name="ShOut" xfId="821" xr:uid="{00000000-0005-0000-0000-000036030000}"/>
    <cellStyle name="Simple" xfId="822" xr:uid="{00000000-0005-0000-0000-000037030000}"/>
    <cellStyle name="SimpleBold" xfId="823" xr:uid="{00000000-0005-0000-0000-000038030000}"/>
    <cellStyle name="Single Accounting" xfId="824" xr:uid="{00000000-0005-0000-0000-000039030000}"/>
    <cellStyle name="specstores" xfId="825" xr:uid="{00000000-0005-0000-0000-00003A030000}"/>
    <cellStyle name="Stock Comma" xfId="826" xr:uid="{00000000-0005-0000-0000-00003B030000}"/>
    <cellStyle name="Stock Price" xfId="827" xr:uid="{00000000-0005-0000-0000-00003C030000}"/>
    <cellStyle name="Style 1" xfId="828" xr:uid="{00000000-0005-0000-0000-00003D030000}"/>
    <cellStyle name="Style 21" xfId="829" xr:uid="{00000000-0005-0000-0000-00003E030000}"/>
    <cellStyle name="Style 22" xfId="830" xr:uid="{00000000-0005-0000-0000-00003F030000}"/>
    <cellStyle name="Style 23" xfId="831" xr:uid="{00000000-0005-0000-0000-000040030000}"/>
    <cellStyle name="Style 24" xfId="832" xr:uid="{00000000-0005-0000-0000-000041030000}"/>
    <cellStyle name="Style 25" xfId="833" xr:uid="{00000000-0005-0000-0000-000042030000}"/>
    <cellStyle name="Style 26" xfId="834" xr:uid="{00000000-0005-0000-0000-000043030000}"/>
    <cellStyle name="Style 27" xfId="835" xr:uid="{00000000-0005-0000-0000-000044030000}"/>
    <cellStyle name="Style 28" xfId="836" xr:uid="{00000000-0005-0000-0000-000045030000}"/>
    <cellStyle name="Style 29" xfId="837" xr:uid="{00000000-0005-0000-0000-000046030000}"/>
    <cellStyle name="Style 30" xfId="838" xr:uid="{00000000-0005-0000-0000-000047030000}"/>
    <cellStyle name="Style 31" xfId="839" xr:uid="{00000000-0005-0000-0000-000048030000}"/>
    <cellStyle name="Style 32" xfId="840" xr:uid="{00000000-0005-0000-0000-000049030000}"/>
    <cellStyle name="Style 33" xfId="841" xr:uid="{00000000-0005-0000-0000-00004A030000}"/>
    <cellStyle name="Style 34" xfId="842" xr:uid="{00000000-0005-0000-0000-00004B030000}"/>
    <cellStyle name="Style 35" xfId="843" xr:uid="{00000000-0005-0000-0000-00004C030000}"/>
    <cellStyle name="Style 36" xfId="844" xr:uid="{00000000-0005-0000-0000-00004D030000}"/>
    <cellStyle name="Style 37" xfId="845" xr:uid="{00000000-0005-0000-0000-00004E030000}"/>
    <cellStyle name="Style 38" xfId="846" xr:uid="{00000000-0005-0000-0000-00004F030000}"/>
    <cellStyle name="Style 39" xfId="847" xr:uid="{00000000-0005-0000-0000-000050030000}"/>
    <cellStyle name="Style 40" xfId="848" xr:uid="{00000000-0005-0000-0000-000051030000}"/>
    <cellStyle name="Style 41" xfId="849" xr:uid="{00000000-0005-0000-0000-000052030000}"/>
    <cellStyle name="Style 42" xfId="850" xr:uid="{00000000-0005-0000-0000-000053030000}"/>
    <cellStyle name="Style 43" xfId="851" xr:uid="{00000000-0005-0000-0000-000054030000}"/>
    <cellStyle name="Style 44" xfId="852" xr:uid="{00000000-0005-0000-0000-000055030000}"/>
    <cellStyle name="Style 45" xfId="853" xr:uid="{00000000-0005-0000-0000-000056030000}"/>
    <cellStyle name="Style 46" xfId="854" xr:uid="{00000000-0005-0000-0000-000057030000}"/>
    <cellStyle name="Style 47" xfId="855" xr:uid="{00000000-0005-0000-0000-000058030000}"/>
    <cellStyle name="Style 48" xfId="856" xr:uid="{00000000-0005-0000-0000-000059030000}"/>
    <cellStyle name="STYLE1" xfId="857" xr:uid="{00000000-0005-0000-0000-00005A030000}"/>
    <cellStyle name="SubScript" xfId="858" xr:uid="{00000000-0005-0000-0000-00005B030000}"/>
    <cellStyle name="Subtotal" xfId="859" xr:uid="{00000000-0005-0000-0000-00005C030000}"/>
    <cellStyle name="Sum" xfId="860" xr:uid="{00000000-0005-0000-0000-00005D030000}"/>
    <cellStyle name="SuperScript" xfId="861" xr:uid="{00000000-0005-0000-0000-00005E030000}"/>
    <cellStyle name="Table_Title" xfId="862" xr:uid="{00000000-0005-0000-0000-00005F030000}"/>
    <cellStyle name="Test" xfId="863" xr:uid="{00000000-0005-0000-0000-000060030000}"/>
    <cellStyle name="Text Indent A" xfId="864" xr:uid="{00000000-0005-0000-0000-000061030000}"/>
    <cellStyle name="Text Indent B" xfId="865" xr:uid="{00000000-0005-0000-0000-000062030000}"/>
    <cellStyle name="Text Indent C" xfId="866" xr:uid="{00000000-0005-0000-0000-000063030000}"/>
    <cellStyle name="TextBold" xfId="867" xr:uid="{00000000-0005-0000-0000-000064030000}"/>
    <cellStyle name="TextItalic" xfId="868" xr:uid="{00000000-0005-0000-0000-000065030000}"/>
    <cellStyle name="TextNormal" xfId="869" xr:uid="{00000000-0005-0000-0000-000066030000}"/>
    <cellStyle name="Time" xfId="870" xr:uid="{00000000-0005-0000-0000-000067030000}"/>
    <cellStyle name="Times 10" xfId="871" xr:uid="{00000000-0005-0000-0000-000068030000}"/>
    <cellStyle name="Times 12" xfId="872" xr:uid="{00000000-0005-0000-0000-000069030000}"/>
    <cellStyle name="Title - PROJECT" xfId="873" xr:uid="{00000000-0005-0000-0000-00006A030000}"/>
    <cellStyle name="Title - Underline" xfId="874" xr:uid="{00000000-0005-0000-0000-00006B030000}"/>
    <cellStyle name="Title1" xfId="875" xr:uid="{00000000-0005-0000-0000-00006C030000}"/>
    <cellStyle name="Title2" xfId="876" xr:uid="{00000000-0005-0000-0000-00006D030000}"/>
    <cellStyle name="TitleNormal" xfId="877" xr:uid="{00000000-0005-0000-0000-00006E030000}"/>
    <cellStyle name="Titles - Col. Headings" xfId="878" xr:uid="{00000000-0005-0000-0000-00006F030000}"/>
    <cellStyle name="Titles - Other" xfId="879" xr:uid="{00000000-0005-0000-0000-000070030000}"/>
    <cellStyle name="Top Edge" xfId="880" xr:uid="{00000000-0005-0000-0000-000071030000}"/>
    <cellStyle name="Total" xfId="881" builtinId="25" customBuiltin="1"/>
    <cellStyle name="ubordinated Debt" xfId="882" xr:uid="{00000000-0005-0000-0000-000073030000}"/>
    <cellStyle name="wheat merger's and acquisitions" xfId="883" xr:uid="{00000000-0005-0000-0000-000074030000}"/>
    <cellStyle name="x" xfId="884" xr:uid="{00000000-0005-0000-0000-000075030000}"/>
    <cellStyle name="x_TSA Model - 1 8 06 - v2" xfId="885" xr:uid="{00000000-0005-0000-0000-000076030000}"/>
    <cellStyle name="Y2K Compliant Date Fmt" xfId="886" xr:uid="{00000000-0005-0000-0000-000077030000}"/>
    <cellStyle name="Years" xfId="887" xr:uid="{00000000-0005-0000-0000-000078030000}"/>
    <cellStyle name="yellow" xfId="888" xr:uid="{00000000-0005-0000-0000-000079030000}"/>
    <cellStyle name="Yen" xfId="889" xr:uid="{00000000-0005-0000-0000-00007A030000}"/>
    <cellStyle name="YYYY" xfId="890" xr:uid="{00000000-0005-0000-0000-00007B030000}"/>
    <cellStyle name="桁区切り [0.00]_Appendix" xfId="891" xr:uid="{00000000-0005-0000-0000-00007C030000}"/>
    <cellStyle name="桁区切り_Appendix" xfId="892" xr:uid="{00000000-0005-0000-0000-00007D030000}"/>
    <cellStyle name="標準_Appendix" xfId="893" xr:uid="{00000000-0005-0000-0000-00007E030000}"/>
    <cellStyle name="通貨 [0.00]_Appendix" xfId="894" xr:uid="{00000000-0005-0000-0000-00007F030000}"/>
    <cellStyle name="通貨_Appendix" xfId="895" xr:uid="{00000000-0005-0000-0000-00008003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9" Type="http://schemas.openxmlformats.org/officeDocument/2006/relationships/customXml" Target="../customXml/item2.xml"/><Relationship Id="rId21" Type="http://schemas.openxmlformats.org/officeDocument/2006/relationships/externalLink" Target="externalLinks/externalLink19.xml"/><Relationship Id="rId34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externalLink" Target="externalLinks/externalLink3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29" Type="http://schemas.openxmlformats.org/officeDocument/2006/relationships/externalLink" Target="externalLinks/externalLink2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externalLink" Target="externalLinks/externalLink30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sharedStrings" Target="sharedStrings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externalLink" Target="externalLinks/externalLink29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styles" Target="styles.xml"/><Relationship Id="rId8" Type="http://schemas.openxmlformats.org/officeDocument/2006/relationships/externalLink" Target="externalLinks/externalLink6.xml"/><Relationship Id="rId3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Documents%20and%20Settings\GBlank\Local%20Settings\Temporary%20Internet%20Files\OLK39\TSA%20Model%20-%201%208%2006%20-%20v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Office\Media\COMPS%20-%20B2B%20Publisher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My%20Documents\TPG\LBO\Bally\BFT%20Forecas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ETG%20Templ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\APPROVAL%20MEMOS\Endurance%20Media\BLT%20Work\EBM%20Quarterly%20Mode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%20Info%2022%20(Adam%20Silver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ChartDat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Bank%20Correspondence\JMI%20Model%20(Wx%20Model%20-%20BMO%20Adjusted%205-18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CMP%20II\INACTIVE%20DEALS\Facts%20on%20File\Transaction%20Models\FOF%20Model%20v3%20(Asset%20Purchase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jects5\Barracuda\Documents%20and%20Settings\nbk7h1e\Local%20Settings\Temporary%20Internet%20Files\OLK61\Bank%20Austria\Returns@@@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TruCom\BridgeCom%20Budget%20200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-fil01\data\Wicks\Wicks%20Model\JMI%20Model%20(Wx%20Model%20-%20BMO%20Adjusted%205-18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Crescent%20Publishing%20Company,%20LLC\R0%20-%20Aug%202,%202001\CrescentPublishing%20Model%208-01%20R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redit%20Derivatives%20Group\Emerging\CBO\MFS\Jersey%20Street%20CLO\Warehouse\Warehouse%20Report\versions\August\Jersey%20Street%20CLO%208.7.06%20Committed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wicksgroup.com/PORTFOLIO%20COMPANIES/Bressler%20Outdoor/Financial%20Models/SubDebt%20Model%20-%20IRR%20-$30MM%20Equity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unzipped\7xbb01_\7b7k01_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TEMP\Consolidated%2012-4-0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tc-neptune\accounting\Invoices\Invoice%2099\z.December%201999\DEC99Invoice%20Summary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osetta%20Stone%20Model%20(91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Company%20Materials\Company%20Materials\Bank%20Model_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%20Research\_RAs\Takacs_G\PORTFOLIO%20-%20Takacs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Spring%202002\Modeling\Problem%204%20worksheet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Bank%20Model_2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NT14\USERS$\mm93223\My%20Documents\Templates\Servicing%20Template%20-%20MAB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EMcKee\Local%20Settings\Temporary%20Internet%20Files\OLK12\65%20UVN%207-Year%20Model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windows\TEMP\financial%20forecast%207.27.98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Beckett\Deals%20in%20process\UniFocus%20R6\Unifocus%20Model%204-02%20R6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CRothbard\Local%20Settings\Temporary%20Internet%20Files\OLK146\JMI_WMI%20Financing%20Model%20(02-09-06)_vTD4%2006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jorr\Local%20Settings\Temporary%20Internet%20Files\OLK27\MC-DW-JOB%20Merger%20Model%20for%20Syndicate%20-%203.31.05%20rjf%205.03.05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Corporate%20Development\JMI_WMI%20Combination\2005.11\Oct%202005\MEDCON%20Projection%20Model%20September%202005%20(09-13-05)%20v2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M&amp;A_Deal\New%20Models\dcf.sh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Returns Summary"/>
      <sheetName val="Case Logic"/>
      <sheetName val="Option Summary"/>
      <sheetName val="TRANSACTION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 Page"/>
      <sheetName val="Deal Multiples"/>
      <sheetName val="Asset Coverage"/>
      <sheetName val="Status"/>
      <sheetName val="Output"/>
      <sheetName val="Graphs"/>
      <sheetName val="Inputs"/>
      <sheetName val="WARF"/>
      <sheetName val="Comps"/>
      <sheetName val="Magazines"/>
      <sheetName val="2"/>
      <sheetName val="4"/>
      <sheetName val="5"/>
      <sheetName val="6"/>
      <sheetName val="7"/>
      <sheetName val="8"/>
      <sheetName val="10"/>
      <sheetName val="11"/>
      <sheetName val="12"/>
      <sheetName val="14"/>
      <sheetName val="16"/>
      <sheetName val="1"/>
      <sheetName val="3"/>
      <sheetName val="9"/>
      <sheetName val="13"/>
      <sheetName val="15"/>
      <sheetName val="ARP"/>
      <sheetName val="CNG"/>
      <sheetName val="F&amp;W"/>
      <sheetName val="HNW"/>
      <sheetName val="IMO"/>
      <sheetName val="JMI"/>
      <sheetName val="MMH"/>
      <sheetName val="PRM"/>
      <sheetName val="RDA"/>
      <sheetName val="SRCE"/>
      <sheetName val="SPRG"/>
      <sheetName val="WNM"/>
      <sheetName val="RVDP"/>
      <sheetName val="SMTB"/>
      <sheetName val="TMN"/>
      <sheetName val="Portfolio"/>
      <sheetName val="LBO Summary"/>
      <sheetName val="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ttrition"/>
      <sheetName val="Sheet1"/>
      <sheetName val="IncStmt"/>
      <sheetName val="CashFlow"/>
      <sheetName val="BalSht"/>
      <sheetName val="Allowance"/>
      <sheetName val="CashEBITDA"/>
      <sheetName val="FxdChg"/>
      <sheetName val="Ratio"/>
      <sheetName val="Module1"/>
      <sheetName val="LBO Summary"/>
      <sheetName val="Char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Tanning Assumptions"/>
      <sheetName val="Tanning P&amp;L"/>
      <sheetName val="Tanning Balance Sheets"/>
      <sheetName val="Tanning Cash Flows"/>
      <sheetName val="Meta P&amp;L"/>
      <sheetName val="Meta Balance Sheet"/>
      <sheetName val="Meta Cash Flow"/>
      <sheetName val="Combined Balance Sheet"/>
      <sheetName val="Combined P&amp;L"/>
      <sheetName val="Combined Cash Flow"/>
      <sheetName val="Shares"/>
      <sheetName val="EssRet"/>
      <sheetName val="Meta Segments"/>
      <sheetName val="Capex"/>
      <sheetName val="Sheet5"/>
      <sheetName val="D"/>
      <sheetName val="TRANSA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Qual. Analysis"/>
      <sheetName val="Inputs"/>
      <sheetName val="Base"/>
      <sheetName val="EV_DCF Analysis"/>
      <sheetName val="VeCTOR Import"/>
      <sheetName val="Annual Summar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tions"/>
      <sheetName val="Calcs"/>
      <sheetName val="Account"/>
      <sheetName val="OCTrends"/>
      <sheetName val="ICTrends"/>
      <sheetName val="DivTrends"/>
      <sheetName val="WARFTrends"/>
      <sheetName val="WARFFitchTrends"/>
      <sheetName val="WASTrends"/>
      <sheetName val="WACTrends"/>
      <sheetName val="WALTrends"/>
      <sheetName val="Debt Structure"/>
      <sheetName val="Fund Schedule"/>
      <sheetName val="Principal"/>
      <sheetName val="Ineligible"/>
      <sheetName val="S&amp;P Industry"/>
      <sheetName val="Trade Activity Summary"/>
      <sheetName val="Sale Activity Bond"/>
      <sheetName val="Sale Activity"/>
      <sheetName val="Buy Activity Bond"/>
      <sheetName val="Buy Activity"/>
      <sheetName val="Default"/>
      <sheetName val="CCC"/>
      <sheetName val="CCCBond"/>
      <sheetName val="Presentation Info 22 (Adam Silv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M YTD 2000"/>
      <sheetName val="AUM_Chart"/>
      <sheetName val="Cap Structure"/>
      <sheetName val="TOP10"/>
      <sheetName val="DefaultHistory"/>
      <sheetName val="DefaultedSecuritySummary"/>
      <sheetName val="DefaultedSecuritySummary2"/>
      <sheetName val="DefaultedSecurityData"/>
      <sheetName val="Actual vs Covenant"/>
      <sheetName val="APEX"/>
      <sheetName val="APEX_MR"/>
      <sheetName val="APEX_SR"/>
      <sheetName val="APEX_MI"/>
      <sheetName val="APEX_SI"/>
      <sheetName val="ELC1"/>
      <sheetName val="ELC1_SR"/>
      <sheetName val="ELC1_MR"/>
      <sheetName val="ELC1_FR"/>
      <sheetName val="ELC1_SI"/>
      <sheetName val="ELC1_MI"/>
      <sheetName val="ELC2"/>
      <sheetName val="ELC2_SR"/>
      <sheetName val="ELC2_FR"/>
      <sheetName val="ELC2_SI"/>
      <sheetName val="ELC2_MI"/>
      <sheetName val="ELC3"/>
      <sheetName val="ELC3_MR"/>
      <sheetName val="ELC3_SR"/>
      <sheetName val="ELC3_FR"/>
      <sheetName val="ELC3_MI"/>
      <sheetName val="ELC3_SI"/>
      <sheetName val="ELC4"/>
      <sheetName val="ELC4_MR"/>
      <sheetName val="ELC4_SR"/>
      <sheetName val="ELC4_MI"/>
      <sheetName val="ELC4_SI"/>
      <sheetName val="ELC5"/>
      <sheetName val="ELC5_MR"/>
      <sheetName val="ELC5_SR"/>
      <sheetName val="ELC5_MI"/>
      <sheetName val="ELC5_SI"/>
      <sheetName val="TRYN"/>
      <sheetName val="TRYN_MR"/>
      <sheetName val="TRYN_SR"/>
      <sheetName val="TRYN_SI"/>
      <sheetName val="TRYN_MI"/>
      <sheetName val="SaleData"/>
      <sheetName val="SH_Results"/>
      <sheetName val="SH_APEX"/>
      <sheetName val="SH_ELC1"/>
      <sheetName val="SH_ELC2"/>
      <sheetName val="SH_ELC3"/>
      <sheetName val="SH_ELC4"/>
      <sheetName val="SH_ELC5"/>
      <sheetName val="SH_TR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DISPLAY"/>
      <sheetName val="CONTRO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&amp;U"/>
      <sheetName val="BS"/>
      <sheetName val="IS"/>
      <sheetName val="CFS"/>
      <sheetName val="REV"/>
      <sheetName val="RATIO"/>
      <sheetName val="RETURN"/>
      <sheetName val="CONTROL"/>
      <sheetName val="D&amp;A"/>
    </sheetNames>
    <sheetDataSet>
      <sheetData sheetId="0" refreshError="1"/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flows"/>
      <sheetName val="OC-IC"/>
      <sheetName val="Sources and Uses"/>
      <sheetName val="After Tax"/>
      <sheetName val="Tax Report"/>
      <sheetName val="Price Yield"/>
      <sheetName val="LIBOR"/>
      <sheetName val="Revolver"/>
      <sheetName val="PV Calc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DRIVER"/>
      <sheetName val="Sheet1"/>
      <sheetName val="Bcom IS-Mnthly"/>
      <sheetName val="Conversion Balance Sheet"/>
      <sheetName val="Bcom BS-Mnthly"/>
      <sheetName val="Bcom FAS95-Mnthly"/>
      <sheetName val="Bcom Rollup-Income"/>
      <sheetName val="Bcom Rollup- Balance"/>
      <sheetName val="Bcom Conversion Charge Adj"/>
      <sheetName val="Bcom Debt"/>
      <sheetName val="Bcom Fixed Assets"/>
      <sheetName val="Bcom Lines"/>
      <sheetName val="Bcom New AE Efficiency"/>
      <sheetName val="Bcom Rev"/>
      <sheetName val="Bcom COGS"/>
      <sheetName val="Bcom-SG&amp;A,Taxes"/>
      <sheetName val="Bcom HEADCOUNT"/>
      <sheetName val="MasterDriverTrucom"/>
      <sheetName val="TruCom IS"/>
      <sheetName val="TruCom BS"/>
      <sheetName val="TruCom FAS95-Mnthly"/>
      <sheetName val="TruCom Rev"/>
      <sheetName val="TruCom COGS"/>
      <sheetName val="TruCom Lines"/>
      <sheetName val="TruCom-SG&amp;A,Taxes"/>
      <sheetName val="TruCom HEADCOUNT"/>
      <sheetName val="TruCom Amort."/>
      <sheetName val="TruCom Fixed Assets"/>
      <sheetName val="TruCom Debt"/>
      <sheetName val="TruCom Debt worksheet"/>
      <sheetName val="Cap Tables"/>
      <sheetName val="TruCom Cash Acct. Recon."/>
      <sheetName val="MASTER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DISPLAY"/>
      <sheetName val="OPT-MIS"/>
      <sheetName val="REV"/>
      <sheetName val="EXP"/>
      <sheetName val="MODR"/>
      <sheetName val="D&amp;A"/>
      <sheetName val="DEBT"/>
      <sheetName val="COVS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CM 2000 Rev Chart"/>
      <sheetName val="MCM 2001 Rev Chart"/>
      <sheetName val="MCM 1999 P&amp;L"/>
      <sheetName val="MCM 2000 P&amp;L"/>
      <sheetName val="MCM 2001 Plan"/>
      <sheetName val="MCM 2000 and 2001 Plan"/>
      <sheetName val="GSN Hist IS"/>
      <sheetName val="GSN Hist BS"/>
      <sheetName val="CC 2000 Detail"/>
      <sheetName val="CC 2000 IS"/>
      <sheetName val="CC 2000 BS"/>
      <sheetName val="CC 2000 CF"/>
      <sheetName val="Crescent Mo IS 9-00 to 6-01"/>
      <sheetName val="Crescent Qtr IS Sep00-Jun01"/>
      <sheetName val="Target P&amp;L RollUp"/>
      <sheetName val="Target P&amp;L RollUp June"/>
      <sheetName val="Target P&amp;L Pct Sales"/>
      <sheetName val="MASTER DRIVERS"/>
      <sheetName val="Summary"/>
      <sheetName val="IS Sum"/>
      <sheetName val="BS Sum"/>
      <sheetName val="CF Sum"/>
      <sheetName val="Covenants and Capitalization"/>
      <sheetName val="Ret Earn Reconcile"/>
      <sheetName val="GSN IS Sum"/>
      <sheetName val="Maine IS Sum"/>
      <sheetName val="Conversion BS"/>
      <sheetName val="Key Ratios"/>
      <sheetName val="MCG vs Vaxa"/>
      <sheetName val="Exhibits1"/>
      <sheetName val="Exhibits2"/>
      <sheetName val="IS"/>
      <sheetName val="BS"/>
      <sheetName val="CF"/>
      <sheetName val="Debt"/>
      <sheetName val="Fixed Assets"/>
      <sheetName val="Intangibles"/>
      <sheetName val="DCF"/>
      <sheetName val="Initial TTM EBITDA by Cluster"/>
      <sheetName val="Geographic Concentration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anX"/>
      <sheetName val="Portfolio Input"/>
      <sheetName val="Warehouse Summary"/>
      <sheetName val="Investor Summary"/>
      <sheetName val="Industry"/>
      <sheetName val="Rating"/>
      <sheetName val="Broad Loan Category"/>
      <sheetName val="Diversity Calc"/>
      <sheetName val="Vlooku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"/>
      <sheetName val="Pipeline"/>
      <sheetName val="Monthly Financials"/>
      <sheetName val="Quarterly Financials"/>
      <sheetName val="Yearly Financials"/>
      <sheetName val="Distributions"/>
      <sheetName val="Returns"/>
      <sheetName val="Operations"/>
      <sheetName val="Payroll"/>
      <sheetName val="Depreciation"/>
      <sheetName val="Debt"/>
      <sheetName val="Equi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"/>
      <sheetName val="Model"/>
      <sheetName val="Portfolio Input"/>
    </sheetNames>
    <sheetDataSet>
      <sheetData sheetId="0"/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TransSum"/>
      <sheetName val="Consolidated"/>
      <sheetName val="JDPC Proj."/>
      <sheetName val="EG Proj."/>
      <sheetName val="KBB Proj. 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liminary"/>
      <sheetName val="Final"/>
    </sheetNames>
    <sheetDataSet>
      <sheetData sheetId="0" refreshError="1"/>
      <sheetData sheetId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01_05_v_Wicks_xls__01_05_v_Wic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Adj 2006"/>
      <sheetName val="Credit"/>
      <sheetName val="For Banks"/>
      <sheetName val="_01_05_v_Wicks_xls__01_05_v_Wi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 Yields"/>
      <sheetName val="Vector Output"/>
      <sheetName val="Portfolio"/>
      <sheetName val="Action Items"/>
      <sheetName val="Defense Comps"/>
      <sheetName val="Telecom"/>
      <sheetName val="WARF"/>
      <sheetName val="Template"/>
      <sheetName val="1"/>
      <sheetName val="2"/>
      <sheetName val="3"/>
      <sheetName val="4"/>
      <sheetName val="Credit Breakdown"/>
      <sheetName val="Auto EVs"/>
      <sheetName val="WARF Tracker"/>
      <sheetName val="Deal Multiples"/>
      <sheetName val="Status"/>
      <sheetName val="Output"/>
      <sheetName val="Graphs"/>
      <sheetName val="Inputs"/>
      <sheetName val="LBO Summary"/>
      <sheetName val="Tanning Assumptions"/>
      <sheetName val="IncStmt"/>
      <sheetName val="BS"/>
      <sheetName val="DCF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y-by-night - Base"/>
      <sheetName val="Fly-by-night - problem 5"/>
      <sheetName val="Fly-by-night - problem 6"/>
      <sheetName val="Fly-by-night - Base with ltd"/>
      <sheetName val="Portfolio"/>
      <sheetName val="MASTER DRIVER"/>
      <sheetName val="LBO Summary"/>
      <sheetName val="IncStm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Credit"/>
      <sheetName val="Summary"/>
      <sheetName val="Segments"/>
      <sheetName val="Adjustments"/>
      <sheetName val="Fly-by-night - problem 5"/>
      <sheetName val="Input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al Info"/>
      <sheetName val="Qualitative Analysis"/>
      <sheetName val="Base"/>
      <sheetName val="EV_DCF Analysis"/>
      <sheetName val="VeCTOR Import"/>
      <sheetName val="Annual Summary"/>
      <sheetName val="LBO Summary"/>
      <sheetName val="Fly-by-night - problem 5"/>
      <sheetName val="Segment Info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SUMMARY"/>
      <sheetName val="TRANSACTION"/>
      <sheetName val="Capital Structure"/>
      <sheetName val="DEBT DETAIL"/>
      <sheetName val="Sheet2"/>
      <sheetName val="Flat EBITDA"/>
      <sheetName val="Scenario Fan"/>
      <sheetName val="Sheet1"/>
      <sheetName val="Sheet1 (2)"/>
      <sheetName val="Case Comparison"/>
      <sheetName val="INCOME STATEMENT"/>
      <sheetName val="BALANCE SHEET"/>
      <sheetName val="CASH FLOW"/>
      <sheetName val="World Cup"/>
      <sheetName val="Taxes"/>
      <sheetName val="CAPEX &amp; INTANG"/>
      <sheetName val="Drivers"/>
      <sheetName val="WORKING CAPITAL"/>
      <sheetName val="Buildup"/>
      <sheetName val="S&amp;U"/>
      <sheetName val="TV Build"/>
      <sheetName val="TV Group"/>
      <sheetName val="UVN"/>
      <sheetName val="TLF"/>
      <sheetName val="Gala"/>
      <sheetName val="TV Station Group"/>
      <sheetName val="UTG"/>
      <sheetName val="TTG"/>
      <sheetName val="Radio Operating Build"/>
      <sheetName val="Radio Drivers"/>
      <sheetName val="Consolidated"/>
      <sheetName val="Market Build"/>
      <sheetName val="Other"/>
      <sheetName val="Overview"/>
      <sheetName val="Margin Bridge"/>
      <sheetName val="Projections Detail"/>
      <sheetName val="VeCTOR Import"/>
      <sheetName val="LBO Summary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reciation"/>
      <sheetName val="S&amp;U"/>
      <sheetName val="Sheet1"/>
      <sheetName val="1998 assump"/>
      <sheetName val="1997 assump"/>
      <sheetName val="******"/>
      <sheetName val="1998 P &amp; L"/>
      <sheetName val="1999 P &amp; L"/>
      <sheetName val="summ people"/>
      <sheetName val="people"/>
      <sheetName val="Sheet2"/>
      <sheetName val="B"/>
      <sheetName val="Sheet5"/>
      <sheetName val="Employees"/>
      <sheetName val="Reconcile"/>
      <sheetName val="D"/>
      <sheetName val="TRANSACTION"/>
      <sheetName val="VeCTOR Im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ovCalcs Table"/>
      <sheetName val="IS Table"/>
      <sheetName val="BS Table"/>
      <sheetName val="SoCF Table"/>
      <sheetName val="RE &amp; DIVS Table"/>
      <sheetName val="Debt Table"/>
      <sheetName val="RE &amp; DIVS"/>
      <sheetName val="Debt"/>
      <sheetName val="BalSh Comb"/>
      <sheetName val="SoCF Comb"/>
      <sheetName val="IS Comb"/>
      <sheetName val="Covenant Summary"/>
      <sheetName val="UF P&amp;L-Mth"/>
      <sheetName val="Sheet1"/>
      <sheetName val="MASTER"/>
      <sheetName val="FC P&amp;L-Mth"/>
      <sheetName val="Headcount"/>
      <sheetName val="New FC Contracts"/>
      <sheetName val="UF Bal-Mth"/>
      <sheetName val="FC Bal-Mth"/>
      <sheetName val="Fixed Assets"/>
      <sheetName val="G&amp;A"/>
      <sheetName val="FC Contracts 2001"/>
      <sheetName val="End Model"/>
      <sheetName val="Combnd Hist BS"/>
      <sheetName val="UF Bal Sheet"/>
      <sheetName val="FC Bal Sheet"/>
      <sheetName val="UF P&amp;L Hist"/>
      <sheetName val="FC P&amp;L Hist"/>
      <sheetName val="UF2000"/>
      <sheetName val="UF2001"/>
      <sheetName val="FC2000"/>
      <sheetName val="FC2001"/>
      <sheetName val="vs. 2001 actuals"/>
      <sheetName val="Sheet3"/>
      <sheetName val="Equity Table"/>
      <sheetName val="Card Count Table"/>
      <sheetName val="BS Tables"/>
      <sheetName val="Concentr Table"/>
      <sheetName val="BS Analysis"/>
      <sheetName val="Table 5"/>
      <sheetName val="Table 4"/>
      <sheetName val="Table 3"/>
      <sheetName val="Table 2"/>
      <sheetName val="Table 1"/>
      <sheetName val="DCF"/>
      <sheetName val="top50hotels"/>
      <sheetName val="Sheet5"/>
      <sheetName val="D"/>
      <sheetName val="MASTER DRIV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OBS - MEDCON"/>
      <sheetName val="OBS - REFI"/>
      <sheetName val="AFS"/>
      <sheetName val="MBS"/>
      <sheetName val="MMIS (2)"/>
      <sheetName val="WHEC"/>
      <sheetName val="MIS"/>
      <sheetName val="MCF"/>
      <sheetName val="PACING06"/>
      <sheetName val="D&amp;A"/>
      <sheetName val="D&amp;A (2)"/>
      <sheetName val="DEBT"/>
      <sheetName val="CHARTS&gt;&gt;&gt;"/>
      <sheetName val="S&amp;U_CAP_MERGER"/>
      <sheetName val="S&amp;U_CAP_REFI"/>
      <sheetName val="MEDCON IS"/>
      <sheetName val="SUM IS"/>
      <sheetName val="PF IS"/>
      <sheetName val="PF BS"/>
      <sheetName val="COVS"/>
      <sheetName val="ECF"/>
      <sheetName val="Bridge"/>
      <sheetName val="HoldCo INT"/>
      <sheetName val="PACING05"/>
      <sheetName val="MASTER"/>
    </sheetNames>
    <sheetDataSet>
      <sheetData sheetId="0"/>
      <sheetData sheetId="1" refreshError="1"/>
      <sheetData sheetId="2"/>
      <sheetData sheetId="3" refreshError="1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CONTROL"/>
      <sheetName val="OBS - REFI"/>
      <sheetName val="WH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AFS"/>
      <sheetName val="MIS"/>
      <sheetName val="MBS"/>
      <sheetName val="MCF"/>
      <sheetName val="DEBT"/>
      <sheetName val="D&amp;A"/>
      <sheetName val="COVS_ACTUAL"/>
      <sheetName val="COVS"/>
      <sheetName val="PACING05"/>
      <sheetName val="PACING06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CF"/>
      <sheetName val="DCFnew"/>
      <sheetName val="COVS_ACTUAL"/>
      <sheetName val="D&amp;A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3:P2156"/>
  <sheetViews>
    <sheetView showGridLines="0" tabSelected="1" zoomScaleNormal="100" workbookViewId="0">
      <selection activeCell="L2" sqref="L2"/>
    </sheetView>
  </sheetViews>
  <sheetFormatPr defaultColWidth="11.42578125" defaultRowHeight="12.75"/>
  <cols>
    <col min="1" max="1" width="6.28515625" style="28" customWidth="1"/>
    <col min="2" max="2" width="50.7109375" style="28" customWidth="1"/>
    <col min="3" max="7" width="12.7109375" style="28" customWidth="1"/>
    <col min="8" max="8" width="50.7109375" style="28" customWidth="1"/>
    <col min="9" max="12" width="12.7109375" style="28" customWidth="1"/>
    <col min="13" max="13" width="11.42578125" style="28"/>
    <col min="14" max="14" width="35" style="28" customWidth="1"/>
    <col min="15" max="15" width="79.140625" style="28" customWidth="1"/>
    <col min="16" max="16384" width="11.42578125" style="28"/>
  </cols>
  <sheetData>
    <row r="3" spans="1:12">
      <c r="A3" s="66" t="s">
        <v>0</v>
      </c>
      <c r="H3" s="28" t="s">
        <v>1</v>
      </c>
      <c r="I3" s="241">
        <f>Model!$BI$267</f>
        <v>5.5744467361614362E-2</v>
      </c>
      <c r="K3" s="184"/>
    </row>
    <row r="4" spans="1:12">
      <c r="A4" s="66"/>
      <c r="H4" s="28" t="s">
        <v>2</v>
      </c>
      <c r="I4" s="241">
        <f>AVERAGE(Model!BF266:BI266)</f>
        <v>5.4137114902614206E-2</v>
      </c>
      <c r="K4" s="184"/>
    </row>
    <row r="5" spans="1:12" ht="13.5" thickBot="1">
      <c r="B5" s="393"/>
      <c r="C5" s="393"/>
      <c r="D5" s="393"/>
      <c r="E5" s="393"/>
      <c r="F5" s="393"/>
      <c r="G5" s="393"/>
      <c r="H5" s="393"/>
      <c r="I5" s="82"/>
      <c r="J5" s="394"/>
      <c r="K5" s="394"/>
      <c r="L5" s="394"/>
    </row>
    <row r="6" spans="1:12">
      <c r="B6" s="305" t="s">
        <v>3</v>
      </c>
      <c r="C6" s="306" t="s">
        <v>4</v>
      </c>
      <c r="D6" s="306" t="s">
        <v>5</v>
      </c>
      <c r="E6" s="307" t="s">
        <v>6</v>
      </c>
      <c r="F6" s="307" t="s">
        <v>7</v>
      </c>
      <c r="G6" s="308"/>
      <c r="H6" s="330" t="s">
        <v>8</v>
      </c>
      <c r="I6" s="331" t="s">
        <v>4</v>
      </c>
      <c r="J6" s="331" t="s">
        <v>5</v>
      </c>
      <c r="K6" s="332" t="s">
        <v>9</v>
      </c>
    </row>
    <row r="7" spans="1:12">
      <c r="B7" s="300" t="s">
        <v>10</v>
      </c>
      <c r="C7" s="301">
        <f>Model!BI$176</f>
        <v>34457.161</v>
      </c>
      <c r="D7" s="302">
        <f>C7*$I$3</f>
        <v>1920.7960867383913</v>
      </c>
      <c r="E7" s="303"/>
      <c r="F7" s="309"/>
      <c r="G7" s="310"/>
      <c r="H7" s="322"/>
      <c r="I7" s="320"/>
      <c r="J7" s="320"/>
      <c r="K7" s="323"/>
    </row>
    <row r="8" spans="1:12">
      <c r="B8" s="104" t="s">
        <v>11</v>
      </c>
      <c r="C8" s="301"/>
      <c r="D8" s="302"/>
      <c r="E8" s="304"/>
      <c r="F8" s="309"/>
      <c r="G8" s="310"/>
      <c r="H8" s="324" t="s">
        <v>12</v>
      </c>
      <c r="I8" s="319">
        <f>Model!BI$115+Model!BI$114</f>
        <v>157325.14000000001</v>
      </c>
      <c r="J8" s="319">
        <f>I8*$I3</f>
        <v>8770.0061318914104</v>
      </c>
      <c r="K8" s="325">
        <f>+I8/I13</f>
        <v>2.5929153687680264</v>
      </c>
    </row>
    <row r="9" spans="1:12">
      <c r="B9" s="300"/>
      <c r="C9" s="301"/>
      <c r="D9" s="302"/>
      <c r="E9" s="304"/>
      <c r="F9" s="309"/>
      <c r="G9" s="310"/>
      <c r="H9" s="326" t="s">
        <v>13</v>
      </c>
      <c r="I9" s="321">
        <f>C52</f>
        <v>19573.956999999999</v>
      </c>
      <c r="J9" s="321">
        <f>I9*$I3</f>
        <v>1091.1398071241429</v>
      </c>
      <c r="K9" s="147"/>
    </row>
    <row r="10" spans="1:12">
      <c r="B10" s="300"/>
      <c r="C10" s="301"/>
      <c r="D10" s="302"/>
      <c r="E10" s="304"/>
      <c r="F10" s="309"/>
      <c r="G10" s="310"/>
      <c r="H10" s="324" t="s">
        <v>14</v>
      </c>
      <c r="I10" s="319">
        <f>+I8-I9</f>
        <v>137751.18300000002</v>
      </c>
      <c r="J10" s="319">
        <f>I10*$I3</f>
        <v>7678.8663247672685</v>
      </c>
      <c r="K10" s="325">
        <f>+I10/I13</f>
        <v>2.2703120395550065</v>
      </c>
    </row>
    <row r="11" spans="1:12">
      <c r="B11" s="1" t="s">
        <v>15</v>
      </c>
      <c r="C11" s="380">
        <v>8988.1830000000009</v>
      </c>
      <c r="D11" s="302">
        <f>C11*$I$3</f>
        <v>501.04147388371712</v>
      </c>
      <c r="E11" s="304"/>
      <c r="F11" s="309"/>
      <c r="G11" s="310"/>
      <c r="H11" s="326" t="s">
        <v>16</v>
      </c>
      <c r="I11" s="321">
        <f>C54</f>
        <v>123486.639</v>
      </c>
      <c r="J11" s="321">
        <f>I11*$I3</f>
        <v>6883.6969173309553</v>
      </c>
      <c r="K11" s="147"/>
    </row>
    <row r="12" spans="1:12">
      <c r="B12" s="1" t="s">
        <v>17</v>
      </c>
      <c r="C12" s="380">
        <v>0</v>
      </c>
      <c r="D12" s="302">
        <f t="shared" ref="D12:D25" si="0">C12*$I$3</f>
        <v>0</v>
      </c>
      <c r="E12" s="304"/>
      <c r="F12" s="309"/>
      <c r="G12" s="310"/>
      <c r="H12" s="324" t="s">
        <v>18</v>
      </c>
      <c r="I12" s="319">
        <f>I8+I11</f>
        <v>280811.77899999998</v>
      </c>
      <c r="J12" s="319"/>
      <c r="K12" s="147"/>
    </row>
    <row r="13" spans="1:12" ht="13.5" thickBot="1">
      <c r="B13" s="1" t="s">
        <v>19</v>
      </c>
      <c r="C13" s="380">
        <v>0</v>
      </c>
      <c r="D13" s="302">
        <f t="shared" si="0"/>
        <v>0</v>
      </c>
      <c r="E13" s="304"/>
      <c r="F13" s="309"/>
      <c r="G13" s="310"/>
      <c r="H13" s="389" t="s">
        <v>20</v>
      </c>
      <c r="I13" s="390">
        <f>C56</f>
        <v>60675</v>
      </c>
      <c r="J13" s="328"/>
      <c r="K13" s="329"/>
    </row>
    <row r="14" spans="1:12">
      <c r="B14" s="1" t="s">
        <v>21</v>
      </c>
      <c r="C14" s="380">
        <v>0</v>
      </c>
      <c r="D14" s="302">
        <f t="shared" si="0"/>
        <v>0</v>
      </c>
      <c r="E14" s="304"/>
      <c r="F14" s="309"/>
      <c r="G14" s="310"/>
      <c r="H14" s="316"/>
      <c r="I14" s="213"/>
      <c r="J14" s="213"/>
    </row>
    <row r="15" spans="1:12" ht="13.5" thickBot="1">
      <c r="B15" s="1" t="s">
        <v>22</v>
      </c>
      <c r="C15" s="380">
        <v>0</v>
      </c>
      <c r="D15" s="302">
        <f t="shared" si="0"/>
        <v>0</v>
      </c>
      <c r="E15" s="304"/>
      <c r="F15" s="309"/>
      <c r="G15" s="310"/>
      <c r="H15" s="316"/>
      <c r="I15" s="213"/>
      <c r="J15" s="213"/>
    </row>
    <row r="16" spans="1:12" ht="13.5" thickBot="1">
      <c r="B16" s="1" t="s">
        <v>23</v>
      </c>
      <c r="C16" s="380">
        <v>0</v>
      </c>
      <c r="D16" s="302">
        <f t="shared" si="0"/>
        <v>0</v>
      </c>
      <c r="E16" s="304"/>
      <c r="F16" s="309"/>
      <c r="G16" s="310"/>
      <c r="H16" s="378" t="s">
        <v>24</v>
      </c>
      <c r="I16" s="379" t="s">
        <v>25</v>
      </c>
    </row>
    <row r="17" spans="2:9">
      <c r="B17" s="1" t="s">
        <v>26</v>
      </c>
      <c r="C17" s="380">
        <v>0</v>
      </c>
      <c r="D17" s="302">
        <f t="shared" si="0"/>
        <v>0</v>
      </c>
      <c r="E17" s="304"/>
      <c r="F17" s="309"/>
      <c r="G17" s="310"/>
      <c r="H17" s="309"/>
    </row>
    <row r="18" spans="2:9">
      <c r="B18" s="1" t="s">
        <v>27</v>
      </c>
      <c r="C18" s="380">
        <v>3000</v>
      </c>
      <c r="D18" s="302">
        <f t="shared" si="0"/>
        <v>167.23340208484308</v>
      </c>
      <c r="E18" s="304"/>
      <c r="F18" s="309"/>
      <c r="G18" s="310"/>
      <c r="H18" s="309"/>
      <c r="I18" s="102"/>
    </row>
    <row r="19" spans="2:9">
      <c r="B19" s="1" t="s">
        <v>28</v>
      </c>
      <c r="C19" s="380">
        <v>0</v>
      </c>
      <c r="D19" s="302">
        <f t="shared" si="0"/>
        <v>0</v>
      </c>
      <c r="E19" s="304"/>
      <c r="F19" s="309"/>
      <c r="G19" s="310"/>
      <c r="H19" s="309"/>
      <c r="I19" s="102"/>
    </row>
    <row r="20" spans="2:9">
      <c r="B20" s="1" t="s">
        <v>29</v>
      </c>
      <c r="C20" s="380">
        <v>2238</v>
      </c>
      <c r="D20" s="302">
        <f t="shared" si="0"/>
        <v>124.75611795529294</v>
      </c>
      <c r="E20" s="304"/>
      <c r="F20" s="309"/>
      <c r="G20" s="310"/>
      <c r="H20" s="309"/>
    </row>
    <row r="21" spans="2:9">
      <c r="B21" s="1" t="s">
        <v>30</v>
      </c>
      <c r="C21" s="380">
        <v>9633.1020000000008</v>
      </c>
      <c r="D21" s="302">
        <f t="shared" si="0"/>
        <v>536.99214003010206</v>
      </c>
      <c r="E21" s="304"/>
      <c r="F21" s="309"/>
      <c r="G21" s="302"/>
      <c r="H21" s="309"/>
    </row>
    <row r="22" spans="2:9">
      <c r="B22" s="1" t="s">
        <v>31</v>
      </c>
      <c r="C22" s="380">
        <v>12762</v>
      </c>
      <c r="D22" s="302">
        <f t="shared" si="0"/>
        <v>711.4108924689225</v>
      </c>
      <c r="E22" s="304"/>
      <c r="F22" s="309"/>
      <c r="G22" s="310"/>
      <c r="H22" s="309"/>
    </row>
    <row r="23" spans="2:9">
      <c r="B23" s="1" t="s">
        <v>32</v>
      </c>
      <c r="C23" s="380">
        <v>12000</v>
      </c>
      <c r="D23" s="302">
        <f t="shared" si="0"/>
        <v>668.93360833937231</v>
      </c>
      <c r="E23" s="304"/>
      <c r="F23" s="309"/>
      <c r="G23" s="310"/>
      <c r="H23" s="309"/>
    </row>
    <row r="24" spans="2:9">
      <c r="B24" s="1" t="s">
        <v>33</v>
      </c>
      <c r="C24" s="380">
        <v>11743.355</v>
      </c>
      <c r="D24" s="302">
        <f t="shared" si="0"/>
        <v>654.62706951335076</v>
      </c>
      <c r="E24" s="304"/>
      <c r="F24" s="309"/>
      <c r="G24" s="310"/>
      <c r="H24" s="309"/>
    </row>
    <row r="25" spans="2:9">
      <c r="B25" s="1" t="s">
        <v>34</v>
      </c>
      <c r="C25" s="380">
        <v>10117.623</v>
      </c>
      <c r="D25" s="302">
        <f t="shared" si="0"/>
        <v>564.00150510061872</v>
      </c>
      <c r="E25" s="304"/>
      <c r="F25" s="309"/>
      <c r="G25" s="310"/>
      <c r="H25" s="309"/>
    </row>
    <row r="26" spans="2:9">
      <c r="B26" s="1" t="s">
        <v>35</v>
      </c>
      <c r="C26" s="380">
        <v>7866.625</v>
      </c>
      <c r="D26" s="302"/>
      <c r="E26" s="304"/>
      <c r="F26" s="309"/>
      <c r="G26" s="310"/>
      <c r="H26" s="309"/>
    </row>
    <row r="27" spans="2:9">
      <c r="B27" s="1" t="s">
        <v>36</v>
      </c>
      <c r="C27" s="380">
        <v>4133.375</v>
      </c>
      <c r="D27" s="302"/>
      <c r="E27" s="304"/>
      <c r="F27" s="309"/>
      <c r="G27" s="310"/>
      <c r="H27" s="309"/>
    </row>
    <row r="28" spans="2:9">
      <c r="B28" s="1" t="s">
        <v>37</v>
      </c>
      <c r="C28" s="380">
        <v>0</v>
      </c>
      <c r="D28" s="302">
        <f t="shared" ref="D28:D49" si="1">C28*$I$3</f>
        <v>0</v>
      </c>
      <c r="E28" s="304"/>
      <c r="F28" s="309"/>
      <c r="G28" s="310"/>
      <c r="H28" s="309"/>
    </row>
    <row r="29" spans="2:9">
      <c r="B29" s="1" t="s">
        <v>38</v>
      </c>
      <c r="C29" s="380">
        <v>0</v>
      </c>
      <c r="D29" s="302">
        <f t="shared" si="1"/>
        <v>0</v>
      </c>
      <c r="E29" s="304"/>
      <c r="F29" s="309"/>
      <c r="G29" s="310"/>
      <c r="H29" s="309"/>
    </row>
    <row r="30" spans="2:9">
      <c r="B30" s="91" t="s">
        <v>39</v>
      </c>
      <c r="C30" s="380">
        <v>16260.03</v>
      </c>
      <c r="D30" s="302">
        <f t="shared" si="1"/>
        <v>906.40671163387037</v>
      </c>
      <c r="E30" s="304"/>
      <c r="F30" s="309"/>
      <c r="G30" s="310"/>
      <c r="H30" s="309"/>
    </row>
    <row r="31" spans="2:9">
      <c r="B31" s="91" t="s">
        <v>40</v>
      </c>
      <c r="C31" s="380">
        <v>9936.6849999999995</v>
      </c>
      <c r="D31" s="302">
        <f t="shared" si="1"/>
        <v>553.91521266514303</v>
      </c>
      <c r="E31" s="304"/>
      <c r="F31" s="309"/>
      <c r="G31" s="310"/>
      <c r="H31" s="309"/>
    </row>
    <row r="32" spans="2:9">
      <c r="B32" s="91" t="s">
        <v>41</v>
      </c>
      <c r="C32" s="380">
        <v>0</v>
      </c>
      <c r="D32" s="302">
        <f t="shared" si="1"/>
        <v>0</v>
      </c>
      <c r="E32" s="304"/>
      <c r="F32" s="309"/>
      <c r="G32" s="310"/>
      <c r="H32" s="309"/>
    </row>
    <row r="33" spans="2:8">
      <c r="B33" s="376" t="s">
        <v>42</v>
      </c>
      <c r="C33" s="380">
        <v>14453.36</v>
      </c>
      <c r="D33" s="302">
        <f t="shared" si="1"/>
        <v>805.69485478566264</v>
      </c>
      <c r="E33" s="304"/>
      <c r="F33" s="309"/>
      <c r="G33" s="310"/>
      <c r="H33" s="309"/>
    </row>
    <row r="34" spans="2:8">
      <c r="B34" s="1" t="s">
        <v>43</v>
      </c>
      <c r="C34" s="380">
        <v>0</v>
      </c>
      <c r="D34" s="302">
        <f t="shared" si="1"/>
        <v>0</v>
      </c>
      <c r="E34" s="304"/>
      <c r="F34" s="309"/>
      <c r="G34" s="310"/>
      <c r="H34" s="309"/>
    </row>
    <row r="35" spans="2:8">
      <c r="B35" s="1" t="s">
        <v>44</v>
      </c>
      <c r="C35" s="380">
        <v>0</v>
      </c>
      <c r="D35" s="302">
        <f t="shared" si="1"/>
        <v>0</v>
      </c>
      <c r="E35" s="304"/>
      <c r="F35" s="309"/>
      <c r="G35" s="310"/>
      <c r="H35" s="309"/>
    </row>
    <row r="36" spans="2:8">
      <c r="B36" s="1" t="s">
        <v>45</v>
      </c>
      <c r="C36" s="380">
        <v>1806.67</v>
      </c>
      <c r="D36" s="302">
        <f t="shared" si="1"/>
        <v>100.71185684820783</v>
      </c>
      <c r="E36" s="304"/>
      <c r="F36" s="309"/>
      <c r="G36" s="310"/>
      <c r="H36" s="309"/>
    </row>
    <row r="37" spans="2:8">
      <c r="B37" s="1" t="s">
        <v>46</v>
      </c>
      <c r="C37" s="380">
        <v>1806.67</v>
      </c>
      <c r="D37" s="302">
        <f t="shared" si="1"/>
        <v>100.71185684820783</v>
      </c>
      <c r="E37" s="304"/>
      <c r="F37" s="309"/>
      <c r="G37" s="310"/>
      <c r="H37" s="309"/>
    </row>
    <row r="38" spans="2:8">
      <c r="B38" s="1" t="s">
        <v>47</v>
      </c>
      <c r="C38" s="380">
        <v>0</v>
      </c>
      <c r="D38" s="302">
        <f t="shared" si="1"/>
        <v>0</v>
      </c>
      <c r="E38" s="304"/>
      <c r="F38" s="309"/>
      <c r="G38" s="310"/>
      <c r="H38" s="309"/>
    </row>
    <row r="39" spans="2:8">
      <c r="B39" s="1" t="s">
        <v>48</v>
      </c>
      <c r="C39" s="380">
        <v>1693.7529999999999</v>
      </c>
      <c r="D39" s="302">
        <f t="shared" si="1"/>
        <v>94.417358827136411</v>
      </c>
      <c r="E39" s="304"/>
      <c r="F39" s="309"/>
      <c r="G39" s="310"/>
      <c r="H39" s="309"/>
    </row>
    <row r="40" spans="2:8">
      <c r="B40" s="1" t="s">
        <v>49</v>
      </c>
      <c r="C40" s="380">
        <v>1806.67</v>
      </c>
      <c r="D40" s="302">
        <f t="shared" si="1"/>
        <v>100.71185684820783</v>
      </c>
      <c r="E40" s="304"/>
      <c r="F40" s="309"/>
      <c r="G40" s="310"/>
      <c r="H40" s="309"/>
    </row>
    <row r="41" spans="2:8">
      <c r="B41" s="1" t="s">
        <v>50</v>
      </c>
      <c r="C41" s="380">
        <v>1105.883</v>
      </c>
      <c r="D41" s="302">
        <f t="shared" si="1"/>
        <v>61.64685879926418</v>
      </c>
      <c r="E41" s="304"/>
      <c r="F41" s="309"/>
      <c r="G41" s="310"/>
      <c r="H41" s="309"/>
    </row>
    <row r="42" spans="2:8">
      <c r="B42" s="1" t="s">
        <v>51</v>
      </c>
      <c r="C42" s="380">
        <v>0</v>
      </c>
      <c r="D42" s="302">
        <f t="shared" si="1"/>
        <v>0</v>
      </c>
      <c r="E42" s="304"/>
      <c r="F42" s="309"/>
      <c r="G42" s="310"/>
      <c r="H42" s="309"/>
    </row>
    <row r="43" spans="2:8">
      <c r="B43" s="1" t="s">
        <v>52</v>
      </c>
      <c r="C43" s="380">
        <v>5000</v>
      </c>
      <c r="D43" s="302">
        <f t="shared" si="1"/>
        <v>278.72233680807182</v>
      </c>
      <c r="E43" s="304"/>
      <c r="F43" s="309"/>
      <c r="G43" s="310"/>
      <c r="H43" s="309"/>
    </row>
    <row r="44" spans="2:8">
      <c r="B44" s="1" t="s">
        <v>53</v>
      </c>
      <c r="C44" s="380">
        <v>2710.0050000000001</v>
      </c>
      <c r="D44" s="302">
        <f t="shared" si="1"/>
        <v>151.06778527231174</v>
      </c>
      <c r="E44" s="304"/>
      <c r="F44" s="309"/>
      <c r="G44" s="310"/>
      <c r="H44" s="309"/>
    </row>
    <row r="45" spans="2:8">
      <c r="B45" s="1" t="s">
        <v>54</v>
      </c>
      <c r="C45" s="380">
        <v>3118.5450000000001</v>
      </c>
      <c r="D45" s="302">
        <f t="shared" si="1"/>
        <v>173.84162996822567</v>
      </c>
      <c r="E45" s="304"/>
      <c r="F45" s="309"/>
      <c r="G45" s="310"/>
      <c r="H45" s="309"/>
    </row>
    <row r="46" spans="2:8">
      <c r="B46" s="1" t="s">
        <v>55</v>
      </c>
      <c r="C46" s="380">
        <v>1559.2729999999999</v>
      </c>
      <c r="D46" s="302">
        <f t="shared" si="1"/>
        <v>86.920842856346511</v>
      </c>
      <c r="E46" s="304"/>
      <c r="F46" s="309"/>
      <c r="G46" s="310"/>
      <c r="H46" s="309"/>
    </row>
    <row r="47" spans="2:8">
      <c r="B47" s="1" t="s">
        <v>56</v>
      </c>
      <c r="C47" s="380">
        <v>3873.6320000000001</v>
      </c>
      <c r="D47" s="302">
        <f t="shared" si="1"/>
        <v>215.93355259490497</v>
      </c>
      <c r="E47" s="304"/>
      <c r="F47" s="309"/>
      <c r="G47" s="310"/>
      <c r="H47" s="309"/>
    </row>
    <row r="48" spans="2:8">
      <c r="B48" s="1" t="s">
        <v>57</v>
      </c>
      <c r="C48" s="380">
        <v>10573.843000000001</v>
      </c>
      <c r="D48" s="302">
        <f t="shared" si="1"/>
        <v>589.43324600033452</v>
      </c>
      <c r="E48" s="304"/>
      <c r="F48" s="309"/>
      <c r="G48" s="310"/>
      <c r="H48" s="309"/>
    </row>
    <row r="49" spans="2:9">
      <c r="B49" s="300" t="s">
        <v>58</v>
      </c>
      <c r="C49" s="380">
        <v>-862.14200000000005</v>
      </c>
      <c r="D49" s="302">
        <f t="shared" si="1"/>
        <v>-48.059646580076929</v>
      </c>
      <c r="E49" s="304"/>
      <c r="F49" s="309"/>
      <c r="G49" s="310"/>
      <c r="H49" s="309"/>
    </row>
    <row r="50" spans="2:9">
      <c r="B50" s="300"/>
      <c r="C50" s="301"/>
      <c r="D50" s="302"/>
      <c r="E50" s="304"/>
      <c r="F50" s="309"/>
      <c r="G50" s="310"/>
      <c r="H50" s="309"/>
    </row>
    <row r="51" spans="2:9">
      <c r="B51" s="35" t="s">
        <v>12</v>
      </c>
      <c r="C51" s="208">
        <f>SUM(C7:C49)</f>
        <v>191782.30100000006</v>
      </c>
      <c r="D51" s="208">
        <f>SUM(D7:D49)</f>
        <v>10021.868610290428</v>
      </c>
      <c r="E51" s="36">
        <f>+C51/C56</f>
        <v>3.1608125422332107</v>
      </c>
      <c r="F51" s="36">
        <f>+D51/D56</f>
        <v>3.0510112727423206</v>
      </c>
      <c r="G51" s="311"/>
      <c r="H51" s="312"/>
      <c r="I51" s="145"/>
    </row>
    <row r="52" spans="2:9">
      <c r="B52" s="34" t="s">
        <v>13</v>
      </c>
      <c r="C52" s="209">
        <f>Model!BI$165</f>
        <v>19573.956999999999</v>
      </c>
      <c r="D52" s="302">
        <f>C52*$I$3</f>
        <v>1091.1398071241429</v>
      </c>
      <c r="E52" s="210"/>
      <c r="F52" s="210"/>
      <c r="G52" s="310"/>
      <c r="H52" s="313"/>
    </row>
    <row r="53" spans="2:9">
      <c r="B53" s="35" t="s">
        <v>14</v>
      </c>
      <c r="C53" s="208">
        <f>+C51-C52</f>
        <v>172208.34400000007</v>
      </c>
      <c r="D53" s="208">
        <f>+D51-D52</f>
        <v>8930.7288031662865</v>
      </c>
      <c r="E53" s="36">
        <f>+C53/C56</f>
        <v>2.8382092130201908</v>
      </c>
      <c r="F53" s="36">
        <f>+D53/D56</f>
        <v>2.7188297224618325</v>
      </c>
      <c r="G53" s="311"/>
      <c r="H53" s="312"/>
    </row>
    <row r="54" spans="2:9">
      <c r="B54" s="69" t="s">
        <v>16</v>
      </c>
      <c r="C54" s="346">
        <f>Model!BI$186</f>
        <v>123486.639</v>
      </c>
      <c r="D54" s="302">
        <f>C54*$I$3</f>
        <v>6883.6969173309553</v>
      </c>
      <c r="E54" s="212"/>
      <c r="F54" s="311"/>
      <c r="G54" s="310"/>
      <c r="H54" s="314"/>
    </row>
    <row r="55" spans="2:9">
      <c r="B55" s="69" t="s">
        <v>18</v>
      </c>
      <c r="C55" s="211">
        <f>C51+C54</f>
        <v>315268.94000000006</v>
      </c>
      <c r="D55" s="211">
        <f>D51+D54</f>
        <v>16905.565527621384</v>
      </c>
      <c r="E55" s="212"/>
      <c r="F55" s="311"/>
      <c r="G55" s="311"/>
      <c r="H55" s="314"/>
    </row>
    <row r="56" spans="2:9" s="66" customFormat="1">
      <c r="B56" s="385" t="s">
        <v>20</v>
      </c>
      <c r="C56" s="386">
        <f>Model!BI$92</f>
        <v>60675</v>
      </c>
      <c r="D56" s="387">
        <f>C56*$I$4</f>
        <v>3284.7694467161168</v>
      </c>
      <c r="E56" s="212"/>
      <c r="F56" s="314"/>
      <c r="G56" s="388"/>
      <c r="H56" s="314"/>
    </row>
    <row r="57" spans="2:9">
      <c r="B57" s="101" t="s">
        <v>59</v>
      </c>
      <c r="C57" s="229">
        <f>Model!BI$179-Capitalisation!C51</f>
        <v>0</v>
      </c>
    </row>
    <row r="58" spans="2:9">
      <c r="B58" s="101"/>
      <c r="C58" s="229"/>
    </row>
    <row r="59" spans="2:9">
      <c r="B59" s="101"/>
      <c r="C59" s="103"/>
    </row>
    <row r="60" spans="2:9">
      <c r="B60" s="35" t="s">
        <v>60</v>
      </c>
      <c r="C60" s="88">
        <f>C53+Model!BI$185</f>
        <v>430868.34400000004</v>
      </c>
    </row>
    <row r="61" spans="2:9">
      <c r="B61" s="35" t="s">
        <v>61</v>
      </c>
      <c r="C61" s="36">
        <f>C60/C56</f>
        <v>7.1012500041203142</v>
      </c>
    </row>
    <row r="63" spans="2:9" ht="13.5" thickBot="1"/>
    <row r="64" spans="2:9">
      <c r="B64" s="333" t="s">
        <v>62</v>
      </c>
      <c r="C64" s="336" t="s">
        <v>4</v>
      </c>
      <c r="D64" s="336" t="s">
        <v>5</v>
      </c>
      <c r="E64" s="104"/>
      <c r="F64" s="104"/>
    </row>
    <row r="65" spans="2:8">
      <c r="B65" s="79" t="s">
        <v>63</v>
      </c>
      <c r="C65" s="202">
        <f>C52</f>
        <v>19573.956999999999</v>
      </c>
      <c r="D65" s="202">
        <f>C65*I3</f>
        <v>1091.1398071241429</v>
      </c>
      <c r="E65" s="105"/>
      <c r="F65" s="105"/>
    </row>
    <row r="66" spans="2:8" ht="13.5" thickBot="1">
      <c r="B66" s="317" t="s">
        <v>64</v>
      </c>
      <c r="C66" s="318">
        <f>SUM(C65:C65)</f>
        <v>19573.956999999999</v>
      </c>
      <c r="D66" s="318">
        <f>SUM(D65:D65)</f>
        <v>1091.1398071241429</v>
      </c>
      <c r="E66" s="105"/>
      <c r="F66" s="105"/>
    </row>
    <row r="68" spans="2:8">
      <c r="C68" s="30"/>
    </row>
    <row r="69" spans="2:8" ht="13.5" thickBot="1"/>
    <row r="70" spans="2:8" ht="13.5" thickBot="1">
      <c r="B70" s="333" t="s">
        <v>65</v>
      </c>
      <c r="C70" s="334" t="s">
        <v>4</v>
      </c>
      <c r="D70" s="335" t="s">
        <v>5</v>
      </c>
      <c r="E70" s="66"/>
    </row>
    <row r="71" spans="2:8">
      <c r="B71" s="144">
        <v>2026</v>
      </c>
      <c r="C71" s="199">
        <f>Model!BI$114</f>
        <v>5213.4670000000006</v>
      </c>
      <c r="D71" s="200">
        <f>+C71*$I3</f>
        <v>290.62194102235355</v>
      </c>
    </row>
    <row r="72" spans="2:8">
      <c r="B72" s="144">
        <v>2027</v>
      </c>
      <c r="C72" s="199">
        <v>11851.523999999999</v>
      </c>
      <c r="D72" s="200">
        <f>+C72*$I3</f>
        <v>660.65689280338927</v>
      </c>
      <c r="H72" s="273"/>
    </row>
    <row r="73" spans="2:8">
      <c r="B73" s="144">
        <v>2028</v>
      </c>
      <c r="C73" s="199">
        <v>15835.678</v>
      </c>
      <c r="D73" s="200">
        <f>+C73*$I3</f>
        <v>882.75143542003457</v>
      </c>
      <c r="H73" s="273"/>
    </row>
    <row r="74" spans="2:8">
      <c r="B74" s="144">
        <v>2029</v>
      </c>
      <c r="C74" s="199">
        <v>19851.934000000001</v>
      </c>
      <c r="D74" s="200">
        <f>+C74*$I3</f>
        <v>1106.6354869279226</v>
      </c>
      <c r="H74" s="273"/>
    </row>
    <row r="75" spans="2:8">
      <c r="B75" s="144" t="s">
        <v>66</v>
      </c>
      <c r="C75" s="199">
        <f>6947.429+97625.108</f>
        <v>104572.537</v>
      </c>
      <c r="D75" s="200">
        <f>+C75*$I3</f>
        <v>5829.3403757177102</v>
      </c>
      <c r="H75" s="273"/>
    </row>
    <row r="76" spans="2:8" ht="13.5" thickBot="1">
      <c r="B76" s="144" t="s">
        <v>67</v>
      </c>
      <c r="C76" s="246">
        <f>C7</f>
        <v>34457.161</v>
      </c>
      <c r="D76" s="200">
        <f>+C76*$I3</f>
        <v>1920.7960867383913</v>
      </c>
    </row>
    <row r="77" spans="2:8" ht="13.5" thickBot="1">
      <c r="B77" s="185" t="s">
        <v>68</v>
      </c>
      <c r="C77" s="337">
        <f>SUM(C71:C76)</f>
        <v>191782.30100000001</v>
      </c>
      <c r="D77" s="337">
        <f>SUM(D71:D76)</f>
        <v>10690.802218629802</v>
      </c>
      <c r="G77" s="127"/>
    </row>
    <row r="78" spans="2:8">
      <c r="B78" s="101" t="s">
        <v>59</v>
      </c>
      <c r="C78" s="229">
        <f>C77-C51</f>
        <v>0</v>
      </c>
      <c r="G78" s="127"/>
    </row>
    <row r="79" spans="2:8">
      <c r="G79" s="127"/>
    </row>
    <row r="80" spans="2:8" ht="13.5" thickBot="1">
      <c r="G80" s="127"/>
    </row>
    <row r="81" spans="1:12">
      <c r="B81" s="343" t="s">
        <v>69</v>
      </c>
      <c r="C81" s="344"/>
      <c r="G81" s="127"/>
    </row>
    <row r="82" spans="1:12">
      <c r="B82" s="339" t="s">
        <v>70</v>
      </c>
      <c r="C82" s="340">
        <v>0.43</v>
      </c>
      <c r="G82" s="127"/>
    </row>
    <row r="83" spans="1:12">
      <c r="B83" s="339" t="s">
        <v>71</v>
      </c>
      <c r="C83" s="340">
        <v>0.03</v>
      </c>
      <c r="G83" s="127"/>
    </row>
    <row r="84" spans="1:12">
      <c r="B84" s="339" t="s">
        <v>72</v>
      </c>
      <c r="C84" s="340">
        <v>0.41</v>
      </c>
      <c r="G84" s="127"/>
    </row>
    <row r="85" spans="1:12">
      <c r="B85" s="339" t="s">
        <v>73</v>
      </c>
      <c r="C85" s="340">
        <v>0.11</v>
      </c>
    </row>
    <row r="86" spans="1:12" ht="13.5" thickBot="1">
      <c r="B86" s="341" t="s">
        <v>74</v>
      </c>
      <c r="C86" s="342">
        <v>0.02</v>
      </c>
    </row>
    <row r="87" spans="1:12" ht="13.5" thickBot="1">
      <c r="B87" s="185" t="s">
        <v>75</v>
      </c>
      <c r="C87" s="377">
        <f>SUM(C82:C86)</f>
        <v>0.99999999999999989</v>
      </c>
    </row>
    <row r="93" spans="1:12">
      <c r="A93" s="66" t="s">
        <v>76</v>
      </c>
      <c r="H93" s="28" t="s">
        <v>1</v>
      </c>
      <c r="I93" s="241">
        <f>Model!$S$267</f>
        <v>5.5744467361614362E-2</v>
      </c>
      <c r="K93" s="184"/>
    </row>
    <row r="94" spans="1:12">
      <c r="A94" s="66"/>
      <c r="H94" s="28" t="s">
        <v>2</v>
      </c>
      <c r="I94" s="241">
        <f>Model!$S$266</f>
        <v>5.4137114902614206E-2</v>
      </c>
      <c r="K94" s="184"/>
    </row>
    <row r="95" spans="1:12" ht="13.5" thickBot="1">
      <c r="B95" s="393"/>
      <c r="C95" s="393"/>
      <c r="D95" s="393"/>
      <c r="E95" s="393"/>
      <c r="F95" s="393"/>
      <c r="G95" s="393"/>
      <c r="H95" s="393"/>
      <c r="I95" s="82"/>
      <c r="J95" s="394"/>
      <c r="K95" s="394"/>
      <c r="L95" s="394"/>
    </row>
    <row r="96" spans="1:12">
      <c r="B96" s="305" t="s">
        <v>77</v>
      </c>
      <c r="C96" s="306" t="s">
        <v>4</v>
      </c>
      <c r="D96" s="306" t="s">
        <v>5</v>
      </c>
      <c r="E96" s="307" t="s">
        <v>6</v>
      </c>
      <c r="F96" s="307" t="s">
        <v>7</v>
      </c>
      <c r="G96" s="308"/>
      <c r="H96" s="330" t="s">
        <v>8</v>
      </c>
      <c r="I96" s="331" t="s">
        <v>4</v>
      </c>
      <c r="J96" s="331" t="s">
        <v>5</v>
      </c>
      <c r="K96" s="332" t="s">
        <v>9</v>
      </c>
    </row>
    <row r="97" spans="2:11">
      <c r="B97" s="300" t="s">
        <v>10</v>
      </c>
      <c r="C97" s="301">
        <f>Model!BH$176</f>
        <v>34789.834999999999</v>
      </c>
      <c r="D97" s="302">
        <f>C97*$I$93</f>
        <v>1939.340821673449</v>
      </c>
      <c r="E97" s="303"/>
      <c r="F97" s="309"/>
      <c r="G97" s="310"/>
      <c r="H97" s="322"/>
      <c r="I97" s="320"/>
      <c r="J97" s="320"/>
      <c r="K97" s="323"/>
    </row>
    <row r="98" spans="2:11">
      <c r="B98" s="104" t="s">
        <v>11</v>
      </c>
      <c r="C98" s="301"/>
      <c r="D98" s="302"/>
      <c r="E98" s="304"/>
      <c r="F98" s="309"/>
      <c r="G98" s="310"/>
      <c r="H98" s="324" t="s">
        <v>12</v>
      </c>
      <c r="I98" s="319">
        <f>Model!BH$115+Model!BH$114</f>
        <v>153663.092</v>
      </c>
      <c r="J98" s="319">
        <f>I98*$I93</f>
        <v>8565.8672166787455</v>
      </c>
      <c r="K98" s="325">
        <f>+I98/I103</f>
        <v>2.5844841899892357</v>
      </c>
    </row>
    <row r="99" spans="2:11">
      <c r="B99" s="300"/>
      <c r="C99" s="301"/>
      <c r="D99" s="302"/>
      <c r="E99" s="304"/>
      <c r="F99" s="309"/>
      <c r="G99" s="310"/>
      <c r="H99" s="326" t="s">
        <v>13</v>
      </c>
      <c r="I99" s="321">
        <f>C140</f>
        <v>8535.0390000000007</v>
      </c>
      <c r="J99" s="321">
        <f>I99*$I93</f>
        <v>475.7812029656057</v>
      </c>
      <c r="K99" s="147"/>
    </row>
    <row r="100" spans="2:11">
      <c r="B100" s="300"/>
      <c r="C100" s="301"/>
      <c r="D100" s="302"/>
      <c r="E100" s="304"/>
      <c r="F100" s="309"/>
      <c r="G100" s="310"/>
      <c r="H100" s="324" t="s">
        <v>14</v>
      </c>
      <c r="I100" s="319">
        <f>+I98-I99</f>
        <v>145128.05300000001</v>
      </c>
      <c r="J100" s="319">
        <f>I100*$I93</f>
        <v>8090.0860137131403</v>
      </c>
      <c r="K100" s="325">
        <f>+I100/I103</f>
        <v>2.4409320001345534</v>
      </c>
    </row>
    <row r="101" spans="2:11">
      <c r="B101" s="1" t="s">
        <v>15</v>
      </c>
      <c r="C101" s="301">
        <v>8938.4330000000009</v>
      </c>
      <c r="D101" s="302">
        <f>C101*$I$93</f>
        <v>498.26818663247678</v>
      </c>
      <c r="E101" s="304"/>
      <c r="F101" s="309"/>
      <c r="G101" s="310"/>
      <c r="H101" s="324" t="s">
        <v>16</v>
      </c>
      <c r="I101" s="319">
        <f>C142</f>
        <v>120254.47100000001</v>
      </c>
      <c r="J101" s="319">
        <f>I101*$I93</f>
        <v>6703.5214337477009</v>
      </c>
      <c r="K101" s="147"/>
    </row>
    <row r="102" spans="2:11">
      <c r="B102" s="1" t="s">
        <v>17</v>
      </c>
      <c r="C102" s="301">
        <v>0</v>
      </c>
      <c r="D102" s="302">
        <f t="shared" ref="D102:D137" si="2">C102*$I$93</f>
        <v>0</v>
      </c>
      <c r="E102" s="304"/>
      <c r="F102" s="309"/>
      <c r="G102" s="310"/>
      <c r="H102" s="324" t="s">
        <v>18</v>
      </c>
      <c r="I102" s="319">
        <f>I98+I101</f>
        <v>273917.56300000002</v>
      </c>
      <c r="J102" s="319"/>
      <c r="K102" s="147"/>
    </row>
    <row r="103" spans="2:11" ht="13.5" thickBot="1">
      <c r="B103" s="1" t="s">
        <v>19</v>
      </c>
      <c r="C103" s="301">
        <v>0</v>
      </c>
      <c r="D103" s="302">
        <f t="shared" si="2"/>
        <v>0</v>
      </c>
      <c r="E103" s="304"/>
      <c r="F103" s="309"/>
      <c r="G103" s="310"/>
      <c r="H103" s="327" t="s">
        <v>20</v>
      </c>
      <c r="I103" s="328">
        <f>C144</f>
        <v>59456</v>
      </c>
      <c r="J103" s="328"/>
      <c r="K103" s="329"/>
    </row>
    <row r="104" spans="2:11">
      <c r="B104" s="1" t="s">
        <v>21</v>
      </c>
      <c r="C104" s="301">
        <v>0</v>
      </c>
      <c r="D104" s="302">
        <f t="shared" si="2"/>
        <v>0</v>
      </c>
      <c r="E104" s="304"/>
      <c r="F104" s="309"/>
      <c r="G104" s="310"/>
      <c r="H104" s="316"/>
      <c r="I104" s="213"/>
      <c r="J104" s="213"/>
    </row>
    <row r="105" spans="2:11" ht="13.5" thickBot="1">
      <c r="B105" s="1" t="s">
        <v>22</v>
      </c>
      <c r="C105" s="301">
        <v>0</v>
      </c>
      <c r="D105" s="302">
        <f t="shared" si="2"/>
        <v>0</v>
      </c>
      <c r="E105" s="304"/>
      <c r="F105" s="309"/>
      <c r="G105" s="310"/>
      <c r="H105" s="316"/>
      <c r="I105" s="213"/>
      <c r="J105" s="213"/>
    </row>
    <row r="106" spans="2:11" ht="13.5" thickBot="1">
      <c r="B106" s="1" t="s">
        <v>23</v>
      </c>
      <c r="C106" s="301">
        <v>0</v>
      </c>
      <c r="D106" s="302">
        <f t="shared" si="2"/>
        <v>0</v>
      </c>
      <c r="E106" s="304"/>
      <c r="F106" s="309"/>
      <c r="G106" s="310"/>
      <c r="H106" s="378" t="s">
        <v>78</v>
      </c>
      <c r="I106" s="379" t="s">
        <v>79</v>
      </c>
    </row>
    <row r="107" spans="2:11">
      <c r="B107" s="1" t="s">
        <v>26</v>
      </c>
      <c r="C107" s="301">
        <v>7706.3389999999999</v>
      </c>
      <c r="D107" s="302">
        <f t="shared" si="2"/>
        <v>429.58576286303588</v>
      </c>
      <c r="E107" s="304"/>
      <c r="F107" s="309"/>
      <c r="G107" s="310"/>
      <c r="H107" s="309"/>
    </row>
    <row r="108" spans="2:11">
      <c r="B108" s="1" t="s">
        <v>27</v>
      </c>
      <c r="C108" s="301">
        <v>3000</v>
      </c>
      <c r="D108" s="302">
        <f t="shared" si="2"/>
        <v>167.23340208484308</v>
      </c>
      <c r="E108" s="304"/>
      <c r="F108" s="309"/>
      <c r="G108" s="310"/>
      <c r="H108" s="309"/>
      <c r="I108" s="102"/>
    </row>
    <row r="109" spans="2:11">
      <c r="B109" s="1" t="s">
        <v>28</v>
      </c>
      <c r="C109" s="301">
        <v>0</v>
      </c>
      <c r="D109" s="302">
        <f t="shared" si="2"/>
        <v>0</v>
      </c>
      <c r="E109" s="304"/>
      <c r="F109" s="309"/>
      <c r="G109" s="310"/>
      <c r="H109" s="309"/>
      <c r="I109" s="102"/>
    </row>
    <row r="110" spans="2:11">
      <c r="B110" s="1" t="s">
        <v>29</v>
      </c>
      <c r="C110" s="301">
        <v>2238</v>
      </c>
      <c r="D110" s="302">
        <f t="shared" si="2"/>
        <v>124.75611795529294</v>
      </c>
      <c r="E110" s="304"/>
      <c r="F110" s="309"/>
      <c r="G110" s="310"/>
      <c r="H110" s="309"/>
    </row>
    <row r="111" spans="2:11">
      <c r="B111" s="1" t="s">
        <v>30</v>
      </c>
      <c r="C111" s="301">
        <v>9633.1020000000008</v>
      </c>
      <c r="D111" s="302">
        <f t="shared" si="2"/>
        <v>536.99214003010206</v>
      </c>
      <c r="E111" s="304"/>
      <c r="F111" s="309"/>
      <c r="G111" s="302"/>
      <c r="H111" s="309"/>
    </row>
    <row r="112" spans="2:11">
      <c r="B112" s="1" t="s">
        <v>31</v>
      </c>
      <c r="C112" s="301">
        <v>12762</v>
      </c>
      <c r="D112" s="302">
        <f t="shared" si="2"/>
        <v>711.4108924689225</v>
      </c>
      <c r="E112" s="304"/>
      <c r="F112" s="309"/>
      <c r="G112" s="310"/>
      <c r="H112" s="309"/>
    </row>
    <row r="113" spans="2:8">
      <c r="B113" s="1" t="s">
        <v>32</v>
      </c>
      <c r="C113" s="301">
        <v>12000</v>
      </c>
      <c r="D113" s="302">
        <f t="shared" si="2"/>
        <v>668.93360833937231</v>
      </c>
      <c r="E113" s="304"/>
      <c r="F113" s="309"/>
      <c r="G113" s="310"/>
      <c r="H113" s="309"/>
    </row>
    <row r="114" spans="2:8">
      <c r="B114" s="1" t="s">
        <v>33</v>
      </c>
      <c r="C114" s="301">
        <v>11678.355</v>
      </c>
      <c r="D114" s="302">
        <f t="shared" si="2"/>
        <v>651.00367913484592</v>
      </c>
      <c r="E114" s="304"/>
      <c r="F114" s="309"/>
      <c r="G114" s="310"/>
      <c r="H114" s="309"/>
    </row>
    <row r="115" spans="2:8">
      <c r="B115" s="1" t="s">
        <v>34</v>
      </c>
      <c r="C115" s="301">
        <v>10061.621999999999</v>
      </c>
      <c r="D115" s="302">
        <f t="shared" si="2"/>
        <v>560.879759183901</v>
      </c>
      <c r="E115" s="304"/>
      <c r="F115" s="309"/>
      <c r="G115" s="310"/>
      <c r="H115" s="309"/>
    </row>
    <row r="116" spans="2:8">
      <c r="B116" s="1" t="s">
        <v>37</v>
      </c>
      <c r="C116" s="301">
        <v>0</v>
      </c>
      <c r="D116" s="302">
        <f t="shared" si="2"/>
        <v>0</v>
      </c>
      <c r="E116" s="304"/>
      <c r="F116" s="309"/>
      <c r="G116" s="310"/>
      <c r="H116" s="309"/>
    </row>
    <row r="117" spans="2:8">
      <c r="B117" s="1" t="s">
        <v>38</v>
      </c>
      <c r="C117" s="301">
        <v>0</v>
      </c>
      <c r="D117" s="302">
        <f t="shared" si="2"/>
        <v>0</v>
      </c>
      <c r="E117" s="304"/>
      <c r="F117" s="309"/>
      <c r="G117" s="310"/>
      <c r="H117" s="309"/>
    </row>
    <row r="118" spans="2:8">
      <c r="B118" s="91" t="s">
        <v>39</v>
      </c>
      <c r="C118" s="301">
        <v>16170.03</v>
      </c>
      <c r="D118" s="302">
        <f t="shared" si="2"/>
        <v>901.38970957132517</v>
      </c>
      <c r="E118" s="304"/>
      <c r="F118" s="309"/>
      <c r="G118" s="310"/>
      <c r="H118" s="309"/>
    </row>
    <row r="119" spans="2:8">
      <c r="B119" s="91" t="s">
        <v>40</v>
      </c>
      <c r="C119" s="301">
        <v>9881.6849999999995</v>
      </c>
      <c r="D119" s="302">
        <f t="shared" si="2"/>
        <v>550.84926696025423</v>
      </c>
      <c r="E119" s="304"/>
      <c r="F119" s="309"/>
      <c r="G119" s="310"/>
      <c r="H119" s="309"/>
    </row>
    <row r="120" spans="2:8">
      <c r="B120" s="91" t="s">
        <v>41</v>
      </c>
      <c r="C120" s="301">
        <v>0</v>
      </c>
      <c r="D120" s="302">
        <f t="shared" si="2"/>
        <v>0</v>
      </c>
      <c r="E120" s="304"/>
      <c r="F120" s="309"/>
      <c r="G120" s="310"/>
      <c r="H120" s="309"/>
    </row>
    <row r="121" spans="2:8">
      <c r="B121" s="376" t="s">
        <v>42</v>
      </c>
      <c r="C121" s="301">
        <v>14373.36</v>
      </c>
      <c r="D121" s="302">
        <f t="shared" si="2"/>
        <v>801.23529739673347</v>
      </c>
      <c r="E121" s="304"/>
      <c r="F121" s="309"/>
      <c r="G121" s="310"/>
      <c r="H121" s="309"/>
    </row>
    <row r="122" spans="2:8">
      <c r="B122" s="1" t="s">
        <v>43</v>
      </c>
      <c r="C122" s="301">
        <v>0</v>
      </c>
      <c r="D122" s="302">
        <f t="shared" si="2"/>
        <v>0</v>
      </c>
      <c r="E122" s="304"/>
      <c r="F122" s="309"/>
      <c r="G122" s="310"/>
      <c r="H122" s="309"/>
    </row>
    <row r="123" spans="2:8">
      <c r="B123" s="1" t="s">
        <v>44</v>
      </c>
      <c r="C123" s="301">
        <v>0</v>
      </c>
      <c r="D123" s="302">
        <f t="shared" si="2"/>
        <v>0</v>
      </c>
      <c r="E123" s="304"/>
      <c r="F123" s="309"/>
      <c r="G123" s="310"/>
      <c r="H123" s="309"/>
    </row>
    <row r="124" spans="2:8">
      <c r="B124" s="1" t="s">
        <v>45</v>
      </c>
      <c r="C124" s="301">
        <v>1796.67</v>
      </c>
      <c r="D124" s="302">
        <f t="shared" si="2"/>
        <v>100.15441217459168</v>
      </c>
      <c r="E124" s="304"/>
      <c r="F124" s="309"/>
      <c r="G124" s="310"/>
      <c r="H124" s="309"/>
    </row>
    <row r="125" spans="2:8">
      <c r="B125" s="1" t="s">
        <v>46</v>
      </c>
      <c r="C125" s="301">
        <v>1796.67</v>
      </c>
      <c r="D125" s="302">
        <f t="shared" si="2"/>
        <v>100.15441217459168</v>
      </c>
      <c r="E125" s="304"/>
      <c r="F125" s="309"/>
      <c r="G125" s="310"/>
      <c r="H125" s="309"/>
    </row>
    <row r="126" spans="2:8">
      <c r="B126" s="1" t="s">
        <v>47</v>
      </c>
      <c r="C126" s="301">
        <v>748.76199999999994</v>
      </c>
      <c r="D126" s="302">
        <f t="shared" si="2"/>
        <v>41.73933887061709</v>
      </c>
      <c r="E126" s="304"/>
      <c r="F126" s="309"/>
      <c r="G126" s="310"/>
      <c r="H126" s="309"/>
    </row>
    <row r="127" spans="2:8">
      <c r="B127" s="1" t="s">
        <v>48</v>
      </c>
      <c r="C127" s="301">
        <v>2245.8380000000002</v>
      </c>
      <c r="D127" s="302">
        <f t="shared" si="2"/>
        <v>125.19304309047328</v>
      </c>
      <c r="E127" s="304"/>
      <c r="F127" s="309"/>
      <c r="G127" s="310"/>
      <c r="H127" s="309"/>
    </row>
    <row r="128" spans="2:8">
      <c r="B128" s="1" t="s">
        <v>49</v>
      </c>
      <c r="C128" s="301">
        <v>1796.67</v>
      </c>
      <c r="D128" s="302">
        <f t="shared" si="2"/>
        <v>100.15441217459168</v>
      </c>
      <c r="E128" s="304"/>
      <c r="F128" s="309"/>
      <c r="G128" s="310"/>
      <c r="H128" s="309"/>
    </row>
    <row r="129" spans="2:9">
      <c r="B129" s="1" t="s">
        <v>50</v>
      </c>
      <c r="C129" s="301">
        <v>1103.864</v>
      </c>
      <c r="D129" s="302">
        <f t="shared" si="2"/>
        <v>61.534310719661079</v>
      </c>
      <c r="E129" s="304"/>
      <c r="F129" s="309"/>
      <c r="G129" s="310"/>
      <c r="H129" s="309"/>
    </row>
    <row r="130" spans="2:9">
      <c r="B130" s="1" t="s">
        <v>51</v>
      </c>
      <c r="C130" s="301">
        <v>0</v>
      </c>
      <c r="D130" s="302">
        <f t="shared" si="2"/>
        <v>0</v>
      </c>
      <c r="E130" s="304"/>
      <c r="F130" s="309"/>
      <c r="G130" s="310"/>
      <c r="H130" s="309"/>
    </row>
    <row r="131" spans="2:9">
      <c r="B131" s="1" t="s">
        <v>52</v>
      </c>
      <c r="C131" s="301">
        <v>5000</v>
      </c>
      <c r="D131" s="302">
        <f t="shared" si="2"/>
        <v>278.72233680807182</v>
      </c>
      <c r="E131" s="304"/>
      <c r="F131" s="309"/>
      <c r="G131" s="310"/>
      <c r="H131" s="309"/>
    </row>
    <row r="132" spans="2:9">
      <c r="B132" s="1" t="s">
        <v>53</v>
      </c>
      <c r="C132" s="301">
        <v>2695.0050000000001</v>
      </c>
      <c r="D132" s="302">
        <f t="shared" si="2"/>
        <v>150.23161826188752</v>
      </c>
      <c r="E132" s="304"/>
      <c r="F132" s="309"/>
      <c r="G132" s="310"/>
      <c r="H132" s="309"/>
    </row>
    <row r="133" spans="2:9">
      <c r="B133" s="1" t="s">
        <v>54</v>
      </c>
      <c r="C133" s="301">
        <v>3171.0749999999998</v>
      </c>
      <c r="D133" s="302">
        <f t="shared" si="2"/>
        <v>176.76988683873125</v>
      </c>
      <c r="E133" s="304"/>
      <c r="F133" s="309"/>
      <c r="G133" s="310"/>
      <c r="H133" s="309"/>
    </row>
    <row r="134" spans="2:9">
      <c r="B134" s="1" t="s">
        <v>55</v>
      </c>
      <c r="C134" s="301">
        <v>1585.538</v>
      </c>
      <c r="D134" s="302">
        <f t="shared" si="2"/>
        <v>88.384971291599314</v>
      </c>
      <c r="E134" s="304"/>
      <c r="F134" s="309"/>
      <c r="G134" s="310"/>
      <c r="H134" s="309"/>
    </row>
    <row r="135" spans="2:9">
      <c r="B135" s="1" t="s">
        <v>56</v>
      </c>
      <c r="C135" s="301">
        <v>3621.61</v>
      </c>
      <c r="D135" s="302">
        <f t="shared" si="2"/>
        <v>201.8847204414962</v>
      </c>
      <c r="E135" s="304"/>
      <c r="F135" s="309"/>
      <c r="G135" s="310"/>
      <c r="H135" s="309"/>
    </row>
    <row r="136" spans="2:9">
      <c r="B136" s="1" t="s">
        <v>57</v>
      </c>
      <c r="C136" s="301">
        <v>10515.316999999999</v>
      </c>
      <c r="D136" s="302">
        <f t="shared" si="2"/>
        <v>586.17074530352863</v>
      </c>
      <c r="E136" s="304"/>
      <c r="F136" s="309"/>
      <c r="G136" s="310"/>
      <c r="H136" s="309"/>
    </row>
    <row r="137" spans="2:9">
      <c r="B137" s="300" t="s">
        <v>58</v>
      </c>
      <c r="C137" s="301">
        <v>-856.85299999999995</v>
      </c>
      <c r="D137" s="302">
        <f t="shared" si="2"/>
        <v>-47.764814092201348</v>
      </c>
      <c r="E137" s="304"/>
      <c r="F137" s="309"/>
      <c r="G137" s="310"/>
      <c r="H137" s="309"/>
    </row>
    <row r="138" spans="2:9">
      <c r="B138" s="300"/>
      <c r="C138" s="301"/>
      <c r="D138" s="302"/>
      <c r="E138" s="304"/>
      <c r="F138" s="309"/>
      <c r="G138" s="310"/>
      <c r="H138" s="309"/>
    </row>
    <row r="139" spans="2:9">
      <c r="B139" s="35" t="s">
        <v>12</v>
      </c>
      <c r="C139" s="208">
        <f>SUM(C97:C137)</f>
        <v>188452.92700000003</v>
      </c>
      <c r="D139" s="208">
        <f>SUM(D97:D137)</f>
        <v>10505.208038352195</v>
      </c>
      <c r="E139" s="36">
        <f>+C139/C144</f>
        <v>3.1696200047093654</v>
      </c>
      <c r="F139" s="36">
        <f>+D139/D144</f>
        <v>3.2637272824582881</v>
      </c>
      <c r="G139" s="311"/>
      <c r="H139" s="312"/>
      <c r="I139" s="145"/>
    </row>
    <row r="140" spans="2:9">
      <c r="B140" s="34" t="s">
        <v>13</v>
      </c>
      <c r="C140" s="209">
        <f>Model!BH$165</f>
        <v>8535.0390000000007</v>
      </c>
      <c r="D140" s="302">
        <f>C140*$I$93</f>
        <v>475.7812029656057</v>
      </c>
      <c r="E140" s="210"/>
      <c r="F140" s="210"/>
      <c r="G140" s="310"/>
      <c r="H140" s="313"/>
    </row>
    <row r="141" spans="2:9">
      <c r="B141" s="35" t="s">
        <v>14</v>
      </c>
      <c r="C141" s="208">
        <f>+C139-C140</f>
        <v>179917.88800000004</v>
      </c>
      <c r="D141" s="208">
        <f>+D139-D140</f>
        <v>10029.42683538659</v>
      </c>
      <c r="E141" s="36">
        <f>+C141/C144</f>
        <v>3.0260678148546831</v>
      </c>
      <c r="F141" s="36">
        <f>+D141/D144</f>
        <v>3.1159129710300264</v>
      </c>
      <c r="G141" s="311"/>
      <c r="H141" s="312"/>
    </row>
    <row r="142" spans="2:9">
      <c r="B142" s="69" t="s">
        <v>16</v>
      </c>
      <c r="C142" s="346">
        <f>Model!BH$186</f>
        <v>120254.47100000001</v>
      </c>
      <c r="D142" s="302">
        <f>C142*$I$93</f>
        <v>6703.5214337477009</v>
      </c>
      <c r="E142" s="212"/>
      <c r="F142" s="311"/>
      <c r="G142" s="310"/>
      <c r="H142" s="314"/>
    </row>
    <row r="143" spans="2:9">
      <c r="B143" s="69" t="s">
        <v>18</v>
      </c>
      <c r="C143" s="211">
        <f>C139+C142</f>
        <v>308707.39800000004</v>
      </c>
      <c r="D143" s="211">
        <f>D139+D142</f>
        <v>17208.729472099898</v>
      </c>
      <c r="E143" s="212"/>
      <c r="F143" s="311"/>
      <c r="G143" s="311"/>
      <c r="H143" s="314"/>
    </row>
    <row r="144" spans="2:9">
      <c r="B144" s="316" t="s">
        <v>20</v>
      </c>
      <c r="C144" s="213">
        <f>Model!BH$92</f>
        <v>59456</v>
      </c>
      <c r="D144" s="302">
        <f>C144*$I$94</f>
        <v>3218.7763036498304</v>
      </c>
      <c r="E144" s="210"/>
      <c r="F144" s="313"/>
      <c r="G144" s="315"/>
      <c r="H144" s="313"/>
    </row>
    <row r="145" spans="2:8">
      <c r="B145" s="101" t="s">
        <v>59</v>
      </c>
      <c r="C145" s="229">
        <f>Model!BH$179-Capitalisation!C139</f>
        <v>0</v>
      </c>
    </row>
    <row r="146" spans="2:8">
      <c r="B146" s="101"/>
      <c r="C146" s="103"/>
    </row>
    <row r="147" spans="2:8">
      <c r="B147" s="35" t="s">
        <v>60</v>
      </c>
      <c r="C147" s="88">
        <f>C141+Model!BH$185</f>
        <v>438586.28800000006</v>
      </c>
    </row>
    <row r="148" spans="2:8">
      <c r="B148" s="35" t="s">
        <v>61</v>
      </c>
      <c r="C148" s="36">
        <f>C147/C144</f>
        <v>7.3766531216361688</v>
      </c>
    </row>
    <row r="150" spans="2:8" ht="13.5" thickBot="1"/>
    <row r="151" spans="2:8">
      <c r="B151" s="333" t="s">
        <v>80</v>
      </c>
      <c r="C151" s="336" t="s">
        <v>4</v>
      </c>
      <c r="D151" s="336" t="s">
        <v>5</v>
      </c>
      <c r="E151" s="104"/>
      <c r="F151" s="104"/>
    </row>
    <row r="152" spans="2:8">
      <c r="B152" s="79" t="s">
        <v>63</v>
      </c>
      <c r="C152" s="202">
        <f>C140</f>
        <v>8535.0390000000007</v>
      </c>
      <c r="D152" s="202">
        <f>C152*I93</f>
        <v>475.7812029656057</v>
      </c>
      <c r="E152" s="105"/>
      <c r="F152" s="105"/>
    </row>
    <row r="153" spans="2:8" ht="13.5" thickBot="1">
      <c r="B153" s="317" t="s">
        <v>64</v>
      </c>
      <c r="C153" s="318">
        <f>SUM(C152:C152)</f>
        <v>8535.0390000000007</v>
      </c>
      <c r="D153" s="318">
        <f>SUM(D152:D152)</f>
        <v>475.7812029656057</v>
      </c>
      <c r="E153" s="105"/>
      <c r="F153" s="105"/>
    </row>
    <row r="155" spans="2:8">
      <c r="C155" s="30"/>
    </row>
    <row r="156" spans="2:8" ht="13.5" thickBot="1"/>
    <row r="157" spans="2:8" ht="13.5" thickBot="1">
      <c r="B157" s="333" t="s">
        <v>80</v>
      </c>
      <c r="C157" s="334" t="s">
        <v>4</v>
      </c>
      <c r="D157" s="335" t="s">
        <v>5</v>
      </c>
      <c r="E157" s="66"/>
    </row>
    <row r="158" spans="2:8">
      <c r="B158" s="144">
        <v>2026</v>
      </c>
      <c r="C158" s="199">
        <f>Model!BH$114</f>
        <v>12635.331</v>
      </c>
      <c r="D158" s="200">
        <f>+C158*$I93</f>
        <v>704.3497965326942</v>
      </c>
    </row>
    <row r="159" spans="2:8">
      <c r="B159" s="144">
        <v>2027</v>
      </c>
      <c r="C159" s="199">
        <v>12385.892</v>
      </c>
      <c r="D159" s="200">
        <f>+C159*$I93</f>
        <v>690.44495233848045</v>
      </c>
      <c r="H159" s="273"/>
    </row>
    <row r="160" spans="2:8">
      <c r="B160" s="144">
        <v>2028</v>
      </c>
      <c r="C160" s="199">
        <v>16371.758</v>
      </c>
      <c r="D160" s="200">
        <f>+C160*$I93</f>
        <v>912.63492948324881</v>
      </c>
      <c r="H160" s="273"/>
    </row>
    <row r="161" spans="2:8">
      <c r="B161" s="144">
        <v>2029</v>
      </c>
      <c r="C161" s="199">
        <v>19894.454000000002</v>
      </c>
      <c r="D161" s="200">
        <f>+C161*$I93</f>
        <v>1109.0057416801383</v>
      </c>
      <c r="H161" s="273"/>
    </row>
    <row r="162" spans="2:8">
      <c r="B162" s="144" t="s">
        <v>66</v>
      </c>
      <c r="C162" s="199">
        <f>2978.354+89397.303</f>
        <v>92375.657000000007</v>
      </c>
      <c r="D162" s="200">
        <f>+C162*$I93</f>
        <v>5149.431796644184</v>
      </c>
      <c r="H162" s="273"/>
    </row>
    <row r="163" spans="2:8" ht="13.5" thickBot="1">
      <c r="B163" s="144" t="s">
        <v>67</v>
      </c>
      <c r="C163" s="246">
        <f>C97</f>
        <v>34789.834999999999</v>
      </c>
      <c r="D163" s="200">
        <f>+C163*$I93</f>
        <v>1939.340821673449</v>
      </c>
    </row>
    <row r="164" spans="2:8" ht="13.5" thickBot="1">
      <c r="B164" s="185" t="s">
        <v>68</v>
      </c>
      <c r="C164" s="337">
        <f>SUM(C158:C163)</f>
        <v>188452.927</v>
      </c>
      <c r="D164" s="337">
        <f>SUM(D158:D163)</f>
        <v>10505.208038352195</v>
      </c>
      <c r="G164" s="127"/>
    </row>
    <row r="165" spans="2:8">
      <c r="B165" s="101" t="s">
        <v>59</v>
      </c>
      <c r="C165" s="229">
        <f>C164-C139</f>
        <v>0</v>
      </c>
      <c r="G165" s="127"/>
    </row>
    <row r="166" spans="2:8">
      <c r="G166" s="127"/>
    </row>
    <row r="167" spans="2:8" ht="13.5" thickBot="1">
      <c r="G167" s="127"/>
    </row>
    <row r="168" spans="2:8">
      <c r="B168" s="343" t="s">
        <v>81</v>
      </c>
      <c r="C168" s="344"/>
      <c r="G168" s="127"/>
    </row>
    <row r="169" spans="2:8">
      <c r="B169" s="339" t="s">
        <v>70</v>
      </c>
      <c r="C169" s="340">
        <v>0.44</v>
      </c>
      <c r="G169" s="127"/>
    </row>
    <row r="170" spans="2:8">
      <c r="B170" s="339" t="s">
        <v>71</v>
      </c>
      <c r="C170" s="340">
        <v>0.03</v>
      </c>
      <c r="G170" s="127"/>
    </row>
    <row r="171" spans="2:8">
      <c r="B171" s="339" t="s">
        <v>72</v>
      </c>
      <c r="C171" s="340">
        <v>0.39</v>
      </c>
      <c r="G171" s="127"/>
    </row>
    <row r="172" spans="2:8">
      <c r="B172" s="339" t="s">
        <v>73</v>
      </c>
      <c r="C172" s="340">
        <v>0.12</v>
      </c>
    </row>
    <row r="173" spans="2:8" ht="13.5" thickBot="1">
      <c r="B173" s="341" t="s">
        <v>74</v>
      </c>
      <c r="C173" s="342">
        <v>0.02</v>
      </c>
    </row>
    <row r="174" spans="2:8" ht="13.5" thickBot="1">
      <c r="B174" s="185" t="s">
        <v>75</v>
      </c>
      <c r="C174" s="377">
        <f>SUM(C169:C173)</f>
        <v>1</v>
      </c>
    </row>
    <row r="178" spans="1:12">
      <c r="A178" s="66" t="s">
        <v>82</v>
      </c>
      <c r="H178" s="66" t="s">
        <v>83</v>
      </c>
      <c r="I178" s="241">
        <f>Model!BG$267</f>
        <v>5.4606912142939057E-2</v>
      </c>
      <c r="K178" s="184"/>
    </row>
    <row r="179" spans="1:12">
      <c r="A179" s="66"/>
      <c r="H179" s="66" t="s">
        <v>2</v>
      </c>
      <c r="I179" s="241">
        <f>AVERAGE(Model!$BD$266:$BG$266)</f>
        <v>5.0955226946168712E-2</v>
      </c>
      <c r="K179" s="184"/>
    </row>
    <row r="180" spans="1:12" ht="13.5" thickBot="1">
      <c r="B180" s="393"/>
      <c r="C180" s="393"/>
      <c r="D180" s="393"/>
      <c r="E180" s="393"/>
      <c r="F180" s="393"/>
      <c r="G180" s="393"/>
      <c r="H180" s="393"/>
      <c r="I180" s="82"/>
      <c r="J180" s="394"/>
      <c r="K180" s="394"/>
      <c r="L180" s="394"/>
    </row>
    <row r="181" spans="1:12">
      <c r="B181" s="305" t="s">
        <v>84</v>
      </c>
      <c r="C181" s="306" t="s">
        <v>4</v>
      </c>
      <c r="D181" s="306" t="s">
        <v>5</v>
      </c>
      <c r="E181" s="307" t="s">
        <v>6</v>
      </c>
      <c r="F181" s="307" t="s">
        <v>7</v>
      </c>
      <c r="G181" s="308"/>
      <c r="H181" s="330" t="s">
        <v>8</v>
      </c>
      <c r="I181" s="331" t="s">
        <v>4</v>
      </c>
      <c r="J181" s="331" t="s">
        <v>5</v>
      </c>
      <c r="K181" s="332" t="s">
        <v>85</v>
      </c>
    </row>
    <row r="182" spans="1:12">
      <c r="B182" s="300" t="s">
        <v>10</v>
      </c>
      <c r="C182" s="301">
        <f>Model!BG$176</f>
        <v>36401.875</v>
      </c>
      <c r="D182" s="302">
        <f>C182*$I$178</f>
        <v>1987.7939899632497</v>
      </c>
      <c r="E182" s="303"/>
      <c r="F182" s="309"/>
      <c r="G182" s="310"/>
      <c r="H182" s="322"/>
      <c r="I182" s="320"/>
      <c r="J182" s="320"/>
      <c r="K182" s="323"/>
    </row>
    <row r="183" spans="1:12">
      <c r="B183" s="104" t="s">
        <v>11</v>
      </c>
      <c r="C183" s="301"/>
      <c r="D183" s="302"/>
      <c r="E183" s="304"/>
      <c r="F183" s="309"/>
      <c r="G183" s="310"/>
      <c r="H183" s="324" t="s">
        <v>12</v>
      </c>
      <c r="I183" s="319">
        <f>Model!BG$115+Model!BG$114</f>
        <v>156688.12400000001</v>
      </c>
      <c r="J183" s="319">
        <f>I183*$I178</f>
        <v>8556.2546211099416</v>
      </c>
      <c r="K183" s="325">
        <f>+I183/I188</f>
        <v>2.7315189930791628</v>
      </c>
    </row>
    <row r="184" spans="1:12">
      <c r="B184" s="300"/>
      <c r="C184" s="301"/>
      <c r="D184" s="302"/>
      <c r="E184" s="304"/>
      <c r="F184" s="309"/>
      <c r="G184" s="310"/>
      <c r="H184" s="326" t="s">
        <v>13</v>
      </c>
      <c r="I184" s="321">
        <f>C222</f>
        <v>7493.7719999999999</v>
      </c>
      <c r="J184" s="321">
        <f>I184*$I178</f>
        <v>409.21174922321671</v>
      </c>
      <c r="K184" s="147"/>
    </row>
    <row r="185" spans="1:12">
      <c r="B185" s="300"/>
      <c r="C185" s="301"/>
      <c r="D185" s="302"/>
      <c r="E185" s="304"/>
      <c r="F185" s="309"/>
      <c r="G185" s="310"/>
      <c r="H185" s="324" t="s">
        <v>14</v>
      </c>
      <c r="I185" s="319">
        <f>+I183-I184</f>
        <v>149194.35200000001</v>
      </c>
      <c r="J185" s="319">
        <f>I185*$I178</f>
        <v>8147.0428718867252</v>
      </c>
      <c r="K185" s="325">
        <f>+I185/I188</f>
        <v>2.6008812649268696</v>
      </c>
    </row>
    <row r="186" spans="1:12">
      <c r="B186" s="1" t="s">
        <v>15</v>
      </c>
      <c r="C186" s="301">
        <v>9145.2939999999999</v>
      </c>
      <c r="D186" s="302">
        <f t="shared" ref="D186:D219" si="3">C186*$I$178</f>
        <v>499.39626597934767</v>
      </c>
      <c r="E186" s="304"/>
      <c r="F186" s="309"/>
      <c r="G186" s="310"/>
      <c r="H186" s="324" t="s">
        <v>16</v>
      </c>
      <c r="I186" s="319">
        <f>C224</f>
        <v>117748.124</v>
      </c>
      <c r="J186" s="319">
        <f>I186*$I178</f>
        <v>6429.8614622638934</v>
      </c>
      <c r="K186" s="147"/>
    </row>
    <row r="187" spans="1:12">
      <c r="B187" s="1" t="s">
        <v>17</v>
      </c>
      <c r="C187" s="301">
        <v>0</v>
      </c>
      <c r="D187" s="302">
        <f t="shared" si="3"/>
        <v>0</v>
      </c>
      <c r="E187" s="304"/>
      <c r="F187" s="309"/>
      <c r="G187" s="310"/>
      <c r="H187" s="324" t="s">
        <v>18</v>
      </c>
      <c r="I187" s="319">
        <f>I183+I186</f>
        <v>274436.24800000002</v>
      </c>
      <c r="J187" s="319"/>
      <c r="K187" s="147"/>
    </row>
    <row r="188" spans="1:12" ht="13.5" thickBot="1">
      <c r="B188" s="1" t="s">
        <v>19</v>
      </c>
      <c r="C188" s="301">
        <v>0</v>
      </c>
      <c r="D188" s="302">
        <f t="shared" si="3"/>
        <v>0</v>
      </c>
      <c r="E188" s="304"/>
      <c r="F188" s="309"/>
      <c r="G188" s="310"/>
      <c r="H188" s="327" t="s">
        <v>20</v>
      </c>
      <c r="I188" s="328">
        <f>C226</f>
        <v>57363</v>
      </c>
      <c r="J188" s="328"/>
      <c r="K188" s="329"/>
    </row>
    <row r="189" spans="1:12">
      <c r="B189" s="1" t="s">
        <v>21</v>
      </c>
      <c r="C189" s="301">
        <v>0</v>
      </c>
      <c r="D189" s="302">
        <f t="shared" si="3"/>
        <v>0</v>
      </c>
      <c r="E189" s="304"/>
      <c r="F189" s="309"/>
      <c r="G189" s="310"/>
      <c r="H189" s="316"/>
      <c r="I189" s="213"/>
      <c r="J189" s="213"/>
    </row>
    <row r="190" spans="1:12">
      <c r="B190" s="1" t="s">
        <v>22</v>
      </c>
      <c r="C190" s="301">
        <v>0</v>
      </c>
      <c r="D190" s="302">
        <f t="shared" si="3"/>
        <v>0</v>
      </c>
      <c r="E190" s="304"/>
      <c r="F190" s="309"/>
      <c r="G190" s="310"/>
      <c r="H190" s="316"/>
      <c r="I190" s="213"/>
      <c r="J190" s="213"/>
    </row>
    <row r="191" spans="1:12">
      <c r="B191" s="1" t="s">
        <v>23</v>
      </c>
      <c r="C191" s="301">
        <v>3676.5</v>
      </c>
      <c r="D191" s="302">
        <f t="shared" si="3"/>
        <v>200.76231249351545</v>
      </c>
      <c r="E191" s="304"/>
      <c r="F191" s="309"/>
      <c r="G191" s="310"/>
      <c r="H191" s="309"/>
    </row>
    <row r="192" spans="1:12">
      <c r="B192" s="1" t="s">
        <v>26</v>
      </c>
      <c r="C192" s="301">
        <v>7706.3389999999999</v>
      </c>
      <c r="D192" s="302">
        <f t="shared" si="3"/>
        <v>420.81937671670482</v>
      </c>
      <c r="E192" s="304"/>
      <c r="F192" s="309"/>
      <c r="G192" s="310"/>
      <c r="H192" s="309"/>
    </row>
    <row r="193" spans="2:9">
      <c r="B193" s="1" t="s">
        <v>27</v>
      </c>
      <c r="C193" s="301">
        <v>3000</v>
      </c>
      <c r="D193" s="302">
        <f t="shared" si="3"/>
        <v>163.82073642881718</v>
      </c>
      <c r="E193" s="304"/>
      <c r="F193" s="309"/>
      <c r="G193" s="310"/>
      <c r="H193" s="309"/>
      <c r="I193" s="102"/>
    </row>
    <row r="194" spans="2:9">
      <c r="B194" s="1" t="s">
        <v>28</v>
      </c>
      <c r="C194" s="301">
        <v>0</v>
      </c>
      <c r="D194" s="302">
        <f t="shared" si="3"/>
        <v>0</v>
      </c>
      <c r="E194" s="304"/>
      <c r="F194" s="309"/>
      <c r="G194" s="310"/>
      <c r="H194" s="309"/>
      <c r="I194" s="102"/>
    </row>
    <row r="195" spans="2:9">
      <c r="B195" s="1" t="s">
        <v>29</v>
      </c>
      <c r="C195" s="301">
        <v>2238</v>
      </c>
      <c r="D195" s="302">
        <f t="shared" si="3"/>
        <v>122.21026937589761</v>
      </c>
      <c r="E195" s="304"/>
      <c r="F195" s="309"/>
      <c r="G195" s="310"/>
      <c r="H195" s="309"/>
    </row>
    <row r="196" spans="2:9">
      <c r="B196" s="1" t="s">
        <v>30</v>
      </c>
      <c r="C196" s="301">
        <v>9633.1020000000008</v>
      </c>
      <c r="D196" s="302">
        <f t="shared" si="3"/>
        <v>526.03395457797058</v>
      </c>
      <c r="E196" s="304"/>
      <c r="F196" s="309"/>
      <c r="G196" s="310"/>
      <c r="H196" s="309"/>
    </row>
    <row r="197" spans="2:9">
      <c r="B197" s="1" t="s">
        <v>86</v>
      </c>
      <c r="C197" s="301">
        <v>12762</v>
      </c>
      <c r="D197" s="302">
        <f t="shared" si="3"/>
        <v>696.89341276818823</v>
      </c>
      <c r="E197" s="304"/>
      <c r="F197" s="309"/>
      <c r="G197" s="310"/>
      <c r="H197" s="309"/>
    </row>
    <row r="198" spans="2:9">
      <c r="B198" s="1" t="s">
        <v>32</v>
      </c>
      <c r="C198" s="301">
        <v>12000</v>
      </c>
      <c r="D198" s="302">
        <f t="shared" si="3"/>
        <v>655.28294571526874</v>
      </c>
      <c r="E198" s="304"/>
      <c r="F198" s="309"/>
      <c r="G198" s="310"/>
      <c r="H198" s="309"/>
    </row>
    <row r="199" spans="2:9">
      <c r="B199" s="1" t="s">
        <v>33</v>
      </c>
      <c r="C199" s="301">
        <v>11948.625</v>
      </c>
      <c r="D199" s="302">
        <f t="shared" si="3"/>
        <v>652.47751560392521</v>
      </c>
      <c r="E199" s="304"/>
      <c r="F199" s="309"/>
      <c r="G199" s="310"/>
      <c r="H199" s="309"/>
    </row>
    <row r="200" spans="2:9">
      <c r="B200" s="1" t="s">
        <v>34</v>
      </c>
      <c r="C200" s="301">
        <v>10294.476000000001</v>
      </c>
      <c r="D200" s="302">
        <f t="shared" si="3"/>
        <v>562.14954648959474</v>
      </c>
      <c r="E200" s="304"/>
      <c r="F200" s="309"/>
      <c r="G200" s="310"/>
      <c r="H200" s="309"/>
    </row>
    <row r="201" spans="2:9">
      <c r="B201" s="1" t="s">
        <v>37</v>
      </c>
      <c r="C201" s="301">
        <v>0</v>
      </c>
      <c r="D201" s="302">
        <f t="shared" si="3"/>
        <v>0</v>
      </c>
      <c r="E201" s="304"/>
      <c r="F201" s="309"/>
      <c r="G201" s="310"/>
      <c r="H201" s="309"/>
    </row>
    <row r="202" spans="2:9" ht="25.5">
      <c r="B202" s="91" t="s">
        <v>38</v>
      </c>
      <c r="C202" s="301">
        <v>0</v>
      </c>
      <c r="D202" s="302">
        <f t="shared" si="3"/>
        <v>0</v>
      </c>
      <c r="E202" s="304"/>
      <c r="F202" s="309"/>
      <c r="G202" s="310"/>
      <c r="H202" s="309"/>
    </row>
    <row r="203" spans="2:9">
      <c r="B203" s="91" t="s">
        <v>39</v>
      </c>
      <c r="C203" s="301">
        <v>16544.25</v>
      </c>
      <c r="D203" s="302">
        <f t="shared" si="3"/>
        <v>903.43040622081946</v>
      </c>
      <c r="E203" s="304"/>
      <c r="F203" s="309"/>
      <c r="G203" s="310"/>
      <c r="H203" s="309"/>
    </row>
    <row r="204" spans="2:9">
      <c r="B204" s="91" t="s">
        <v>40</v>
      </c>
      <c r="C204" s="301">
        <v>10110.375</v>
      </c>
      <c r="D204" s="302">
        <f t="shared" si="3"/>
        <v>552.09635935716744</v>
      </c>
      <c r="E204" s="304"/>
      <c r="F204" s="309"/>
      <c r="G204" s="310"/>
      <c r="H204" s="309"/>
    </row>
    <row r="205" spans="2:9">
      <c r="B205" s="91" t="s">
        <v>41</v>
      </c>
      <c r="C205" s="301">
        <v>0</v>
      </c>
      <c r="D205" s="302">
        <f t="shared" si="3"/>
        <v>0</v>
      </c>
      <c r="E205" s="304"/>
      <c r="F205" s="309"/>
      <c r="G205" s="310"/>
      <c r="H205" s="309"/>
    </row>
    <row r="206" spans="2:9">
      <c r="B206" s="91" t="s">
        <v>42</v>
      </c>
      <c r="C206" s="301">
        <v>14706</v>
      </c>
      <c r="D206" s="302">
        <f t="shared" si="3"/>
        <v>803.04924997406181</v>
      </c>
      <c r="E206" s="304"/>
      <c r="F206" s="309"/>
      <c r="G206" s="310"/>
      <c r="H206" s="309"/>
    </row>
    <row r="207" spans="2:9">
      <c r="B207" s="1" t="s">
        <v>43</v>
      </c>
      <c r="C207" s="301">
        <v>0</v>
      </c>
      <c r="D207" s="302">
        <f t="shared" si="3"/>
        <v>0</v>
      </c>
      <c r="E207" s="304"/>
      <c r="F207" s="309"/>
      <c r="G207" s="310"/>
      <c r="H207" s="309"/>
    </row>
    <row r="208" spans="2:9">
      <c r="B208" s="1" t="s">
        <v>44</v>
      </c>
      <c r="C208" s="301">
        <v>0</v>
      </c>
      <c r="D208" s="302">
        <f t="shared" si="3"/>
        <v>0</v>
      </c>
      <c r="E208" s="304"/>
      <c r="F208" s="309"/>
      <c r="G208" s="310"/>
      <c r="H208" s="309"/>
    </row>
    <row r="209" spans="2:9">
      <c r="B209" s="1" t="s">
        <v>45</v>
      </c>
      <c r="C209" s="301">
        <v>1838.25</v>
      </c>
      <c r="D209" s="302">
        <f t="shared" si="3"/>
        <v>100.38115624675773</v>
      </c>
      <c r="E209" s="304"/>
      <c r="F209" s="309"/>
      <c r="G209" s="310"/>
      <c r="H209" s="309"/>
    </row>
    <row r="210" spans="2:9">
      <c r="B210" s="1" t="s">
        <v>87</v>
      </c>
      <c r="C210" s="301">
        <v>0</v>
      </c>
      <c r="D210" s="302">
        <f t="shared" si="3"/>
        <v>0</v>
      </c>
      <c r="E210" s="304"/>
      <c r="F210" s="309"/>
      <c r="G210" s="310"/>
      <c r="H210" s="309"/>
    </row>
    <row r="211" spans="2:9">
      <c r="B211" s="1" t="s">
        <v>47</v>
      </c>
      <c r="C211" s="301">
        <v>2042.5260000000001</v>
      </c>
      <c r="D211" s="302">
        <f t="shared" si="3"/>
        <v>111.53603783166875</v>
      </c>
      <c r="E211" s="304"/>
      <c r="F211" s="309"/>
      <c r="G211" s="310"/>
      <c r="H211" s="309"/>
    </row>
    <row r="212" spans="2:9">
      <c r="B212" s="1" t="s">
        <v>48</v>
      </c>
      <c r="C212" s="301">
        <v>2297.8119999999999</v>
      </c>
      <c r="D212" s="302">
        <f t="shared" si="3"/>
        <v>125.47641800499107</v>
      </c>
      <c r="E212" s="304"/>
      <c r="F212" s="309"/>
      <c r="G212" s="310"/>
      <c r="H212" s="309"/>
    </row>
    <row r="213" spans="2:9">
      <c r="B213" s="1" t="s">
        <v>51</v>
      </c>
      <c r="C213" s="301">
        <v>2297.8119999999999</v>
      </c>
      <c r="D213" s="302">
        <f t="shared" si="3"/>
        <v>125.47641800499107</v>
      </c>
      <c r="E213" s="304"/>
      <c r="F213" s="309"/>
      <c r="G213" s="310"/>
      <c r="H213" s="309"/>
    </row>
    <row r="214" spans="2:9">
      <c r="B214" s="1" t="s">
        <v>52</v>
      </c>
      <c r="C214" s="301">
        <v>5000</v>
      </c>
      <c r="D214" s="302">
        <f t="shared" si="3"/>
        <v>273.03456071469526</v>
      </c>
      <c r="E214" s="304"/>
      <c r="F214" s="309"/>
      <c r="G214" s="310"/>
      <c r="H214" s="309"/>
    </row>
    <row r="215" spans="2:9">
      <c r="B215" s="1" t="s">
        <v>53</v>
      </c>
      <c r="C215" s="301">
        <v>2757.375</v>
      </c>
      <c r="D215" s="302">
        <f t="shared" si="3"/>
        <v>150.5717343701366</v>
      </c>
      <c r="E215" s="304"/>
      <c r="F215" s="309"/>
      <c r="G215" s="310"/>
      <c r="H215" s="309"/>
    </row>
    <row r="216" spans="2:9">
      <c r="B216" s="1" t="s">
        <v>54</v>
      </c>
      <c r="C216" s="301">
        <v>3215.9250000000002</v>
      </c>
      <c r="D216" s="302">
        <f t="shared" si="3"/>
        <v>175.6117339332813</v>
      </c>
      <c r="E216" s="304"/>
      <c r="F216" s="309"/>
      <c r="G216" s="310"/>
      <c r="H216" s="309"/>
    </row>
    <row r="217" spans="2:9">
      <c r="B217" s="1" t="s">
        <v>56</v>
      </c>
      <c r="C217" s="301">
        <v>3578.4279999999999</v>
      </c>
      <c r="D217" s="302">
        <f t="shared" si="3"/>
        <v>195.40690340583311</v>
      </c>
      <c r="E217" s="304"/>
      <c r="F217" s="309"/>
      <c r="G217" s="310"/>
      <c r="H217" s="309"/>
    </row>
    <row r="218" spans="2:9">
      <c r="B218" s="1" t="s">
        <v>57</v>
      </c>
      <c r="C218" s="301">
        <v>10758.67</v>
      </c>
      <c r="D218" s="302">
        <f t="shared" si="3"/>
        <v>587.49774746487412</v>
      </c>
      <c r="E218" s="304"/>
      <c r="F218" s="309"/>
      <c r="G218" s="310"/>
      <c r="H218" s="309"/>
    </row>
    <row r="219" spans="2:9">
      <c r="B219" s="1" t="s">
        <v>58</v>
      </c>
      <c r="C219" s="301">
        <v>-863.63499999999999</v>
      </c>
      <c r="D219" s="302">
        <f t="shared" si="3"/>
        <v>-47.160440568567175</v>
      </c>
      <c r="E219" s="304"/>
      <c r="F219" s="309"/>
      <c r="G219" s="310"/>
      <c r="H219" s="309"/>
    </row>
    <row r="220" spans="2:9">
      <c r="B220" s="300"/>
      <c r="C220" s="301"/>
      <c r="D220" s="302"/>
      <c r="E220" s="304"/>
      <c r="F220" s="309"/>
      <c r="G220" s="310"/>
      <c r="H220" s="309"/>
    </row>
    <row r="221" spans="2:9">
      <c r="B221" s="35" t="s">
        <v>12</v>
      </c>
      <c r="C221" s="208">
        <f>SUM(C182:C220)</f>
        <v>193089.99900000004</v>
      </c>
      <c r="D221" s="208">
        <f>SUM(D182:D220)</f>
        <v>10544.048611073194</v>
      </c>
      <c r="E221" s="36">
        <f>+C221/C226</f>
        <v>3.366107055070342</v>
      </c>
      <c r="F221" s="36">
        <f>+D221/D226</f>
        <v>3.6073377205078718</v>
      </c>
      <c r="G221" s="311"/>
      <c r="H221" s="312"/>
      <c r="I221" s="145"/>
    </row>
    <row r="222" spans="2:9">
      <c r="B222" s="34" t="s">
        <v>13</v>
      </c>
      <c r="C222" s="209">
        <f>Model!BF$165</f>
        <v>7493.7719999999999</v>
      </c>
      <c r="D222" s="302">
        <f>C222*$I$178</f>
        <v>409.21174922321671</v>
      </c>
      <c r="E222" s="210"/>
      <c r="F222" s="210"/>
      <c r="G222" s="310"/>
      <c r="H222" s="313"/>
    </row>
    <row r="223" spans="2:9">
      <c r="B223" s="35" t="s">
        <v>14</v>
      </c>
      <c r="C223" s="208">
        <f>+C221-C222</f>
        <v>185596.22700000004</v>
      </c>
      <c r="D223" s="208">
        <f>+D221-D222</f>
        <v>10134.836861849977</v>
      </c>
      <c r="E223" s="36">
        <f>+C223/C226</f>
        <v>3.2354693269180488</v>
      </c>
      <c r="F223" s="36">
        <f>+D223/D226</f>
        <v>3.4673378937717096</v>
      </c>
      <c r="G223" s="311"/>
      <c r="H223" s="312"/>
    </row>
    <row r="224" spans="2:9">
      <c r="B224" s="69" t="s">
        <v>16</v>
      </c>
      <c r="C224" s="211">
        <f>Model!BG$186</f>
        <v>117748.124</v>
      </c>
      <c r="D224" s="302">
        <f>C224*$I$178</f>
        <v>6429.8614622638934</v>
      </c>
      <c r="E224" s="212"/>
      <c r="F224" s="311"/>
      <c r="G224" s="310"/>
      <c r="H224" s="314"/>
    </row>
    <row r="225" spans="2:8">
      <c r="B225" s="69" t="s">
        <v>18</v>
      </c>
      <c r="C225" s="211">
        <f>C221+C224</f>
        <v>310838.12300000002</v>
      </c>
      <c r="D225" s="211">
        <f>D221+D224</f>
        <v>16973.910073337087</v>
      </c>
      <c r="E225" s="212"/>
      <c r="F225" s="311"/>
      <c r="G225" s="311"/>
      <c r="H225" s="314"/>
    </row>
    <row r="226" spans="2:8">
      <c r="B226" s="316" t="s">
        <v>20</v>
      </c>
      <c r="C226" s="213">
        <f>Model!BF$92</f>
        <v>57363</v>
      </c>
      <c r="D226" s="302">
        <f>C226*$I$179</f>
        <v>2922.944683313076</v>
      </c>
      <c r="E226" s="210"/>
      <c r="F226" s="313"/>
      <c r="G226" s="315"/>
      <c r="H226" s="313"/>
    </row>
    <row r="228" spans="2:8">
      <c r="B228" s="101" t="s">
        <v>59</v>
      </c>
      <c r="C228" s="229">
        <f>Model!BG$179-Capitalisation!C221</f>
        <v>0</v>
      </c>
    </row>
    <row r="229" spans="2:8">
      <c r="B229" s="101"/>
      <c r="C229" s="103"/>
    </row>
    <row r="230" spans="2:8">
      <c r="B230" s="35" t="s">
        <v>60</v>
      </c>
      <c r="C230" s="88">
        <f>C223+Model!BG$185</f>
        <v>437423.72700000007</v>
      </c>
    </row>
    <row r="231" spans="2:8">
      <c r="B231" s="35" t="s">
        <v>61</v>
      </c>
      <c r="C231" s="36">
        <f>C230/C226</f>
        <v>7.6255378379791861</v>
      </c>
    </row>
    <row r="233" spans="2:8" ht="13.5" thickBot="1"/>
    <row r="234" spans="2:8">
      <c r="B234" s="333" t="s">
        <v>88</v>
      </c>
      <c r="C234" s="336" t="s">
        <v>4</v>
      </c>
      <c r="D234" s="336" t="s">
        <v>5</v>
      </c>
      <c r="E234" s="104"/>
      <c r="F234" s="104"/>
    </row>
    <row r="235" spans="2:8">
      <c r="B235" s="79" t="s">
        <v>63</v>
      </c>
      <c r="C235" s="202">
        <f>C222</f>
        <v>7493.7719999999999</v>
      </c>
      <c r="D235" s="202">
        <f>C235*I178</f>
        <v>409.21174922321671</v>
      </c>
      <c r="E235" s="105"/>
      <c r="F235" s="105"/>
    </row>
    <row r="236" spans="2:8" ht="13.5" thickBot="1">
      <c r="B236" s="317" t="s">
        <v>64</v>
      </c>
      <c r="C236" s="318">
        <f>SUM(C235:C235)</f>
        <v>7493.7719999999999</v>
      </c>
      <c r="D236" s="318">
        <f>SUM(D235:D235)</f>
        <v>409.21174922321671</v>
      </c>
      <c r="E236" s="105"/>
      <c r="F236" s="105"/>
    </row>
    <row r="238" spans="2:8">
      <c r="C238" s="30"/>
    </row>
    <row r="239" spans="2:8" ht="13.5" thickBot="1"/>
    <row r="240" spans="2:8" ht="13.5" thickBot="1">
      <c r="B240" s="333" t="s">
        <v>88</v>
      </c>
      <c r="C240" s="334" t="s">
        <v>4</v>
      </c>
      <c r="D240" s="335" t="s">
        <v>5</v>
      </c>
      <c r="E240" s="66"/>
    </row>
    <row r="241" spans="2:8">
      <c r="B241" s="144">
        <v>2025</v>
      </c>
      <c r="C241" s="199">
        <f>Model!BG$114</f>
        <v>13348.118999999999</v>
      </c>
      <c r="D241" s="200">
        <f>+C241*$I178</f>
        <v>728.8995615064955</v>
      </c>
    </row>
    <row r="242" spans="2:8">
      <c r="B242" s="144">
        <v>2026</v>
      </c>
      <c r="C242" s="199">
        <v>345.35300000000001</v>
      </c>
      <c r="D242" s="200">
        <f>+C242*$I178</f>
        <v>18.858660929300434</v>
      </c>
      <c r="H242" s="273"/>
    </row>
    <row r="243" spans="2:8">
      <c r="B243" s="144">
        <v>2027</v>
      </c>
      <c r="C243" s="199">
        <v>13145.883</v>
      </c>
      <c r="D243" s="200">
        <f>+C243*$I178</f>
        <v>717.85607802235609</v>
      </c>
      <c r="H243" s="273"/>
    </row>
    <row r="244" spans="2:8">
      <c r="B244" s="144">
        <v>2028</v>
      </c>
      <c r="C244" s="199">
        <v>14652.271000000001</v>
      </c>
      <c r="D244" s="200">
        <f>+C244*$I178</f>
        <v>800.11527519153378</v>
      </c>
      <c r="H244" s="273"/>
    </row>
    <row r="245" spans="2:8">
      <c r="B245" s="144" t="s">
        <v>89</v>
      </c>
      <c r="C245" s="199">
        <f>20355.795+94840.703</f>
        <v>115196.49799999999</v>
      </c>
      <c r="D245" s="200">
        <f>+C245*$I178</f>
        <v>6290.5250454602547</v>
      </c>
      <c r="H245" s="273"/>
    </row>
    <row r="246" spans="2:8" ht="13.5" thickBot="1">
      <c r="B246" s="144" t="s">
        <v>67</v>
      </c>
      <c r="C246" s="246">
        <f>C182</f>
        <v>36401.875</v>
      </c>
      <c r="D246" s="200">
        <f>+C246*$I178</f>
        <v>1987.7939899632497</v>
      </c>
    </row>
    <row r="247" spans="2:8" ht="13.5" thickBot="1">
      <c r="B247" s="185" t="s">
        <v>68</v>
      </c>
      <c r="C247" s="337">
        <f>SUM(C241:C246)</f>
        <v>193089.99899999998</v>
      </c>
      <c r="D247" s="338">
        <f>+C247*$I178</f>
        <v>10544.048611073189</v>
      </c>
      <c r="G247" s="127"/>
    </row>
    <row r="248" spans="2:8">
      <c r="G248" s="127"/>
    </row>
    <row r="249" spans="2:8" ht="13.5" thickBot="1">
      <c r="G249" s="127"/>
    </row>
    <row r="250" spans="2:8">
      <c r="B250" s="343" t="s">
        <v>90</v>
      </c>
      <c r="C250" s="344"/>
      <c r="G250" s="127"/>
    </row>
    <row r="251" spans="2:8">
      <c r="B251" s="339" t="s">
        <v>70</v>
      </c>
      <c r="C251" s="340">
        <v>0.47</v>
      </c>
      <c r="G251" s="127"/>
    </row>
    <row r="252" spans="2:8">
      <c r="B252" s="339" t="s">
        <v>71</v>
      </c>
      <c r="C252" s="340">
        <v>0.02</v>
      </c>
      <c r="G252" s="127"/>
    </row>
    <row r="253" spans="2:8">
      <c r="B253" s="339" t="s">
        <v>72</v>
      </c>
      <c r="C253" s="340">
        <v>0.39</v>
      </c>
      <c r="G253" s="127"/>
    </row>
    <row r="254" spans="2:8">
      <c r="B254" s="339" t="s">
        <v>73</v>
      </c>
      <c r="C254" s="340">
        <v>0.1</v>
      </c>
    </row>
    <row r="255" spans="2:8" ht="13.5" thickBot="1">
      <c r="B255" s="341" t="s">
        <v>74</v>
      </c>
      <c r="C255" s="342">
        <v>0.02</v>
      </c>
    </row>
    <row r="260" spans="1:13">
      <c r="A260" s="66" t="s">
        <v>91</v>
      </c>
      <c r="G260" s="66" t="s">
        <v>92</v>
      </c>
      <c r="H260" s="241">
        <f>Model!BF$267</f>
        <v>5.3341868032218485E-2</v>
      </c>
      <c r="J260" s="184" t="s">
        <v>8</v>
      </c>
    </row>
    <row r="261" spans="1:13">
      <c r="B261" s="391" t="s">
        <v>93</v>
      </c>
      <c r="C261" s="391"/>
      <c r="D261" s="391"/>
      <c r="E261" s="391"/>
      <c r="F261" s="391"/>
      <c r="G261" s="391"/>
      <c r="H261" s="391"/>
      <c r="I261" s="82"/>
      <c r="J261" s="392" t="s">
        <v>93</v>
      </c>
      <c r="K261" s="392"/>
      <c r="L261" s="392"/>
      <c r="M261" s="175"/>
    </row>
    <row r="262" spans="1:13" ht="25.5">
      <c r="B262" s="26" t="s">
        <v>4</v>
      </c>
      <c r="C262" s="106" t="s">
        <v>4</v>
      </c>
      <c r="D262" s="106" t="s">
        <v>5</v>
      </c>
      <c r="E262" s="166" t="s">
        <v>94</v>
      </c>
      <c r="F262" s="106" t="s">
        <v>4</v>
      </c>
      <c r="G262" s="106" t="s">
        <v>5</v>
      </c>
      <c r="H262" s="166" t="s">
        <v>95</v>
      </c>
      <c r="I262" s="27"/>
      <c r="J262" s="26"/>
      <c r="K262" s="106" t="s">
        <v>4</v>
      </c>
      <c r="L262" s="106" t="s">
        <v>5</v>
      </c>
      <c r="M262" s="106" t="s">
        <v>85</v>
      </c>
    </row>
    <row r="263" spans="1:13">
      <c r="B263" s="83" t="s">
        <v>10</v>
      </c>
      <c r="C263" s="221">
        <f>Model!BF$176</f>
        <v>35805.949000000001</v>
      </c>
      <c r="D263" s="204">
        <f>C263*$H260</f>
        <v>1909.9562063263454</v>
      </c>
      <c r="E263" s="205"/>
      <c r="F263" s="206">
        <f>C263</f>
        <v>35805.949000000001</v>
      </c>
      <c r="G263" s="204">
        <f>F263*$H260</f>
        <v>1909.9562063263454</v>
      </c>
      <c r="H263" s="205"/>
      <c r="I263" s="27"/>
      <c r="J263" s="26"/>
      <c r="K263" s="106"/>
      <c r="L263" s="106"/>
      <c r="M263" s="106"/>
    </row>
    <row r="264" spans="1:13">
      <c r="B264" s="100" t="s">
        <v>11</v>
      </c>
      <c r="C264" s="221"/>
      <c r="D264" s="204"/>
      <c r="E264" s="206"/>
      <c r="F264" s="206"/>
      <c r="G264" s="174"/>
      <c r="H264" s="206"/>
      <c r="J264" s="178" t="s">
        <v>12</v>
      </c>
      <c r="K264" s="217">
        <f>Model!BF$115+Model!BF$114</f>
        <v>156935.11300000001</v>
      </c>
      <c r="L264" s="217">
        <f>K264*$H260</f>
        <v>8371.2120872672967</v>
      </c>
      <c r="M264" s="180">
        <f>+K264/K269</f>
        <v>2.7358247127939617</v>
      </c>
    </row>
    <row r="265" spans="1:13">
      <c r="B265" s="83"/>
      <c r="C265" s="221"/>
      <c r="D265" s="204"/>
      <c r="E265" s="206"/>
      <c r="F265" s="206"/>
      <c r="G265" s="204"/>
      <c r="H265" s="206"/>
      <c r="J265" s="181" t="s">
        <v>13</v>
      </c>
      <c r="K265" s="218">
        <f>C300</f>
        <v>7493.7719999999999</v>
      </c>
      <c r="L265" s="217">
        <f>K265*$H260</f>
        <v>399.73179708753401</v>
      </c>
      <c r="M265" s="175"/>
    </row>
    <row r="266" spans="1:13">
      <c r="B266" s="83"/>
      <c r="C266" s="221"/>
      <c r="D266" s="204"/>
      <c r="E266" s="206"/>
      <c r="F266" s="206"/>
      <c r="G266" s="204"/>
      <c r="H266" s="206"/>
      <c r="J266" s="178" t="s">
        <v>14</v>
      </c>
      <c r="K266" s="217">
        <f>+K264-K265</f>
        <v>149441.34100000001</v>
      </c>
      <c r="L266" s="217">
        <f>K266*$H260</f>
        <v>7971.4802901797621</v>
      </c>
      <c r="M266" s="180">
        <f>+K266/K269</f>
        <v>2.6051869846416684</v>
      </c>
    </row>
    <row r="267" spans="1:13">
      <c r="B267" s="83" t="s">
        <v>17</v>
      </c>
      <c r="C267" s="221">
        <f>Model!BF$120</f>
        <v>0</v>
      </c>
      <c r="D267" s="204">
        <f>C267*$H260</f>
        <v>0</v>
      </c>
      <c r="E267" s="206"/>
      <c r="F267" s="206">
        <f>C267</f>
        <v>0</v>
      </c>
      <c r="G267" s="204">
        <f>F267*$H260</f>
        <v>0</v>
      </c>
      <c r="H267" s="206"/>
      <c r="J267" s="183" t="s">
        <v>16</v>
      </c>
      <c r="K267" s="219">
        <f>C302</f>
        <v>119516.317</v>
      </c>
      <c r="L267" s="275">
        <f>K267*$H260</f>
        <v>6375.2236091107907</v>
      </c>
      <c r="M267" s="175"/>
    </row>
    <row r="268" spans="1:13">
      <c r="B268" s="83" t="s">
        <v>15</v>
      </c>
      <c r="C268" s="221">
        <f>Model!BF$119</f>
        <v>9399.1679999999997</v>
      </c>
      <c r="D268" s="204">
        <f>C268*$H260</f>
        <v>501.36917906865096</v>
      </c>
      <c r="E268" s="206"/>
      <c r="F268" s="206">
        <f t="shared" ref="F268:F271" si="4">C268</f>
        <v>9399.1679999999997</v>
      </c>
      <c r="G268" s="204">
        <f>F268*$H260</f>
        <v>501.36917906865096</v>
      </c>
      <c r="H268" s="206"/>
      <c r="J268" s="183" t="s">
        <v>18</v>
      </c>
      <c r="K268" s="219">
        <f>K264+K267</f>
        <v>276451.43</v>
      </c>
      <c r="L268" s="219"/>
      <c r="M268" s="175"/>
    </row>
    <row r="269" spans="1:13">
      <c r="B269" s="83" t="s">
        <v>96</v>
      </c>
      <c r="C269" s="221">
        <f>Model!BF$132</f>
        <v>12280.32</v>
      </c>
      <c r="D269" s="204">
        <f>C269*$H260</f>
        <v>655.0552088334133</v>
      </c>
      <c r="E269" s="206"/>
      <c r="F269" s="206">
        <f t="shared" si="4"/>
        <v>12280.32</v>
      </c>
      <c r="G269" s="204">
        <f>F269*$H260</f>
        <v>655.0552088334133</v>
      </c>
      <c r="H269" s="206"/>
      <c r="J269" s="181" t="s">
        <v>20</v>
      </c>
      <c r="K269" s="220">
        <f>C304</f>
        <v>57363</v>
      </c>
      <c r="L269" s="220"/>
      <c r="M269" s="175"/>
    </row>
    <row r="270" spans="1:13">
      <c r="B270" s="83" t="s">
        <v>34</v>
      </c>
      <c r="C270" s="221">
        <f>Model!BF$133</f>
        <v>10580.251</v>
      </c>
      <c r="D270" s="204">
        <f>C270*$H260</f>
        <v>564.37035258974765</v>
      </c>
      <c r="E270" s="206"/>
      <c r="F270" s="206">
        <f t="shared" si="4"/>
        <v>10580.251</v>
      </c>
      <c r="G270" s="204">
        <f>F270*$H260</f>
        <v>564.37035258974765</v>
      </c>
      <c r="H270" s="206"/>
      <c r="J270" s="181"/>
      <c r="K270" s="220"/>
      <c r="L270" s="220"/>
      <c r="M270" s="175"/>
    </row>
    <row r="271" spans="1:13">
      <c r="B271" s="83" t="s">
        <v>57</v>
      </c>
      <c r="C271" s="221">
        <f>Model!BF$156</f>
        <v>11057.332</v>
      </c>
      <c r="D271" s="204">
        <f>C271*$H260</f>
        <v>589.81874433242649</v>
      </c>
      <c r="E271" s="206"/>
      <c r="F271" s="206">
        <f t="shared" si="4"/>
        <v>11057.332</v>
      </c>
      <c r="G271" s="204">
        <f>F271*$H260</f>
        <v>589.81874433242649</v>
      </c>
      <c r="H271" s="206"/>
      <c r="J271" s="181"/>
      <c r="K271" s="220"/>
      <c r="L271" s="220"/>
      <c r="M271" s="175"/>
    </row>
    <row r="272" spans="1:13">
      <c r="B272" s="100" t="s">
        <v>97</v>
      </c>
      <c r="C272" s="221"/>
      <c r="D272" s="204"/>
      <c r="E272" s="206"/>
      <c r="F272" s="206"/>
      <c r="G272" s="204"/>
      <c r="H272" s="206"/>
    </row>
    <row r="273" spans="2:9">
      <c r="B273" s="100" t="s">
        <v>23</v>
      </c>
      <c r="C273" s="221">
        <f>Model!BF$124</f>
        <v>0</v>
      </c>
      <c r="D273" s="204">
        <f>C273*H260</f>
        <v>0</v>
      </c>
      <c r="E273" s="206"/>
      <c r="F273" s="206">
        <f>C273</f>
        <v>0</v>
      </c>
      <c r="G273" s="204">
        <f>F273*H260</f>
        <v>0</v>
      </c>
      <c r="H273" s="206"/>
    </row>
    <row r="274" spans="2:9">
      <c r="B274" s="83" t="s">
        <v>26</v>
      </c>
      <c r="C274" s="221">
        <f>Model!BF$125</f>
        <v>7706.3389999999999</v>
      </c>
      <c r="D274" s="204">
        <f>C274*$H260</f>
        <v>411.07051794953856</v>
      </c>
      <c r="E274" s="206"/>
      <c r="F274" s="206">
        <f>C274</f>
        <v>7706.3389999999999</v>
      </c>
      <c r="G274" s="204">
        <f>F274*$H260</f>
        <v>411.07051794953856</v>
      </c>
      <c r="H274" s="206"/>
      <c r="I274" s="102"/>
    </row>
    <row r="275" spans="2:9">
      <c r="B275" s="83" t="s">
        <v>27</v>
      </c>
      <c r="C275" s="221">
        <f>Model!BF$126</f>
        <v>3000</v>
      </c>
      <c r="D275" s="204">
        <f>C275*$H260</f>
        <v>160.02560409665546</v>
      </c>
      <c r="E275" s="206"/>
      <c r="F275" s="206">
        <f>C275</f>
        <v>3000</v>
      </c>
      <c r="G275" s="204">
        <f>F275*$H260</f>
        <v>160.02560409665546</v>
      </c>
      <c r="H275" s="206"/>
      <c r="I275" s="102"/>
    </row>
    <row r="276" spans="2:9">
      <c r="B276" s="83" t="s">
        <v>30</v>
      </c>
      <c r="C276" s="221">
        <f>Model!BF$129</f>
        <v>9633.1020000000008</v>
      </c>
      <c r="D276" s="204">
        <f>C276*$H260</f>
        <v>513.84765562489997</v>
      </c>
      <c r="E276" s="206"/>
      <c r="F276" s="206">
        <f>C276</f>
        <v>9633.1020000000008</v>
      </c>
      <c r="G276" s="204">
        <f>F276*$H260</f>
        <v>513.84765562489997</v>
      </c>
      <c r="H276" s="206"/>
    </row>
    <row r="277" spans="2:9">
      <c r="B277" s="83" t="s">
        <v>32</v>
      </c>
      <c r="C277" s="221">
        <f>Model!BF$131</f>
        <v>12000</v>
      </c>
      <c r="D277" s="204">
        <f>C277*$H260</f>
        <v>640.10241638662183</v>
      </c>
      <c r="E277" s="206"/>
      <c r="F277" s="206">
        <f>C277</f>
        <v>12000</v>
      </c>
      <c r="G277" s="204">
        <f>F277*$H260</f>
        <v>640.10241638662183</v>
      </c>
      <c r="H277" s="206"/>
    </row>
    <row r="278" spans="2:9">
      <c r="B278" s="100" t="s">
        <v>98</v>
      </c>
      <c r="C278" s="221"/>
      <c r="D278" s="204"/>
      <c r="E278" s="206"/>
      <c r="F278" s="206"/>
      <c r="G278" s="204"/>
      <c r="H278" s="206"/>
    </row>
    <row r="279" spans="2:9">
      <c r="B279" s="83" t="s">
        <v>99</v>
      </c>
      <c r="C279" s="221">
        <v>0</v>
      </c>
      <c r="D279" s="204">
        <f>C279*$H260</f>
        <v>0</v>
      </c>
      <c r="E279" s="206"/>
      <c r="F279" s="206">
        <f t="shared" ref="F279:F289" si="5">C279</f>
        <v>0</v>
      </c>
      <c r="G279" s="204">
        <f>F279*$H260</f>
        <v>0</v>
      </c>
      <c r="H279" s="206"/>
    </row>
    <row r="280" spans="2:9">
      <c r="B280" s="83" t="s">
        <v>100</v>
      </c>
      <c r="C280" s="221">
        <v>0</v>
      </c>
      <c r="D280" s="204">
        <f>C280*$H260</f>
        <v>0</v>
      </c>
      <c r="E280" s="206"/>
      <c r="F280" s="206">
        <f t="shared" si="5"/>
        <v>0</v>
      </c>
      <c r="G280" s="204">
        <f>F280*$H260</f>
        <v>0</v>
      </c>
      <c r="H280" s="206"/>
    </row>
    <row r="281" spans="2:9">
      <c r="B281" s="83" t="s">
        <v>101</v>
      </c>
      <c r="C281" s="221">
        <v>0</v>
      </c>
      <c r="D281" s="204">
        <f>C281*$H260</f>
        <v>0</v>
      </c>
      <c r="E281" s="206"/>
      <c r="F281" s="206">
        <f t="shared" si="5"/>
        <v>0</v>
      </c>
      <c r="G281" s="204">
        <f>F281*$H260</f>
        <v>0</v>
      </c>
      <c r="H281" s="206"/>
    </row>
    <row r="282" spans="2:9">
      <c r="B282" s="83" t="s">
        <v>102</v>
      </c>
      <c r="C282" s="221">
        <v>0</v>
      </c>
      <c r="D282" s="204">
        <f>C282*$H260</f>
        <v>0</v>
      </c>
      <c r="E282" s="206"/>
      <c r="F282" s="206">
        <f t="shared" si="5"/>
        <v>0</v>
      </c>
      <c r="G282" s="204">
        <f>F282*$H260</f>
        <v>0</v>
      </c>
      <c r="H282" s="206"/>
    </row>
    <row r="283" spans="2:9">
      <c r="B283" s="83" t="s">
        <v>103</v>
      </c>
      <c r="C283" s="221">
        <f>Model!BF$141</f>
        <v>15114.24</v>
      </c>
      <c r="D283" s="204">
        <f>C283*$H260</f>
        <v>806.22179548727786</v>
      </c>
      <c r="E283" s="206"/>
      <c r="F283" s="206">
        <f t="shared" si="5"/>
        <v>15114.24</v>
      </c>
      <c r="G283" s="204">
        <f>F283*$H260</f>
        <v>806.22179548727786</v>
      </c>
      <c r="H283" s="206"/>
    </row>
    <row r="284" spans="2:9">
      <c r="B284" s="83" t="s">
        <v>104</v>
      </c>
      <c r="C284" s="221">
        <f>Model!BF$144</f>
        <v>1889.28</v>
      </c>
      <c r="D284" s="204">
        <f>C284*$H260</f>
        <v>100.77772443590973</v>
      </c>
      <c r="E284" s="206"/>
      <c r="F284" s="206">
        <f t="shared" si="5"/>
        <v>1889.28</v>
      </c>
      <c r="G284" s="204">
        <f>F284*$H260</f>
        <v>100.77772443590973</v>
      </c>
      <c r="H284" s="206"/>
    </row>
    <row r="285" spans="2:9">
      <c r="B285" s="83" t="s">
        <v>105</v>
      </c>
      <c r="C285" s="221">
        <f>Model!BF$155</f>
        <v>4234.2860000000001</v>
      </c>
      <c r="D285" s="204">
        <f>C285*$H260</f>
        <v>225.86472502267029</v>
      </c>
      <c r="E285" s="206"/>
      <c r="F285" s="206">
        <f t="shared" si="5"/>
        <v>4234.2860000000001</v>
      </c>
      <c r="G285" s="204">
        <f>F285*$H260</f>
        <v>225.86472502267029</v>
      </c>
      <c r="H285" s="206"/>
    </row>
    <row r="286" spans="2:9">
      <c r="B286" s="279" t="s">
        <v>29</v>
      </c>
      <c r="C286" s="221">
        <f>Model!BF$128</f>
        <v>2238</v>
      </c>
      <c r="D286" s="204">
        <f>C286*$H260</f>
        <v>119.37910065610497</v>
      </c>
      <c r="E286" s="206"/>
      <c r="F286" s="206">
        <f t="shared" si="5"/>
        <v>2238</v>
      </c>
      <c r="G286" s="204">
        <f>F286*$H260</f>
        <v>119.37910065610497</v>
      </c>
      <c r="H286" s="206"/>
    </row>
    <row r="287" spans="2:9">
      <c r="B287" s="83" t="s">
        <v>31</v>
      </c>
      <c r="C287" s="221">
        <f>Model!BF$130</f>
        <v>12762</v>
      </c>
      <c r="D287" s="204">
        <f>C287*$H260</f>
        <v>680.74891982717236</v>
      </c>
      <c r="E287" s="206"/>
      <c r="F287" s="206">
        <f t="shared" si="5"/>
        <v>12762</v>
      </c>
      <c r="G287" s="204">
        <f>F287*$H260</f>
        <v>680.74891982717236</v>
      </c>
      <c r="H287" s="206"/>
    </row>
    <row r="288" spans="2:9">
      <c r="B288" s="83" t="s">
        <v>39</v>
      </c>
      <c r="C288" s="221">
        <f>Model!BF$138</f>
        <v>17003.52</v>
      </c>
      <c r="D288" s="204">
        <f>C288*$H260</f>
        <v>906.99951992318768</v>
      </c>
      <c r="E288" s="206"/>
      <c r="F288" s="206">
        <f t="shared" si="5"/>
        <v>17003.52</v>
      </c>
      <c r="G288" s="204">
        <f>F288*$H260</f>
        <v>906.99951992318768</v>
      </c>
      <c r="H288" s="206"/>
    </row>
    <row r="289" spans="2:9">
      <c r="B289" s="83" t="s">
        <v>40</v>
      </c>
      <c r="C289" s="221">
        <f>Model!BF$139</f>
        <v>10391.040000000001</v>
      </c>
      <c r="D289" s="204">
        <f>C289*$H260</f>
        <v>554.2774843975036</v>
      </c>
      <c r="E289" s="206"/>
      <c r="F289" s="206">
        <f t="shared" si="5"/>
        <v>10391.040000000001</v>
      </c>
      <c r="G289" s="204">
        <f>F289*$H260</f>
        <v>554.2774843975036</v>
      </c>
      <c r="H289" s="206"/>
    </row>
    <row r="290" spans="2:9">
      <c r="B290" s="83" t="s">
        <v>37</v>
      </c>
      <c r="C290" s="221">
        <f>Model!BF$136</f>
        <v>3319.9349999999999</v>
      </c>
      <c r="D290" s="204">
        <f>C290*$H260</f>
        <v>177.09153464554328</v>
      </c>
      <c r="E290" s="206"/>
      <c r="F290" s="206">
        <f>Model!BF$136</f>
        <v>3319.9349999999999</v>
      </c>
      <c r="G290" s="204">
        <f>F290*$H260</f>
        <v>177.09153464554328</v>
      </c>
      <c r="H290" s="206"/>
    </row>
    <row r="291" spans="2:9">
      <c r="B291" s="83" t="s">
        <v>44</v>
      </c>
      <c r="C291" s="221">
        <f>Model!BF$143</f>
        <v>482</v>
      </c>
      <c r="D291" s="204">
        <f>C291*$H260</f>
        <v>25.710780391529308</v>
      </c>
      <c r="E291" s="206"/>
      <c r="F291" s="206">
        <f t="shared" ref="F291:F296" si="6">C291</f>
        <v>482</v>
      </c>
      <c r="G291" s="204">
        <f>F291*$H$408</f>
        <v>23.151150112633704</v>
      </c>
      <c r="H291" s="206"/>
    </row>
    <row r="292" spans="2:9">
      <c r="B292" s="83" t="s">
        <v>87</v>
      </c>
      <c r="C292" s="221">
        <f>Model!BF$145</f>
        <v>2361.6</v>
      </c>
      <c r="D292" s="204">
        <f>C292*$H260</f>
        <v>125.97215554488717</v>
      </c>
      <c r="E292" s="206"/>
      <c r="F292" s="206">
        <f t="shared" si="6"/>
        <v>2361.6</v>
      </c>
      <c r="G292" s="204">
        <f>F292*$H260</f>
        <v>125.97215554488717</v>
      </c>
      <c r="H292" s="206"/>
    </row>
    <row r="293" spans="2:9">
      <c r="B293" s="83" t="s">
        <v>52</v>
      </c>
      <c r="C293" s="221">
        <f>Model!BF$151</f>
        <v>5000</v>
      </c>
      <c r="D293" s="204">
        <f>C293*$H260</f>
        <v>266.70934016109243</v>
      </c>
      <c r="E293" s="206"/>
      <c r="F293" s="206">
        <f t="shared" si="6"/>
        <v>5000</v>
      </c>
      <c r="G293" s="204">
        <f>F293*$H260</f>
        <v>266.70934016109243</v>
      </c>
      <c r="H293" s="206"/>
    </row>
    <row r="294" spans="2:9">
      <c r="B294" s="83" t="s">
        <v>106</v>
      </c>
      <c r="C294" s="221">
        <f>Model!BF$152</f>
        <v>2833.92</v>
      </c>
      <c r="D294" s="204">
        <f>C294*$H260</f>
        <v>151.16658665386461</v>
      </c>
      <c r="E294" s="206"/>
      <c r="F294" s="206">
        <f t="shared" si="6"/>
        <v>2833.92</v>
      </c>
      <c r="G294" s="204">
        <f>F294*$H260</f>
        <v>151.16658665386461</v>
      </c>
      <c r="H294" s="206"/>
    </row>
    <row r="295" spans="2:9">
      <c r="B295" s="83" t="s">
        <v>48</v>
      </c>
      <c r="C295" s="221">
        <f>Model!BF$147</f>
        <v>2361.6</v>
      </c>
      <c r="D295" s="204">
        <f>C295*$H260</f>
        <v>125.97215554488717</v>
      </c>
      <c r="E295" s="206"/>
      <c r="F295" s="206">
        <f t="shared" si="6"/>
        <v>2361.6</v>
      </c>
      <c r="G295" s="204">
        <f>F295*$H260</f>
        <v>125.97215554488717</v>
      </c>
      <c r="H295" s="206"/>
    </row>
    <row r="296" spans="2:9">
      <c r="B296" s="83" t="s">
        <v>47</v>
      </c>
      <c r="C296" s="221">
        <f>Model!BF$146</f>
        <v>2099.2260000000001</v>
      </c>
      <c r="D296" s="204">
        <f>C296*$H260</f>
        <v>111.97663626180189</v>
      </c>
      <c r="E296" s="206"/>
      <c r="F296" s="206">
        <f t="shared" si="6"/>
        <v>2099.2260000000001</v>
      </c>
      <c r="G296" s="204">
        <f>F296*$H260</f>
        <v>111.97663626180189</v>
      </c>
      <c r="H296" s="206"/>
    </row>
    <row r="297" spans="2:9">
      <c r="B297" s="83"/>
      <c r="C297" s="221"/>
      <c r="D297" s="204"/>
      <c r="E297" s="206"/>
      <c r="F297" s="206"/>
      <c r="G297" s="204"/>
      <c r="H297" s="206"/>
    </row>
    <row r="298" spans="2:9">
      <c r="B298" s="83" t="s">
        <v>58</v>
      </c>
      <c r="C298" s="221">
        <f>Model!BF$157</f>
        <v>-812.04600000000005</v>
      </c>
      <c r="D298" s="204">
        <f>C298*$H260</f>
        <v>-43.316050568090894</v>
      </c>
      <c r="E298" s="206"/>
      <c r="F298" s="206">
        <f>C298</f>
        <v>-812.04600000000005</v>
      </c>
      <c r="G298" s="204">
        <f>F298*$H260</f>
        <v>-43.316050568090894</v>
      </c>
      <c r="H298" s="206"/>
    </row>
    <row r="299" spans="2:9">
      <c r="B299" s="35" t="s">
        <v>12</v>
      </c>
      <c r="C299" s="208">
        <f>SUM(C263:C298)</f>
        <v>192741.06200000001</v>
      </c>
      <c r="D299" s="208">
        <f>SUM(D263:D298)</f>
        <v>10281.168293593639</v>
      </c>
      <c r="E299" s="36">
        <f>+C299/C304</f>
        <v>3.3600240921848581</v>
      </c>
      <c r="F299" s="208">
        <f>SUM(F263:F298)</f>
        <v>192741.06200000001</v>
      </c>
      <c r="G299" s="208">
        <f>SUM(G263:G298)</f>
        <v>10278.608663314742</v>
      </c>
      <c r="H299" s="36">
        <f>+F299/F304</f>
        <v>3.3600240921848581</v>
      </c>
      <c r="I299" s="145"/>
    </row>
    <row r="300" spans="2:9">
      <c r="B300" s="34" t="s">
        <v>13</v>
      </c>
      <c r="C300" s="209">
        <f>Model!BF$165</f>
        <v>7493.7719999999999</v>
      </c>
      <c r="D300" s="204">
        <f>C300*$H260</f>
        <v>399.73179708753401</v>
      </c>
      <c r="E300" s="210"/>
      <c r="F300" s="209">
        <f>C300</f>
        <v>7493.7719999999999</v>
      </c>
      <c r="G300" s="204">
        <f>F300*$H260</f>
        <v>399.73179708753401</v>
      </c>
      <c r="H300" s="210"/>
    </row>
    <row r="301" spans="2:9">
      <c r="B301" s="35" t="s">
        <v>14</v>
      </c>
      <c r="C301" s="208">
        <f>+C299-C300</f>
        <v>185247.29</v>
      </c>
      <c r="D301" s="208"/>
      <c r="E301" s="36">
        <f>+C301/C304</f>
        <v>3.2293863640325648</v>
      </c>
      <c r="F301" s="208">
        <f>F299-F300</f>
        <v>185247.29</v>
      </c>
      <c r="G301" s="208">
        <f>+G299-G300</f>
        <v>9878.8768662272087</v>
      </c>
      <c r="H301" s="36">
        <f>+F301/F304</f>
        <v>3.2293863640325648</v>
      </c>
    </row>
    <row r="302" spans="2:9">
      <c r="B302" s="69" t="s">
        <v>16</v>
      </c>
      <c r="C302" s="211">
        <f>Model!BF$186</f>
        <v>119516.317</v>
      </c>
      <c r="D302" s="204"/>
      <c r="E302" s="212"/>
      <c r="F302" s="211"/>
      <c r="G302" s="204"/>
      <c r="H302" s="212"/>
    </row>
    <row r="303" spans="2:9">
      <c r="B303" s="69" t="s">
        <v>18</v>
      </c>
      <c r="C303" s="211">
        <f>C299+C302</f>
        <v>312257.37900000002</v>
      </c>
      <c r="D303" s="211"/>
      <c r="E303" s="212"/>
      <c r="F303" s="211"/>
      <c r="G303" s="211"/>
      <c r="H303" s="212"/>
    </row>
    <row r="304" spans="2:9">
      <c r="B304" s="181" t="s">
        <v>20</v>
      </c>
      <c r="C304" s="213">
        <f>Model!BF$92</f>
        <v>57363</v>
      </c>
      <c r="D304" s="213"/>
      <c r="E304" s="210"/>
      <c r="F304" s="210">
        <f>C304</f>
        <v>57363</v>
      </c>
      <c r="G304" s="213"/>
      <c r="H304" s="210"/>
    </row>
    <row r="306" spans="2:7">
      <c r="B306" s="101" t="s">
        <v>59</v>
      </c>
      <c r="C306" s="229">
        <f>Model!BF$179-Capitalisation!C299</f>
        <v>0</v>
      </c>
    </row>
    <row r="307" spans="2:7">
      <c r="B307" s="101"/>
      <c r="C307" s="103"/>
    </row>
    <row r="308" spans="2:7">
      <c r="B308" s="35" t="s">
        <v>60</v>
      </c>
      <c r="C308" s="88">
        <f>C301+Model!BF$185</f>
        <v>410666.79000000004</v>
      </c>
    </row>
    <row r="309" spans="2:7">
      <c r="B309" s="35" t="s">
        <v>61</v>
      </c>
      <c r="C309" s="36">
        <f>C308/C304</f>
        <v>7.1590884367972389</v>
      </c>
    </row>
    <row r="311" spans="2:7" ht="13.5" thickBot="1"/>
    <row r="312" spans="2:7">
      <c r="B312" s="78" t="s">
        <v>107</v>
      </c>
      <c r="C312" s="153" t="s">
        <v>4</v>
      </c>
      <c r="D312" s="153" t="s">
        <v>5</v>
      </c>
      <c r="E312" s="104"/>
      <c r="F312" s="104"/>
    </row>
    <row r="313" spans="2:7">
      <c r="B313" s="79" t="s">
        <v>108</v>
      </c>
      <c r="C313" s="276"/>
      <c r="D313" s="202">
        <f>C313*H260</f>
        <v>0</v>
      </c>
      <c r="E313" s="105"/>
      <c r="F313" s="105"/>
    </row>
    <row r="314" spans="2:7">
      <c r="B314" s="79" t="s">
        <v>63</v>
      </c>
      <c r="C314" s="202">
        <f>C300</f>
        <v>7493.7719999999999</v>
      </c>
      <c r="D314" s="202">
        <f>C314*H260</f>
        <v>399.73179708753401</v>
      </c>
      <c r="E314" s="105"/>
      <c r="F314" s="105"/>
    </row>
    <row r="315" spans="2:7" ht="13.5" thickBot="1">
      <c r="B315" s="80" t="s">
        <v>64</v>
      </c>
      <c r="C315" s="203">
        <f>SUM(C313:C314)</f>
        <v>7493.7719999999999</v>
      </c>
      <c r="D315" s="203">
        <f>SUM(D313:D314)</f>
        <v>399.73179708753401</v>
      </c>
      <c r="E315" s="105"/>
      <c r="F315" s="105"/>
    </row>
    <row r="317" spans="2:7">
      <c r="C317" s="30"/>
    </row>
    <row r="318" spans="2:7" ht="13.5" thickBot="1"/>
    <row r="319" spans="2:7" ht="13.5" thickBot="1">
      <c r="B319" s="78" t="s">
        <v>107</v>
      </c>
      <c r="C319" s="189" t="s">
        <v>4</v>
      </c>
      <c r="D319" s="186" t="s">
        <v>5</v>
      </c>
      <c r="E319" s="66"/>
    </row>
    <row r="320" spans="2:7">
      <c r="B320" s="144">
        <v>2025</v>
      </c>
      <c r="C320" s="199">
        <f>Model!BF$114</f>
        <v>3304.7260000000001</v>
      </c>
      <c r="D320" s="200">
        <f>+C320*$H260</f>
        <v>176.28025817464126</v>
      </c>
      <c r="F320" s="271" t="s">
        <v>109</v>
      </c>
      <c r="G320" s="272"/>
    </row>
    <row r="321" spans="1:13">
      <c r="B321" s="144">
        <v>2026</v>
      </c>
      <c r="C321" s="199">
        <v>11635.082</v>
      </c>
      <c r="D321" s="200">
        <f>+C321*$H260</f>
        <v>620.63700858804077</v>
      </c>
      <c r="F321" s="272" t="s">
        <v>70</v>
      </c>
      <c r="G321" s="215">
        <v>0.46</v>
      </c>
      <c r="H321" s="273"/>
    </row>
    <row r="322" spans="1:13">
      <c r="B322" s="144">
        <v>2027</v>
      </c>
      <c r="C322" s="199">
        <v>13302.607</v>
      </c>
      <c r="D322" s="200">
        <f>+C322*$H260</f>
        <v>709.58590707846588</v>
      </c>
      <c r="F322" s="272" t="s">
        <v>71</v>
      </c>
      <c r="G322" s="215">
        <v>0.02</v>
      </c>
      <c r="H322" s="273"/>
    </row>
    <row r="323" spans="1:13">
      <c r="B323" s="144">
        <v>2028</v>
      </c>
      <c r="C323" s="199">
        <v>14954.343999999999</v>
      </c>
      <c r="D323" s="200">
        <f>+C323*$H260</f>
        <v>797.69264415639827</v>
      </c>
      <c r="F323" s="272" t="s">
        <v>72</v>
      </c>
      <c r="G323" s="215">
        <v>0.39</v>
      </c>
      <c r="H323" s="273"/>
    </row>
    <row r="324" spans="1:13">
      <c r="B324" s="144" t="s">
        <v>89</v>
      </c>
      <c r="C324" s="199">
        <f>21015.292+92723.062</f>
        <v>113738.35400000001</v>
      </c>
      <c r="D324" s="200">
        <f>+C324*$H260</f>
        <v>6067.0162692697495</v>
      </c>
      <c r="F324" s="272" t="s">
        <v>73</v>
      </c>
      <c r="G324" s="215">
        <v>0.11</v>
      </c>
      <c r="H324" s="273"/>
    </row>
    <row r="325" spans="1:13" ht="13.5" thickBot="1">
      <c r="B325" s="144" t="s">
        <v>67</v>
      </c>
      <c r="C325" s="246">
        <f>C263</f>
        <v>35805.949000000001</v>
      </c>
      <c r="D325" s="200">
        <f>+C325*$H260</f>
        <v>1909.9562063263454</v>
      </c>
      <c r="F325" s="28" t="s">
        <v>74</v>
      </c>
      <c r="G325" s="215">
        <v>0.02</v>
      </c>
    </row>
    <row r="326" spans="1:13" ht="13.5" thickBot="1">
      <c r="B326" s="185" t="s">
        <v>68</v>
      </c>
      <c r="C326" s="198">
        <f>SUM(C320:C325)</f>
        <v>192741.06200000001</v>
      </c>
      <c r="D326" s="201">
        <f>+C326*$H260</f>
        <v>10281.168293593641</v>
      </c>
      <c r="G326" s="127"/>
    </row>
    <row r="327" spans="1:13">
      <c r="G327" s="127"/>
    </row>
    <row r="334" spans="1:13">
      <c r="A334" s="66" t="s">
        <v>110</v>
      </c>
      <c r="G334" s="66" t="s">
        <v>111</v>
      </c>
      <c r="H334" s="241">
        <f>Model!BE$267</f>
        <v>4.888063349301007E-2</v>
      </c>
      <c r="J334" s="184" t="s">
        <v>8</v>
      </c>
    </row>
    <row r="335" spans="1:13">
      <c r="B335" s="391" t="s">
        <v>112</v>
      </c>
      <c r="C335" s="391"/>
      <c r="D335" s="391"/>
      <c r="E335" s="391"/>
      <c r="F335" s="391"/>
      <c r="G335" s="391"/>
      <c r="H335" s="391"/>
      <c r="I335" s="82"/>
      <c r="J335" s="392" t="s">
        <v>113</v>
      </c>
      <c r="K335" s="392"/>
      <c r="L335" s="392"/>
      <c r="M335" s="175"/>
    </row>
    <row r="336" spans="1:13" ht="25.5">
      <c r="B336" s="26" t="s">
        <v>4</v>
      </c>
      <c r="C336" s="106" t="s">
        <v>4</v>
      </c>
      <c r="D336" s="106" t="s">
        <v>5</v>
      </c>
      <c r="E336" s="166" t="s">
        <v>94</v>
      </c>
      <c r="F336" s="106" t="s">
        <v>4</v>
      </c>
      <c r="G336" s="106" t="s">
        <v>5</v>
      </c>
      <c r="H336" s="166" t="s">
        <v>95</v>
      </c>
      <c r="I336" s="27"/>
      <c r="J336" s="26"/>
      <c r="K336" s="106" t="s">
        <v>4</v>
      </c>
      <c r="L336" s="106" t="s">
        <v>5</v>
      </c>
      <c r="M336" s="106" t="s">
        <v>85</v>
      </c>
    </row>
    <row r="337" spans="2:13">
      <c r="B337" s="83" t="s">
        <v>10</v>
      </c>
      <c r="C337" s="221">
        <f>Model!BE$176</f>
        <v>36473.351999999999</v>
      </c>
      <c r="D337" s="204">
        <f>C337*$H334</f>
        <v>1782.8405513735458</v>
      </c>
      <c r="E337" s="205"/>
      <c r="F337" s="206">
        <f>C337</f>
        <v>36473.351999999999</v>
      </c>
      <c r="G337" s="204">
        <f>F337*$H334</f>
        <v>1782.8405513735458</v>
      </c>
      <c r="H337" s="205"/>
      <c r="I337" s="27"/>
      <c r="J337" s="26"/>
      <c r="K337" s="106"/>
      <c r="L337" s="106"/>
      <c r="M337" s="106"/>
    </row>
    <row r="338" spans="2:13">
      <c r="B338" s="100" t="s">
        <v>11</v>
      </c>
      <c r="C338" s="221"/>
      <c r="D338" s="204"/>
      <c r="E338" s="206"/>
      <c r="F338" s="206"/>
      <c r="G338" s="174"/>
      <c r="H338" s="206"/>
      <c r="J338" s="178" t="s">
        <v>12</v>
      </c>
      <c r="K338" s="217">
        <f>Model!BE$115+Model!BE$114</f>
        <v>161238.41900000002</v>
      </c>
      <c r="L338" s="217">
        <f>K338*$H334</f>
        <v>7881.4360641313924</v>
      </c>
      <c r="M338" s="180">
        <f>+K338/K343</f>
        <v>2.8578744571864094</v>
      </c>
    </row>
    <row r="339" spans="2:13">
      <c r="B339" s="83"/>
      <c r="C339" s="221"/>
      <c r="D339" s="204"/>
      <c r="E339" s="206"/>
      <c r="F339" s="206"/>
      <c r="G339" s="204"/>
      <c r="H339" s="206"/>
      <c r="J339" s="181" t="s">
        <v>13</v>
      </c>
      <c r="K339" s="218">
        <f>C374</f>
        <v>17778.945</v>
      </c>
      <c r="L339" s="217">
        <f>K339*$H334</f>
        <v>869.04609443738389</v>
      </c>
      <c r="M339" s="175"/>
    </row>
    <row r="340" spans="2:13">
      <c r="B340" s="83"/>
      <c r="C340" s="221"/>
      <c r="D340" s="204"/>
      <c r="E340" s="206"/>
      <c r="F340" s="206"/>
      <c r="G340" s="204"/>
      <c r="H340" s="206"/>
      <c r="J340" s="178" t="s">
        <v>14</v>
      </c>
      <c r="K340" s="217">
        <f>+K338-K339</f>
        <v>143459.47400000002</v>
      </c>
      <c r="L340" s="217">
        <f>K340*$H334</f>
        <v>7012.389969694008</v>
      </c>
      <c r="M340" s="180">
        <f>+K340/K343</f>
        <v>2.5427510944894451</v>
      </c>
    </row>
    <row r="341" spans="2:13">
      <c r="B341" s="83" t="s">
        <v>17</v>
      </c>
      <c r="C341" s="221">
        <f>Model!BE$120</f>
        <v>0</v>
      </c>
      <c r="D341" s="204">
        <f>C341*$H334</f>
        <v>0</v>
      </c>
      <c r="E341" s="206"/>
      <c r="F341" s="206">
        <f>C341</f>
        <v>0</v>
      </c>
      <c r="G341" s="204">
        <f>F341*$H334</f>
        <v>0</v>
      </c>
      <c r="H341" s="206"/>
      <c r="J341" s="183" t="s">
        <v>16</v>
      </c>
      <c r="K341" s="219">
        <f>C376</f>
        <v>129279.026</v>
      </c>
      <c r="L341" s="275">
        <f>K341*$H334</f>
        <v>6319.2406882393198</v>
      </c>
      <c r="M341" s="175"/>
    </row>
    <row r="342" spans="2:13">
      <c r="B342" s="83" t="s">
        <v>15</v>
      </c>
      <c r="C342" s="221">
        <f>Model!BE$119</f>
        <v>10108.305</v>
      </c>
      <c r="D342" s="204">
        <f>C342*$H334</f>
        <v>494.10035194056115</v>
      </c>
      <c r="E342" s="206"/>
      <c r="F342" s="206">
        <f t="shared" ref="F342:F345" si="7">C342</f>
        <v>10108.305</v>
      </c>
      <c r="G342" s="204">
        <f>F342*$H334</f>
        <v>494.10035194056115</v>
      </c>
      <c r="H342" s="206"/>
      <c r="J342" s="183" t="s">
        <v>18</v>
      </c>
      <c r="K342" s="219">
        <f>K338+K341</f>
        <v>290517.44500000001</v>
      </c>
      <c r="L342" s="219"/>
      <c r="M342" s="175"/>
    </row>
    <row r="343" spans="2:13">
      <c r="B343" s="83" t="s">
        <v>96</v>
      </c>
      <c r="C343" s="221">
        <f>Model!BE$132</f>
        <v>13206.83</v>
      </c>
      <c r="D343" s="204">
        <f>C343*$H334</f>
        <v>645.55821683449017</v>
      </c>
      <c r="E343" s="206"/>
      <c r="F343" s="206">
        <f t="shared" si="7"/>
        <v>13206.83</v>
      </c>
      <c r="G343" s="204">
        <f>F343*$H334</f>
        <v>645.55821683449017</v>
      </c>
      <c r="H343" s="206"/>
      <c r="J343" s="181" t="s">
        <v>20</v>
      </c>
      <c r="K343" s="220">
        <f>C378</f>
        <v>56419</v>
      </c>
      <c r="L343" s="220"/>
      <c r="M343" s="175"/>
    </row>
    <row r="344" spans="2:13">
      <c r="B344" s="83" t="s">
        <v>34</v>
      </c>
      <c r="C344" s="221">
        <f>Model!BE$133</f>
        <v>11378.496999999999</v>
      </c>
      <c r="D344" s="204">
        <f>C344*$H334</f>
        <v>556.18814155831456</v>
      </c>
      <c r="E344" s="206"/>
      <c r="F344" s="206">
        <f t="shared" si="7"/>
        <v>11378.496999999999</v>
      </c>
      <c r="G344" s="204">
        <f>F344*$H334</f>
        <v>556.18814155831456</v>
      </c>
      <c r="H344" s="206"/>
      <c r="J344" s="181"/>
      <c r="K344" s="220"/>
      <c r="L344" s="220"/>
      <c r="M344" s="175"/>
    </row>
    <row r="345" spans="2:13">
      <c r="B345" s="83" t="s">
        <v>57</v>
      </c>
      <c r="C345" s="221">
        <f>Model!BE$156</f>
        <v>11891.572</v>
      </c>
      <c r="D345" s="204">
        <f>C345*$H334</f>
        <v>581.2675725877408</v>
      </c>
      <c r="E345" s="206"/>
      <c r="F345" s="206">
        <f t="shared" si="7"/>
        <v>11891.572</v>
      </c>
      <c r="G345" s="204">
        <f>F345*$H334</f>
        <v>581.2675725877408</v>
      </c>
      <c r="H345" s="206"/>
      <c r="J345" s="181"/>
      <c r="K345" s="220"/>
      <c r="L345" s="220"/>
      <c r="M345" s="175"/>
    </row>
    <row r="346" spans="2:13">
      <c r="B346" s="100" t="s">
        <v>97</v>
      </c>
      <c r="C346" s="221"/>
      <c r="D346" s="204"/>
      <c r="E346" s="206"/>
      <c r="F346" s="206"/>
      <c r="G346" s="204"/>
      <c r="H346" s="206"/>
    </row>
    <row r="347" spans="2:13">
      <c r="B347" s="100" t="s">
        <v>23</v>
      </c>
      <c r="C347" s="221">
        <f>Model!BE$124</f>
        <v>0</v>
      </c>
      <c r="D347" s="204">
        <f>C347*H334</f>
        <v>0</v>
      </c>
      <c r="E347" s="206"/>
      <c r="F347" s="206">
        <f>C347</f>
        <v>0</v>
      </c>
      <c r="G347" s="204">
        <f>F347*H334</f>
        <v>0</v>
      </c>
      <c r="H347" s="206"/>
    </row>
    <row r="348" spans="2:13">
      <c r="B348" s="83" t="s">
        <v>26</v>
      </c>
      <c r="C348" s="221">
        <f>Model!BE$125</f>
        <v>7706.3389999999999</v>
      </c>
      <c r="D348" s="204">
        <f>C348*$H334</f>
        <v>376.69073223188974</v>
      </c>
      <c r="E348" s="206"/>
      <c r="F348" s="206">
        <f>C348</f>
        <v>7706.3389999999999</v>
      </c>
      <c r="G348" s="204">
        <f>F348*$H334</f>
        <v>376.69073223188974</v>
      </c>
      <c r="H348" s="206"/>
      <c r="I348" s="102"/>
    </row>
    <row r="349" spans="2:13">
      <c r="B349" s="83" t="s">
        <v>27</v>
      </c>
      <c r="C349" s="221">
        <f>Model!BE$126</f>
        <v>3000</v>
      </c>
      <c r="D349" s="204">
        <f>C349*$H334</f>
        <v>146.6419004790302</v>
      </c>
      <c r="E349" s="206"/>
      <c r="F349" s="206">
        <f>C349</f>
        <v>3000</v>
      </c>
      <c r="G349" s="204">
        <f>F349*$H334</f>
        <v>146.6419004790302</v>
      </c>
      <c r="H349" s="206"/>
      <c r="I349" s="102"/>
    </row>
    <row r="350" spans="2:13">
      <c r="B350" s="83" t="s">
        <v>30</v>
      </c>
      <c r="C350" s="221">
        <f>Model!BE$129</f>
        <v>9633.1020000000008</v>
      </c>
      <c r="D350" s="204">
        <f>C350*$H334</f>
        <v>470.87212826278233</v>
      </c>
      <c r="E350" s="206"/>
      <c r="F350" s="206">
        <f>C350</f>
        <v>9633.1020000000008</v>
      </c>
      <c r="G350" s="204">
        <f>F350*$H334</f>
        <v>470.87212826278233</v>
      </c>
      <c r="H350" s="206"/>
    </row>
    <row r="351" spans="2:13">
      <c r="B351" s="83" t="s">
        <v>32</v>
      </c>
      <c r="C351" s="221">
        <f>Model!BE$131</f>
        <v>12000</v>
      </c>
      <c r="D351" s="204">
        <f>C351*$H334</f>
        <v>586.56760191612079</v>
      </c>
      <c r="E351" s="206"/>
      <c r="F351" s="206">
        <f>C351</f>
        <v>12000</v>
      </c>
      <c r="G351" s="204">
        <f>F351*$H334</f>
        <v>586.56760191612079</v>
      </c>
      <c r="H351" s="206"/>
    </row>
    <row r="352" spans="2:13">
      <c r="B352" s="100" t="s">
        <v>98</v>
      </c>
      <c r="C352" s="221"/>
      <c r="D352" s="204"/>
      <c r="E352" s="206"/>
      <c r="F352" s="206"/>
      <c r="G352" s="204"/>
      <c r="H352" s="206"/>
    </row>
    <row r="353" spans="2:8">
      <c r="B353" s="83" t="s">
        <v>99</v>
      </c>
      <c r="C353" s="221">
        <v>0</v>
      </c>
      <c r="D353" s="204">
        <f>C353*$H334</f>
        <v>0</v>
      </c>
      <c r="E353" s="206"/>
      <c r="F353" s="206">
        <f t="shared" ref="F353:F363" si="8">C353</f>
        <v>0</v>
      </c>
      <c r="G353" s="204">
        <f>F353*$H334</f>
        <v>0</v>
      </c>
      <c r="H353" s="206"/>
    </row>
    <row r="354" spans="2:8">
      <c r="B354" s="83" t="s">
        <v>100</v>
      </c>
      <c r="C354" s="221">
        <v>0</v>
      </c>
      <c r="D354" s="204">
        <f>C354*$H334</f>
        <v>0</v>
      </c>
      <c r="E354" s="206"/>
      <c r="F354" s="206">
        <f t="shared" si="8"/>
        <v>0</v>
      </c>
      <c r="G354" s="204">
        <f>F354*$H334</f>
        <v>0</v>
      </c>
      <c r="H354" s="206"/>
    </row>
    <row r="355" spans="2:8">
      <c r="B355" s="83" t="s">
        <v>101</v>
      </c>
      <c r="C355" s="221">
        <v>0</v>
      </c>
      <c r="D355" s="204">
        <f>C355*$H334</f>
        <v>0</v>
      </c>
      <c r="E355" s="206"/>
      <c r="F355" s="206">
        <f t="shared" si="8"/>
        <v>0</v>
      </c>
      <c r="G355" s="204">
        <f>F355*$H334</f>
        <v>0</v>
      </c>
      <c r="H355" s="206"/>
    </row>
    <row r="356" spans="2:8">
      <c r="B356" s="83" t="s">
        <v>102</v>
      </c>
      <c r="C356" s="221">
        <v>0</v>
      </c>
      <c r="D356" s="204">
        <f>C356*$H334</f>
        <v>0</v>
      </c>
      <c r="E356" s="206"/>
      <c r="F356" s="206">
        <f t="shared" si="8"/>
        <v>0</v>
      </c>
      <c r="G356" s="204">
        <f>F356*$H334</f>
        <v>0</v>
      </c>
      <c r="H356" s="206"/>
    </row>
    <row r="357" spans="2:8">
      <c r="B357" s="83" t="s">
        <v>103</v>
      </c>
      <c r="C357" s="221">
        <f>Model!BE$141</f>
        <v>16254.56</v>
      </c>
      <c r="D357" s="204">
        <f>C357*$H334</f>
        <v>794.53318995014172</v>
      </c>
      <c r="E357" s="206"/>
      <c r="F357" s="206">
        <f t="shared" si="8"/>
        <v>16254.56</v>
      </c>
      <c r="G357" s="204">
        <f>F357*$H334</f>
        <v>794.53318995014172</v>
      </c>
      <c r="H357" s="206"/>
    </row>
    <row r="358" spans="2:8">
      <c r="B358" s="83" t="s">
        <v>104</v>
      </c>
      <c r="C358" s="221">
        <f>Model!BE$144</f>
        <v>2031.82</v>
      </c>
      <c r="D358" s="204">
        <f>C358*$H334</f>
        <v>99.316648743767715</v>
      </c>
      <c r="E358" s="206"/>
      <c r="F358" s="206">
        <f t="shared" si="8"/>
        <v>2031.82</v>
      </c>
      <c r="G358" s="204">
        <f>F358*$H334</f>
        <v>99.316648743767715</v>
      </c>
      <c r="H358" s="206"/>
    </row>
    <row r="359" spans="2:8">
      <c r="B359" s="83" t="s">
        <v>105</v>
      </c>
      <c r="C359" s="221">
        <f>Model!BE$155</f>
        <v>4731.4219999999996</v>
      </c>
      <c r="D359" s="204">
        <f>C359*$H334</f>
        <v>231.27490468276466</v>
      </c>
      <c r="E359" s="206"/>
      <c r="F359" s="206">
        <f t="shared" si="8"/>
        <v>4731.4219999999996</v>
      </c>
      <c r="G359" s="204">
        <f>F359*$H334</f>
        <v>231.27490468276466</v>
      </c>
      <c r="H359" s="206"/>
    </row>
    <row r="360" spans="2:8">
      <c r="B360" s="279" t="s">
        <v>29</v>
      </c>
      <c r="C360" s="221">
        <f>Model!BE$128</f>
        <v>2238</v>
      </c>
      <c r="D360" s="204">
        <f>C360*$H334</f>
        <v>109.39485775735653</v>
      </c>
      <c r="E360" s="206"/>
      <c r="F360" s="206">
        <f t="shared" si="8"/>
        <v>2238</v>
      </c>
      <c r="G360" s="204">
        <f>F360*$H334</f>
        <v>109.39485775735653</v>
      </c>
      <c r="H360" s="206"/>
    </row>
    <row r="361" spans="2:8">
      <c r="B361" s="83" t="s">
        <v>31</v>
      </c>
      <c r="C361" s="221">
        <f>Model!BE$130</f>
        <v>12762</v>
      </c>
      <c r="D361" s="204">
        <f>C361*$H334</f>
        <v>623.81464463779446</v>
      </c>
      <c r="E361" s="206"/>
      <c r="F361" s="206">
        <f t="shared" si="8"/>
        <v>12762</v>
      </c>
      <c r="G361" s="204">
        <f>F361*$H334</f>
        <v>623.81464463779446</v>
      </c>
      <c r="H361" s="206"/>
    </row>
    <row r="362" spans="2:8">
      <c r="B362" s="83" t="s">
        <v>39</v>
      </c>
      <c r="C362" s="221">
        <f>Model!BE$138</f>
        <v>18286.38</v>
      </c>
      <c r="D362" s="204">
        <f>C362*$H334</f>
        <v>893.84983869390953</v>
      </c>
      <c r="E362" s="206"/>
      <c r="F362" s="206">
        <f t="shared" si="8"/>
        <v>18286.38</v>
      </c>
      <c r="G362" s="204">
        <f>F362*$H334</f>
        <v>893.84983869390953</v>
      </c>
      <c r="H362" s="206"/>
    </row>
    <row r="363" spans="2:8">
      <c r="B363" s="83" t="s">
        <v>40</v>
      </c>
      <c r="C363" s="221">
        <f>Model!BE$139</f>
        <v>11175.01</v>
      </c>
      <c r="D363" s="204">
        <f>C363*$H334</f>
        <v>546.24156809072247</v>
      </c>
      <c r="E363" s="206"/>
      <c r="F363" s="206">
        <f t="shared" si="8"/>
        <v>11175.01</v>
      </c>
      <c r="G363" s="204">
        <f>F363*$H334</f>
        <v>546.24156809072247</v>
      </c>
      <c r="H363" s="206"/>
    </row>
    <row r="364" spans="2:8">
      <c r="B364" s="83"/>
      <c r="C364" s="221"/>
      <c r="D364" s="204"/>
      <c r="E364" s="206"/>
      <c r="F364" s="206"/>
      <c r="G364" s="204"/>
      <c r="H364" s="206"/>
    </row>
    <row r="365" spans="2:8">
      <c r="B365" s="83" t="s">
        <v>44</v>
      </c>
      <c r="C365" s="221">
        <f>Model!BE$143</f>
        <v>0</v>
      </c>
      <c r="D365" s="204">
        <f>C365*$H334</f>
        <v>0</v>
      </c>
      <c r="E365" s="206"/>
      <c r="F365" s="206">
        <f t="shared" ref="F365:F370" si="9">C365</f>
        <v>0</v>
      </c>
      <c r="G365" s="204">
        <f>F365*$H$408</f>
        <v>0</v>
      </c>
      <c r="H365" s="206"/>
    </row>
    <row r="366" spans="2:8">
      <c r="B366" s="83" t="s">
        <v>87</v>
      </c>
      <c r="C366" s="221">
        <f>Model!BE$145</f>
        <v>2539.7750000000001</v>
      </c>
      <c r="D366" s="204">
        <f>C366*$H334</f>
        <v>124.14581092970965</v>
      </c>
      <c r="E366" s="206"/>
      <c r="F366" s="206">
        <f t="shared" si="9"/>
        <v>2539.7750000000001</v>
      </c>
      <c r="G366" s="204">
        <f>F366*$H334</f>
        <v>124.14581092970965</v>
      </c>
      <c r="H366" s="206"/>
    </row>
    <row r="367" spans="2:8">
      <c r="B367" s="83" t="s">
        <v>52</v>
      </c>
      <c r="C367" s="221">
        <f>Model!BE$151</f>
        <v>5000</v>
      </c>
      <c r="D367" s="204">
        <f>C367*$H334</f>
        <v>244.40316746505036</v>
      </c>
      <c r="E367" s="206"/>
      <c r="F367" s="206">
        <f t="shared" si="9"/>
        <v>5000</v>
      </c>
      <c r="G367" s="204">
        <f>F367*$H334</f>
        <v>244.40316746505036</v>
      </c>
      <c r="H367" s="206"/>
    </row>
    <row r="368" spans="2:8">
      <c r="B368" s="83" t="s">
        <v>106</v>
      </c>
      <c r="C368" s="221">
        <f>Model!BE$152</f>
        <v>3047.73</v>
      </c>
      <c r="D368" s="204">
        <f>C368*$H334</f>
        <v>148.97497311565158</v>
      </c>
      <c r="E368" s="206"/>
      <c r="F368" s="206">
        <f t="shared" si="9"/>
        <v>3047.73</v>
      </c>
      <c r="G368" s="204">
        <f>F368*$H334</f>
        <v>148.97497311565158</v>
      </c>
      <c r="H368" s="206"/>
    </row>
    <row r="369" spans="2:9">
      <c r="B369" s="83" t="s">
        <v>48</v>
      </c>
      <c r="C369" s="221">
        <f>Model!BE$147</f>
        <v>2539.7750000000001</v>
      </c>
      <c r="D369" s="204">
        <f>C369*$H334</f>
        <v>124.14581092970965</v>
      </c>
      <c r="E369" s="206"/>
      <c r="F369" s="206">
        <f t="shared" si="9"/>
        <v>2539.7750000000001</v>
      </c>
      <c r="G369" s="204">
        <f>F369*$H334</f>
        <v>124.14581092970965</v>
      </c>
      <c r="H369" s="206"/>
    </row>
    <row r="370" spans="2:9">
      <c r="B370" s="83" t="s">
        <v>47</v>
      </c>
      <c r="C370" s="221">
        <f>Model!BE$146</f>
        <v>2539.7750000000001</v>
      </c>
      <c r="D370" s="204">
        <f>C370*$H334</f>
        <v>124.14581092970965</v>
      </c>
      <c r="E370" s="206"/>
      <c r="F370" s="206">
        <f t="shared" si="9"/>
        <v>2539.7750000000001</v>
      </c>
      <c r="G370" s="204">
        <f>F370*$H334</f>
        <v>124.14581092970965</v>
      </c>
      <c r="H370" s="206"/>
    </row>
    <row r="371" spans="2:9">
      <c r="B371" s="83"/>
      <c r="C371" s="221"/>
      <c r="D371" s="204"/>
      <c r="E371" s="206"/>
      <c r="F371" s="206"/>
      <c r="G371" s="204"/>
      <c r="H371" s="206"/>
    </row>
    <row r="372" spans="2:9">
      <c r="B372" s="83" t="s">
        <v>58</v>
      </c>
      <c r="C372" s="221">
        <f>Model!BE$157</f>
        <v>-832.47299999999996</v>
      </c>
      <c r="D372" s="204">
        <f>C372*$H334</f>
        <v>-40.691807605826568</v>
      </c>
      <c r="E372" s="206"/>
      <c r="F372" s="206">
        <f>C372</f>
        <v>-832.47299999999996</v>
      </c>
      <c r="G372" s="204">
        <f>F372*$H334</f>
        <v>-40.691807605826568</v>
      </c>
      <c r="H372" s="206"/>
    </row>
    <row r="373" spans="2:9">
      <c r="B373" s="35" t="s">
        <v>12</v>
      </c>
      <c r="C373" s="208">
        <f>SUM(C337:C372)</f>
        <v>197711.77100000001</v>
      </c>
      <c r="D373" s="208">
        <f>SUM(D337:D372)</f>
        <v>9664.2766155049339</v>
      </c>
      <c r="E373" s="36">
        <f>+C373/C378</f>
        <v>3.5043473120757191</v>
      </c>
      <c r="F373" s="208">
        <f>SUM(F337:F372)</f>
        <v>197711.77100000001</v>
      </c>
      <c r="G373" s="208">
        <f>SUM(G337:G372)</f>
        <v>9664.2766155049339</v>
      </c>
      <c r="H373" s="36">
        <f>+F373/F378</f>
        <v>3.5043473120757191</v>
      </c>
      <c r="I373" s="145"/>
    </row>
    <row r="374" spans="2:9">
      <c r="B374" s="34" t="s">
        <v>13</v>
      </c>
      <c r="C374" s="209">
        <f>Model!BE$165</f>
        <v>17778.945</v>
      </c>
      <c r="D374" s="204">
        <f>C374*$H334</f>
        <v>869.04609443738389</v>
      </c>
      <c r="E374" s="210"/>
      <c r="F374" s="209">
        <f>C374</f>
        <v>17778.945</v>
      </c>
      <c r="G374" s="204">
        <f>F374*$H334</f>
        <v>869.04609443738389</v>
      </c>
      <c r="H374" s="210"/>
    </row>
    <row r="375" spans="2:9">
      <c r="B375" s="35" t="s">
        <v>14</v>
      </c>
      <c r="C375" s="208">
        <f>+C373-C374</f>
        <v>179932.826</v>
      </c>
      <c r="D375" s="208"/>
      <c r="E375" s="36">
        <f>+C375/C378</f>
        <v>3.1892239493787553</v>
      </c>
      <c r="F375" s="208">
        <f>F373-F374</f>
        <v>179932.826</v>
      </c>
      <c r="G375" s="208">
        <f>+G373-G374</f>
        <v>8795.2305210675495</v>
      </c>
      <c r="H375" s="36">
        <f>+F375/F378</f>
        <v>3.1892239493787553</v>
      </c>
    </row>
    <row r="376" spans="2:9">
      <c r="B376" s="69" t="s">
        <v>16</v>
      </c>
      <c r="C376" s="211">
        <f>Model!BE$186</f>
        <v>129279.026</v>
      </c>
      <c r="D376" s="204"/>
      <c r="E376" s="212"/>
      <c r="F376" s="211"/>
      <c r="G376" s="204"/>
      <c r="H376" s="212"/>
    </row>
    <row r="377" spans="2:9">
      <c r="B377" s="69" t="s">
        <v>18</v>
      </c>
      <c r="C377" s="211">
        <f>C373+C376</f>
        <v>326990.79700000002</v>
      </c>
      <c r="D377" s="211"/>
      <c r="E377" s="212"/>
      <c r="F377" s="211"/>
      <c r="G377" s="211"/>
      <c r="H377" s="212"/>
    </row>
    <row r="378" spans="2:9">
      <c r="B378" s="181" t="s">
        <v>20</v>
      </c>
      <c r="C378" s="213">
        <f>Model!BE$92</f>
        <v>56419</v>
      </c>
      <c r="D378" s="213"/>
      <c r="E378" s="210"/>
      <c r="F378" s="210">
        <f>C378</f>
        <v>56419</v>
      </c>
      <c r="G378" s="213"/>
      <c r="H378" s="210"/>
    </row>
    <row r="380" spans="2:9">
      <c r="B380" s="101" t="s">
        <v>59</v>
      </c>
      <c r="C380" s="229">
        <f>Model!BE$179-Capitalisation!C373</f>
        <v>0</v>
      </c>
    </row>
    <row r="381" spans="2:9">
      <c r="B381" s="101"/>
      <c r="C381" s="103"/>
    </row>
    <row r="382" spans="2:9">
      <c r="B382" s="35" t="s">
        <v>60</v>
      </c>
      <c r="C382" s="88">
        <f>C375+Model!BE$185</f>
        <v>440090.72600000002</v>
      </c>
    </row>
    <row r="383" spans="2:9">
      <c r="B383" s="35" t="s">
        <v>61</v>
      </c>
      <c r="C383" s="36">
        <f>C382/C378</f>
        <v>7.8003992626597425</v>
      </c>
    </row>
    <row r="385" spans="2:8" ht="13.5" thickBot="1"/>
    <row r="386" spans="2:8">
      <c r="B386" s="78" t="s">
        <v>114</v>
      </c>
      <c r="C386" s="153" t="s">
        <v>4</v>
      </c>
      <c r="D386" s="153" t="s">
        <v>5</v>
      </c>
      <c r="E386" s="104"/>
      <c r="F386" s="104"/>
    </row>
    <row r="387" spans="2:8">
      <c r="B387" s="79" t="s">
        <v>108</v>
      </c>
      <c r="C387" s="276"/>
      <c r="D387" s="202">
        <f>C387*H334</f>
        <v>0</v>
      </c>
      <c r="E387" s="105"/>
      <c r="F387" s="105"/>
    </row>
    <row r="388" spans="2:8">
      <c r="B388" s="79" t="s">
        <v>63</v>
      </c>
      <c r="C388" s="202">
        <f>C374</f>
        <v>17778.945</v>
      </c>
      <c r="D388" s="202">
        <f>C388*H334</f>
        <v>869.04609443738389</v>
      </c>
      <c r="E388" s="105"/>
      <c r="F388" s="105"/>
    </row>
    <row r="389" spans="2:8" ht="13.5" thickBot="1">
      <c r="B389" s="80" t="s">
        <v>64</v>
      </c>
      <c r="C389" s="203">
        <f>SUM(C387:C388)</f>
        <v>17778.945</v>
      </c>
      <c r="D389" s="203">
        <f>SUM(D387:D388)</f>
        <v>869.04609443738389</v>
      </c>
      <c r="E389" s="105"/>
      <c r="F389" s="105"/>
    </row>
    <row r="391" spans="2:8">
      <c r="C391" s="30"/>
    </row>
    <row r="392" spans="2:8" ht="13.5" thickBot="1"/>
    <row r="393" spans="2:8" ht="13.5" thickBot="1">
      <c r="B393" s="78" t="s">
        <v>114</v>
      </c>
      <c r="C393" s="189" t="s">
        <v>4</v>
      </c>
      <c r="D393" s="186" t="s">
        <v>5</v>
      </c>
      <c r="E393" s="66"/>
    </row>
    <row r="394" spans="2:8">
      <c r="B394" s="144">
        <v>2025</v>
      </c>
      <c r="C394" s="199">
        <f>Model!BE$114</f>
        <v>3280.5889999999999</v>
      </c>
      <c r="D394" s="200">
        <f>+C394*$H334</f>
        <v>160.35726855020042</v>
      </c>
      <c r="F394" s="271" t="s">
        <v>115</v>
      </c>
      <c r="G394" s="272"/>
    </row>
    <row r="395" spans="2:8">
      <c r="B395" s="144">
        <v>2026</v>
      </c>
      <c r="C395" s="199">
        <v>12073.108</v>
      </c>
      <c r="D395" s="200">
        <f>+C395*$H334</f>
        <v>590.14116726952784</v>
      </c>
      <c r="F395" s="272" t="s">
        <v>70</v>
      </c>
      <c r="G395" s="215">
        <v>0.49</v>
      </c>
      <c r="H395" s="273"/>
    </row>
    <row r="396" spans="2:8">
      <c r="B396" s="144">
        <v>2027</v>
      </c>
      <c r="C396" s="199">
        <v>13492.493</v>
      </c>
      <c r="D396" s="200">
        <f>+C396*$H334</f>
        <v>659.52160524000396</v>
      </c>
      <c r="F396" s="272" t="s">
        <v>71</v>
      </c>
      <c r="G396" s="215">
        <v>0.02</v>
      </c>
      <c r="H396" s="273"/>
    </row>
    <row r="397" spans="2:8">
      <c r="B397" s="144">
        <v>2028</v>
      </c>
      <c r="C397" s="199">
        <v>11915.803</v>
      </c>
      <c r="D397" s="200">
        <f>+C397*$H334</f>
        <v>582.45199921790982</v>
      </c>
      <c r="F397" s="272" t="s">
        <v>72</v>
      </c>
      <c r="G397" s="215">
        <v>0.41</v>
      </c>
      <c r="H397" s="273"/>
    </row>
    <row r="398" spans="2:8">
      <c r="B398" s="144" t="s">
        <v>89</v>
      </c>
      <c r="C398" s="199">
        <f>22590.316+97886.11</f>
        <v>120476.42600000001</v>
      </c>
      <c r="D398" s="200">
        <f>+C398*$H334</f>
        <v>5888.9640238537495</v>
      </c>
      <c r="F398" s="272" t="s">
        <v>73</v>
      </c>
      <c r="G398" s="215">
        <v>0.06</v>
      </c>
      <c r="H398" s="273"/>
    </row>
    <row r="399" spans="2:8" ht="13.5" thickBot="1">
      <c r="B399" s="144" t="s">
        <v>67</v>
      </c>
      <c r="C399" s="246">
        <f>C337</f>
        <v>36473.351999999999</v>
      </c>
      <c r="D399" s="200">
        <f>+C399*$H334</f>
        <v>1782.8405513735458</v>
      </c>
      <c r="F399" s="28" t="s">
        <v>74</v>
      </c>
      <c r="G399" s="215">
        <v>0.02</v>
      </c>
    </row>
    <row r="400" spans="2:8" ht="13.5" thickBot="1">
      <c r="B400" s="185" t="s">
        <v>68</v>
      </c>
      <c r="C400" s="198">
        <f>SUM(C394:C399)</f>
        <v>197711.77100000001</v>
      </c>
      <c r="D400" s="201">
        <f>+C400*$H334</f>
        <v>9664.2766155049376</v>
      </c>
      <c r="G400" s="127"/>
    </row>
    <row r="401" spans="2:13">
      <c r="G401" s="127"/>
    </row>
    <row r="408" spans="2:13">
      <c r="G408" s="66" t="s">
        <v>116</v>
      </c>
      <c r="H408" s="241">
        <f>Model!BD$267</f>
        <v>4.8031431768949598E-2</v>
      </c>
      <c r="J408" s="184" t="s">
        <v>8</v>
      </c>
    </row>
    <row r="409" spans="2:13">
      <c r="B409" s="391" t="s">
        <v>117</v>
      </c>
      <c r="C409" s="391"/>
      <c r="D409" s="391"/>
      <c r="E409" s="391"/>
      <c r="F409" s="391"/>
      <c r="G409" s="391"/>
      <c r="H409" s="391"/>
      <c r="I409" s="82"/>
      <c r="J409" s="392" t="s">
        <v>118</v>
      </c>
      <c r="K409" s="392"/>
      <c r="L409" s="392"/>
      <c r="M409" s="175"/>
    </row>
    <row r="410" spans="2:13" ht="25.5">
      <c r="B410" s="26" t="s">
        <v>4</v>
      </c>
      <c r="C410" s="106" t="s">
        <v>4</v>
      </c>
      <c r="D410" s="106" t="s">
        <v>5</v>
      </c>
      <c r="E410" s="166" t="s">
        <v>94</v>
      </c>
      <c r="F410" s="106" t="s">
        <v>4</v>
      </c>
      <c r="G410" s="106" t="s">
        <v>5</v>
      </c>
      <c r="H410" s="166" t="s">
        <v>95</v>
      </c>
      <c r="I410" s="27"/>
      <c r="J410" s="26"/>
      <c r="K410" s="106" t="s">
        <v>4</v>
      </c>
      <c r="L410" s="106" t="s">
        <v>5</v>
      </c>
      <c r="M410" s="106" t="s">
        <v>85</v>
      </c>
    </row>
    <row r="411" spans="2:13">
      <c r="B411" s="83" t="s">
        <v>10</v>
      </c>
      <c r="C411" s="221">
        <f>Model!BD$176</f>
        <v>35800.572</v>
      </c>
      <c r="D411" s="204">
        <f>C411*$H408</f>
        <v>1719.5527313073674</v>
      </c>
      <c r="E411" s="205"/>
      <c r="F411" s="206">
        <f>C411</f>
        <v>35800.572</v>
      </c>
      <c r="G411" s="204">
        <f>F411*$H408</f>
        <v>1719.5527313073674</v>
      </c>
      <c r="H411" s="205"/>
      <c r="I411" s="27"/>
      <c r="J411" s="26"/>
      <c r="K411" s="106"/>
      <c r="L411" s="106"/>
      <c r="M411" s="106"/>
    </row>
    <row r="412" spans="2:13">
      <c r="B412" s="100" t="s">
        <v>11</v>
      </c>
      <c r="C412" s="221"/>
      <c r="D412" s="204"/>
      <c r="E412" s="206"/>
      <c r="F412" s="206"/>
      <c r="G412" s="174"/>
      <c r="H412" s="206"/>
      <c r="J412" s="178" t="s">
        <v>12</v>
      </c>
      <c r="K412" s="217">
        <f>Model!BD$115+Model!BD$114</f>
        <v>150905.55200000003</v>
      </c>
      <c r="L412" s="217">
        <f>K412*$H408</f>
        <v>7248.2097244436764</v>
      </c>
      <c r="M412" s="180">
        <f>+K412/K417</f>
        <v>2.7202933266034544</v>
      </c>
    </row>
    <row r="413" spans="2:13">
      <c r="B413" s="83"/>
      <c r="C413" s="221"/>
      <c r="D413" s="204"/>
      <c r="E413" s="206"/>
      <c r="F413" s="206"/>
      <c r="G413" s="204"/>
      <c r="H413" s="206"/>
      <c r="J413" s="181" t="s">
        <v>13</v>
      </c>
      <c r="K413" s="218">
        <f>C447</f>
        <v>8057.0429999999997</v>
      </c>
      <c r="L413" s="217">
        <f>K413*$H408</f>
        <v>386.99131111399294</v>
      </c>
      <c r="M413" s="175"/>
    </row>
    <row r="414" spans="2:13">
      <c r="B414" s="83"/>
      <c r="C414" s="221"/>
      <c r="D414" s="204"/>
      <c r="E414" s="206"/>
      <c r="F414" s="206"/>
      <c r="G414" s="204"/>
      <c r="H414" s="206"/>
      <c r="J414" s="178" t="s">
        <v>14</v>
      </c>
      <c r="K414" s="217">
        <f>+K412-K413</f>
        <v>142848.50900000002</v>
      </c>
      <c r="L414" s="217">
        <f>K414*$H408</f>
        <v>6861.2184133296832</v>
      </c>
      <c r="M414" s="180">
        <f>+K414/K417</f>
        <v>2.5750533403035658</v>
      </c>
    </row>
    <row r="415" spans="2:13">
      <c r="B415" s="83" t="s">
        <v>17</v>
      </c>
      <c r="C415" s="221">
        <f>Model!BD$120</f>
        <v>0</v>
      </c>
      <c r="D415" s="204">
        <f>C415*$H408</f>
        <v>0</v>
      </c>
      <c r="E415" s="206"/>
      <c r="F415" s="206">
        <f>C415</f>
        <v>0</v>
      </c>
      <c r="G415" s="204">
        <f>F415*$H408</f>
        <v>0</v>
      </c>
      <c r="H415" s="206"/>
      <c r="J415" s="183" t="s">
        <v>16</v>
      </c>
      <c r="K415" s="219">
        <f>C449</f>
        <v>127697.67</v>
      </c>
      <c r="L415" s="275">
        <f>K415*$H408</f>
        <v>6133.5019236588423</v>
      </c>
      <c r="M415" s="175"/>
    </row>
    <row r="416" spans="2:13">
      <c r="B416" s="83" t="s">
        <v>15</v>
      </c>
      <c r="C416" s="221">
        <f>Model!BD$119</f>
        <v>10083.478999999999</v>
      </c>
      <c r="D416" s="204">
        <f>C416*$H408</f>
        <v>484.32393358213608</v>
      </c>
      <c r="E416" s="206"/>
      <c r="F416" s="206">
        <f t="shared" ref="F416:F419" si="10">C416</f>
        <v>10083.478999999999</v>
      </c>
      <c r="G416" s="204">
        <f>F416*$H408</f>
        <v>484.32393358213608</v>
      </c>
      <c r="H416" s="206"/>
      <c r="J416" s="183" t="s">
        <v>18</v>
      </c>
      <c r="K416" s="219">
        <f>K412+K415</f>
        <v>278603.22200000001</v>
      </c>
      <c r="L416" s="219"/>
      <c r="M416" s="175"/>
    </row>
    <row r="417" spans="2:13">
      <c r="B417" s="83" t="s">
        <v>96</v>
      </c>
      <c r="C417" s="221">
        <f>Model!BD$132</f>
        <v>13174.395</v>
      </c>
      <c r="D417" s="204">
        <f>C417*$H408</f>
        <v>632.7850545396908</v>
      </c>
      <c r="E417" s="206"/>
      <c r="F417" s="206">
        <f t="shared" si="10"/>
        <v>13174.395</v>
      </c>
      <c r="G417" s="204">
        <f>F417*$H408</f>
        <v>632.7850545396908</v>
      </c>
      <c r="H417" s="206"/>
      <c r="J417" s="181" t="s">
        <v>20</v>
      </c>
      <c r="K417" s="220">
        <f>C451</f>
        <v>55474</v>
      </c>
      <c r="L417" s="220"/>
      <c r="M417" s="175"/>
    </row>
    <row r="418" spans="2:13">
      <c r="B418" s="83" t="s">
        <v>34</v>
      </c>
      <c r="C418" s="221">
        <f>Model!BD$133</f>
        <v>11350.552</v>
      </c>
      <c r="D418" s="204">
        <f>C418*$H408</f>
        <v>545.18326392791437</v>
      </c>
      <c r="E418" s="206"/>
      <c r="F418" s="206">
        <f t="shared" si="10"/>
        <v>11350.552</v>
      </c>
      <c r="G418" s="204">
        <f>F418*$H408</f>
        <v>545.18326392791437</v>
      </c>
      <c r="H418" s="206"/>
      <c r="J418" s="181"/>
      <c r="K418" s="220"/>
      <c r="L418" s="220"/>
      <c r="M418" s="175"/>
    </row>
    <row r="419" spans="2:13">
      <c r="B419" s="83" t="s">
        <v>57</v>
      </c>
      <c r="C419" s="221">
        <f>Model!BD$156</f>
        <v>11862.367</v>
      </c>
      <c r="D419" s="204">
        <f>C419*$H408</f>
        <v>569.76647117873938</v>
      </c>
      <c r="E419" s="206"/>
      <c r="F419" s="206">
        <f t="shared" si="10"/>
        <v>11862.367</v>
      </c>
      <c r="G419" s="204">
        <f>F419*$H408</f>
        <v>569.76647117873938</v>
      </c>
      <c r="H419" s="206"/>
      <c r="J419" s="181"/>
      <c r="K419" s="220"/>
      <c r="L419" s="220"/>
      <c r="M419" s="175"/>
    </row>
    <row r="420" spans="2:13">
      <c r="B420" s="100" t="s">
        <v>97</v>
      </c>
      <c r="C420" s="221"/>
      <c r="D420" s="204"/>
      <c r="E420" s="206"/>
      <c r="F420" s="206"/>
      <c r="G420" s="204"/>
      <c r="H420" s="206"/>
    </row>
    <row r="421" spans="2:13">
      <c r="B421" s="100" t="s">
        <v>23</v>
      </c>
      <c r="C421" s="221">
        <f>Model!BD$124</f>
        <v>3465.268</v>
      </c>
      <c r="D421" s="204">
        <f>C421*H408</f>
        <v>166.44178350312444</v>
      </c>
      <c r="E421" s="206"/>
      <c r="F421" s="206">
        <f>C421</f>
        <v>3465.268</v>
      </c>
      <c r="G421" s="204">
        <f>F421*H408</f>
        <v>166.44178350312444</v>
      </c>
      <c r="H421" s="206"/>
    </row>
    <row r="422" spans="2:13">
      <c r="B422" s="83" t="s">
        <v>26</v>
      </c>
      <c r="C422" s="221">
        <f>Model!BD$125</f>
        <v>7706.3389999999999</v>
      </c>
      <c r="D422" s="204">
        <f>C422*$H408</f>
        <v>370.14649586689529</v>
      </c>
      <c r="E422" s="206"/>
      <c r="F422" s="206">
        <f>C422</f>
        <v>7706.3389999999999</v>
      </c>
      <c r="G422" s="204">
        <f>F422*$H408</f>
        <v>370.14649586689529</v>
      </c>
      <c r="H422" s="206"/>
      <c r="I422" s="102"/>
    </row>
    <row r="423" spans="2:13">
      <c r="B423" s="83" t="s">
        <v>27</v>
      </c>
      <c r="C423" s="221">
        <f>Model!BD$126</f>
        <v>3000</v>
      </c>
      <c r="D423" s="204">
        <f>C423*$H408</f>
        <v>144.09429530684881</v>
      </c>
      <c r="E423" s="206"/>
      <c r="F423" s="206">
        <f>C423</f>
        <v>3000</v>
      </c>
      <c r="G423" s="204">
        <f>F423*$H408</f>
        <v>144.09429530684881</v>
      </c>
      <c r="H423" s="206"/>
      <c r="I423" s="102"/>
    </row>
    <row r="424" spans="2:13">
      <c r="B424" s="83" t="s">
        <v>30</v>
      </c>
      <c r="C424" s="221">
        <f>Model!BD$129</f>
        <v>9633.1020000000008</v>
      </c>
      <c r="D424" s="204">
        <f>C424*$H408</f>
        <v>462.69168143633192</v>
      </c>
      <c r="E424" s="206"/>
      <c r="F424" s="206">
        <f>C424</f>
        <v>9633.1020000000008</v>
      </c>
      <c r="G424" s="204">
        <f>F424*$H408</f>
        <v>462.69168143633192</v>
      </c>
      <c r="H424" s="206"/>
    </row>
    <row r="425" spans="2:13">
      <c r="B425" s="83" t="s">
        <v>32</v>
      </c>
      <c r="C425" s="221">
        <f>Model!BD$131</f>
        <v>12000</v>
      </c>
      <c r="D425" s="204">
        <f>C425*$H408</f>
        <v>576.37718122739523</v>
      </c>
      <c r="E425" s="206"/>
      <c r="F425" s="206">
        <f>C425</f>
        <v>12000</v>
      </c>
      <c r="G425" s="204">
        <f>F425*$H408</f>
        <v>576.37718122739523</v>
      </c>
      <c r="H425" s="206"/>
    </row>
    <row r="426" spans="2:13">
      <c r="B426" s="100" t="s">
        <v>98</v>
      </c>
      <c r="C426" s="221"/>
      <c r="D426" s="204"/>
      <c r="E426" s="206"/>
      <c r="F426" s="206"/>
      <c r="G426" s="204"/>
      <c r="H426" s="206"/>
    </row>
    <row r="427" spans="2:13">
      <c r="B427" s="100" t="s">
        <v>99</v>
      </c>
      <c r="C427" s="221">
        <v>0</v>
      </c>
      <c r="D427" s="204">
        <f>C427*$H408</f>
        <v>0</v>
      </c>
      <c r="E427" s="206"/>
      <c r="F427" s="206">
        <f t="shared" ref="F427:F436" si="11">C427</f>
        <v>0</v>
      </c>
      <c r="G427" s="204">
        <f>F427*$H408</f>
        <v>0</v>
      </c>
      <c r="H427" s="206"/>
    </row>
    <row r="428" spans="2:13">
      <c r="B428" s="83" t="s">
        <v>99</v>
      </c>
      <c r="C428" s="221">
        <v>0</v>
      </c>
      <c r="D428" s="204">
        <f>C428*$H408</f>
        <v>0</v>
      </c>
      <c r="E428" s="206"/>
      <c r="F428" s="206">
        <f t="shared" si="11"/>
        <v>0</v>
      </c>
      <c r="G428" s="204">
        <f>F428*$H408</f>
        <v>0</v>
      </c>
      <c r="H428" s="206"/>
    </row>
    <row r="429" spans="2:13">
      <c r="B429" s="83" t="s">
        <v>100</v>
      </c>
      <c r="C429" s="221">
        <v>0</v>
      </c>
      <c r="D429" s="204">
        <f>C429*$H408</f>
        <v>0</v>
      </c>
      <c r="E429" s="206"/>
      <c r="F429" s="206">
        <f t="shared" si="11"/>
        <v>0</v>
      </c>
      <c r="G429" s="204">
        <f>F429*$H408</f>
        <v>0</v>
      </c>
      <c r="H429" s="206"/>
    </row>
    <row r="430" spans="2:13">
      <c r="B430" s="83" t="s">
        <v>101</v>
      </c>
      <c r="C430" s="221">
        <v>0</v>
      </c>
      <c r="D430" s="204">
        <f>C430*$H408</f>
        <v>0</v>
      </c>
      <c r="E430" s="206"/>
      <c r="F430" s="206">
        <f t="shared" si="11"/>
        <v>0</v>
      </c>
      <c r="G430" s="204">
        <f>F430*$H408</f>
        <v>0</v>
      </c>
      <c r="H430" s="206"/>
    </row>
    <row r="431" spans="2:13">
      <c r="B431" s="83" t="s">
        <v>102</v>
      </c>
      <c r="C431" s="221">
        <v>0</v>
      </c>
      <c r="D431" s="204">
        <f>C431*$H408</f>
        <v>0</v>
      </c>
      <c r="E431" s="206"/>
      <c r="F431" s="206">
        <f t="shared" si="11"/>
        <v>0</v>
      </c>
      <c r="G431" s="204">
        <f>F431*$H408</f>
        <v>0</v>
      </c>
      <c r="H431" s="206"/>
    </row>
    <row r="432" spans="2:13">
      <c r="B432" s="83" t="s">
        <v>103</v>
      </c>
      <c r="C432" s="221">
        <f>Model!BD$141</f>
        <v>16214.64</v>
      </c>
      <c r="D432" s="204">
        <f>C432*$H408</f>
        <v>778.81237481808091</v>
      </c>
      <c r="E432" s="206"/>
      <c r="F432" s="206">
        <f t="shared" si="11"/>
        <v>16214.64</v>
      </c>
      <c r="G432" s="204">
        <f>F432*$H408</f>
        <v>778.81237481808091</v>
      </c>
      <c r="H432" s="206"/>
    </row>
    <row r="433" spans="2:9">
      <c r="B433" s="83" t="s">
        <v>104</v>
      </c>
      <c r="C433" s="221">
        <f>Model!BD$144</f>
        <v>2026.83</v>
      </c>
      <c r="D433" s="204">
        <f>C433*$H408</f>
        <v>97.351546852260114</v>
      </c>
      <c r="E433" s="206"/>
      <c r="F433" s="206">
        <f t="shared" si="11"/>
        <v>2026.83</v>
      </c>
      <c r="G433" s="204">
        <f>F433*$H408</f>
        <v>97.351546852260114</v>
      </c>
      <c r="H433" s="206"/>
    </row>
    <row r="434" spans="2:9">
      <c r="B434" s="83" t="s">
        <v>105</v>
      </c>
      <c r="C434" s="221">
        <f>Model!BD$155</f>
        <v>3330.4969999999998</v>
      </c>
      <c r="D434" s="204">
        <f>C434*$H408</f>
        <v>159.96853941219132</v>
      </c>
      <c r="E434" s="206"/>
      <c r="F434" s="206">
        <f t="shared" si="11"/>
        <v>3330.4969999999998</v>
      </c>
      <c r="G434" s="204">
        <f>F434*$H$408</f>
        <v>159.96853941219132</v>
      </c>
      <c r="H434" s="206"/>
    </row>
    <row r="435" spans="2:9">
      <c r="B435" s="83" t="s">
        <v>39</v>
      </c>
      <c r="C435" s="221">
        <f>Model!BD$138</f>
        <v>18241.47</v>
      </c>
      <c r="D435" s="204">
        <f>C435*$H408</f>
        <v>876.1639216703411</v>
      </c>
      <c r="E435" s="206"/>
      <c r="F435" s="206">
        <f t="shared" si="11"/>
        <v>18241.47</v>
      </c>
      <c r="G435" s="204">
        <f t="shared" ref="G435:G436" si="12">F435*$H$408</f>
        <v>876.1639216703411</v>
      </c>
      <c r="H435" s="206"/>
    </row>
    <row r="436" spans="2:9">
      <c r="B436" s="83" t="s">
        <v>40</v>
      </c>
      <c r="C436" s="221">
        <f>Model!BD$139</f>
        <v>11147.565000000001</v>
      </c>
      <c r="D436" s="204">
        <f>C436*$H408</f>
        <v>535.43350768743062</v>
      </c>
      <c r="E436" s="206"/>
      <c r="F436" s="206">
        <f t="shared" si="11"/>
        <v>11147.565000000001</v>
      </c>
      <c r="G436" s="204">
        <f t="shared" si="12"/>
        <v>535.43350768743062</v>
      </c>
      <c r="H436" s="206"/>
    </row>
    <row r="437" spans="2:9">
      <c r="B437" s="83"/>
      <c r="C437" s="221"/>
      <c r="D437" s="204"/>
      <c r="E437" s="206"/>
      <c r="F437" s="206"/>
      <c r="G437" s="204"/>
      <c r="H437" s="206"/>
    </row>
    <row r="438" spans="2:9">
      <c r="B438" s="83" t="s">
        <v>44</v>
      </c>
      <c r="C438" s="221">
        <f>Model!BD$143</f>
        <v>2848.002</v>
      </c>
      <c r="D438" s="204">
        <f>C438*$H$408</f>
        <v>136.793613740832</v>
      </c>
      <c r="E438" s="206"/>
      <c r="F438" s="206">
        <f t="shared" ref="F438:F443" si="13">C438</f>
        <v>2848.002</v>
      </c>
      <c r="G438" s="204">
        <f t="shared" ref="G438:G443" si="14">F438*$H$408</f>
        <v>136.793613740832</v>
      </c>
      <c r="H438" s="206"/>
    </row>
    <row r="439" spans="2:9">
      <c r="B439" s="83" t="s">
        <v>87</v>
      </c>
      <c r="C439" s="221">
        <f>Model!BD$145</f>
        <v>2533.538</v>
      </c>
      <c r="D439" s="204">
        <f t="shared" ref="D439:D443" si="15">C439*$H$408</f>
        <v>121.68945758104103</v>
      </c>
      <c r="E439" s="206"/>
      <c r="F439" s="206">
        <f t="shared" si="13"/>
        <v>2533.538</v>
      </c>
      <c r="G439" s="204">
        <f t="shared" si="14"/>
        <v>121.68945758104103</v>
      </c>
      <c r="H439" s="206"/>
    </row>
    <row r="440" spans="2:9">
      <c r="B440" s="83" t="s">
        <v>52</v>
      </c>
      <c r="C440" s="221">
        <f>Model!BD$151</f>
        <v>5000</v>
      </c>
      <c r="D440" s="204">
        <f t="shared" si="15"/>
        <v>240.15715884474798</v>
      </c>
      <c r="E440" s="206"/>
      <c r="F440" s="206">
        <f t="shared" si="13"/>
        <v>5000</v>
      </c>
      <c r="G440" s="204">
        <f t="shared" si="14"/>
        <v>240.15715884474798</v>
      </c>
      <c r="H440" s="206"/>
    </row>
    <row r="441" spans="2:9">
      <c r="B441" s="83" t="s">
        <v>106</v>
      </c>
      <c r="C441" s="221">
        <f>Model!BD$152</f>
        <v>3040.2449999999999</v>
      </c>
      <c r="D441" s="204">
        <f t="shared" si="15"/>
        <v>146.02732027839016</v>
      </c>
      <c r="E441" s="206"/>
      <c r="F441" s="206">
        <f t="shared" si="13"/>
        <v>3040.2449999999999</v>
      </c>
      <c r="G441" s="204">
        <f t="shared" si="14"/>
        <v>146.02732027839016</v>
      </c>
      <c r="H441" s="206"/>
    </row>
    <row r="442" spans="2:9">
      <c r="B442" s="83" t="s">
        <v>48</v>
      </c>
      <c r="C442" s="221">
        <f>Model!BD$147</f>
        <v>2533.538</v>
      </c>
      <c r="D442" s="204">
        <f t="shared" si="15"/>
        <v>121.68945758104103</v>
      </c>
      <c r="E442" s="206"/>
      <c r="F442" s="206">
        <f t="shared" si="13"/>
        <v>2533.538</v>
      </c>
      <c r="G442" s="204">
        <f t="shared" si="14"/>
        <v>121.68945758104103</v>
      </c>
      <c r="H442" s="206"/>
    </row>
    <row r="443" spans="2:9">
      <c r="B443" s="83" t="s">
        <v>47</v>
      </c>
      <c r="C443" s="221">
        <f>Model!BD$146</f>
        <v>2533.538</v>
      </c>
      <c r="D443" s="204">
        <f t="shared" si="15"/>
        <v>121.68945758104103</v>
      </c>
      <c r="E443" s="206"/>
      <c r="F443" s="206">
        <f t="shared" si="13"/>
        <v>2533.538</v>
      </c>
      <c r="G443" s="204">
        <f t="shared" si="14"/>
        <v>121.68945758104103</v>
      </c>
      <c r="H443" s="206"/>
    </row>
    <row r="444" spans="2:9">
      <c r="B444" s="83"/>
      <c r="C444" s="221"/>
      <c r="D444" s="204"/>
      <c r="E444" s="206"/>
      <c r="F444" s="206"/>
      <c r="G444" s="204"/>
      <c r="H444" s="206"/>
    </row>
    <row r="445" spans="2:9">
      <c r="B445" s="83" t="s">
        <v>58</v>
      </c>
      <c r="C445" s="221">
        <f>Model!BD$157</f>
        <v>-819.81299999999987</v>
      </c>
      <c r="D445" s="204">
        <f>C445*$H408</f>
        <v>-39.37679217279787</v>
      </c>
      <c r="E445" s="206"/>
      <c r="F445" s="206">
        <f>C445</f>
        <v>-819.81299999999987</v>
      </c>
      <c r="G445" s="204">
        <f>F445*$H408</f>
        <v>-39.37679217279787</v>
      </c>
      <c r="H445" s="206"/>
    </row>
    <row r="446" spans="2:9">
      <c r="B446" s="35" t="s">
        <v>12</v>
      </c>
      <c r="C446" s="208">
        <f>SUM(C411:C445)</f>
        <v>186706.12399999998</v>
      </c>
      <c r="D446" s="208"/>
      <c r="E446" s="36">
        <f>+C446/C451</f>
        <v>3.3656510076792729</v>
      </c>
      <c r="F446" s="208">
        <f>SUM(F411:F445)</f>
        <v>186706.12399999998</v>
      </c>
      <c r="G446" s="208">
        <f>SUM(G411:G445)</f>
        <v>8967.7624557510408</v>
      </c>
      <c r="H446" s="36">
        <f>+F446/F451</f>
        <v>3.3656510076792729</v>
      </c>
      <c r="I446" s="145"/>
    </row>
    <row r="447" spans="2:9">
      <c r="B447" s="34" t="s">
        <v>13</v>
      </c>
      <c r="C447" s="209">
        <f>Model!BD$165</f>
        <v>8057.0429999999997</v>
      </c>
      <c r="D447" s="204">
        <f>C447*$H408</f>
        <v>386.99131111399294</v>
      </c>
      <c r="E447" s="210"/>
      <c r="F447" s="209">
        <f>C447</f>
        <v>8057.0429999999997</v>
      </c>
      <c r="G447" s="204">
        <f>F447*$H408</f>
        <v>386.99131111399294</v>
      </c>
      <c r="H447" s="210"/>
    </row>
    <row r="448" spans="2:9">
      <c r="B448" s="35" t="s">
        <v>14</v>
      </c>
      <c r="C448" s="208">
        <f>+C446-C447</f>
        <v>178649.08099999998</v>
      </c>
      <c r="D448" s="208"/>
      <c r="E448" s="36">
        <f>+C448/C451</f>
        <v>3.2204110213793844</v>
      </c>
      <c r="F448" s="208">
        <f>F446-F447</f>
        <v>178649.08099999998</v>
      </c>
      <c r="G448" s="208">
        <f>+G446-G447</f>
        <v>8580.7711446370486</v>
      </c>
      <c r="H448" s="36">
        <f>+F448/F451</f>
        <v>3.2204110213793844</v>
      </c>
    </row>
    <row r="449" spans="2:8">
      <c r="B449" s="69" t="s">
        <v>16</v>
      </c>
      <c r="C449" s="211">
        <f>Model!BD$186</f>
        <v>127697.67</v>
      </c>
      <c r="D449" s="204"/>
      <c r="E449" s="212"/>
      <c r="F449" s="211"/>
      <c r="G449" s="204"/>
      <c r="H449" s="212"/>
    </row>
    <row r="450" spans="2:8">
      <c r="B450" s="69" t="s">
        <v>18</v>
      </c>
      <c r="C450" s="211">
        <f>C446+C449</f>
        <v>314403.79399999999</v>
      </c>
      <c r="D450" s="211"/>
      <c r="E450" s="212"/>
      <c r="F450" s="211"/>
      <c r="G450" s="211"/>
      <c r="H450" s="212"/>
    </row>
    <row r="451" spans="2:8">
      <c r="B451" s="181" t="s">
        <v>20</v>
      </c>
      <c r="C451" s="213">
        <f>Model!BD$92</f>
        <v>55474</v>
      </c>
      <c r="D451" s="213"/>
      <c r="E451" s="210"/>
      <c r="F451" s="210">
        <f>C451</f>
        <v>55474</v>
      </c>
      <c r="G451" s="213"/>
      <c r="H451" s="210"/>
    </row>
    <row r="453" spans="2:8">
      <c r="B453" s="101" t="s">
        <v>59</v>
      </c>
      <c r="C453" s="229">
        <f>Model!BD$179-Capitalisation!C446</f>
        <v>0</v>
      </c>
    </row>
    <row r="454" spans="2:8">
      <c r="B454" s="101"/>
      <c r="C454" s="103"/>
    </row>
    <row r="455" spans="2:8">
      <c r="B455" s="35" t="s">
        <v>60</v>
      </c>
      <c r="C455" s="88">
        <f>C448+Model!BD$185</f>
        <v>414099.08100000001</v>
      </c>
    </row>
    <row r="456" spans="2:8">
      <c r="B456" s="35" t="s">
        <v>61</v>
      </c>
      <c r="C456" s="36">
        <f>C455/C451</f>
        <v>7.4647416988138584</v>
      </c>
    </row>
    <row r="458" spans="2:8" ht="13.5" thickBot="1"/>
    <row r="459" spans="2:8">
      <c r="B459" s="78" t="s">
        <v>119</v>
      </c>
      <c r="C459" s="153" t="s">
        <v>4</v>
      </c>
      <c r="D459" s="153" t="s">
        <v>5</v>
      </c>
      <c r="E459" s="104"/>
      <c r="F459" s="104"/>
    </row>
    <row r="460" spans="2:8">
      <c r="B460" s="79" t="s">
        <v>108</v>
      </c>
      <c r="C460" s="276"/>
      <c r="D460" s="202">
        <f>C460*H408</f>
        <v>0</v>
      </c>
      <c r="E460" s="105"/>
      <c r="F460" s="105"/>
    </row>
    <row r="461" spans="2:8">
      <c r="B461" s="79" t="s">
        <v>63</v>
      </c>
      <c r="C461" s="202">
        <f>C447</f>
        <v>8057.0429999999997</v>
      </c>
      <c r="D461" s="202">
        <f>C461*H408</f>
        <v>386.99131111399294</v>
      </c>
      <c r="E461" s="105"/>
      <c r="F461" s="105"/>
    </row>
    <row r="462" spans="2:8" ht="13.5" thickBot="1">
      <c r="B462" s="80" t="s">
        <v>64</v>
      </c>
      <c r="C462" s="203">
        <f>SUM(C460:C461)</f>
        <v>8057.0429999999997</v>
      </c>
      <c r="D462" s="203">
        <f>SUM(D460:D461)</f>
        <v>386.99131111399294</v>
      </c>
      <c r="E462" s="105"/>
      <c r="F462" s="105"/>
    </row>
    <row r="464" spans="2:8">
      <c r="C464" s="30"/>
    </row>
    <row r="465" spans="2:8" ht="13.5" thickBot="1"/>
    <row r="466" spans="2:8" ht="13.5" thickBot="1">
      <c r="B466" s="78" t="s">
        <v>119</v>
      </c>
      <c r="C466" s="189" t="s">
        <v>4</v>
      </c>
      <c r="D466" s="186" t="s">
        <v>5</v>
      </c>
      <c r="E466" s="66"/>
    </row>
    <row r="467" spans="2:8">
      <c r="B467" s="144">
        <v>2025</v>
      </c>
      <c r="C467" s="199">
        <f>Model!BD$114</f>
        <v>4862.1869999999999</v>
      </c>
      <c r="D467" s="200">
        <f>+C467*$H408</f>
        <v>233.53780313837373</v>
      </c>
      <c r="F467" s="271" t="s">
        <v>120</v>
      </c>
      <c r="G467" s="272"/>
    </row>
    <row r="468" spans="2:8">
      <c r="B468" s="144">
        <v>2026</v>
      </c>
      <c r="C468" s="199">
        <v>15513.566000000001</v>
      </c>
      <c r="D468" s="200">
        <f>+C468*$H408</f>
        <v>745.13878682209634</v>
      </c>
      <c r="F468" s="272" t="s">
        <v>70</v>
      </c>
      <c r="G468" s="215">
        <v>0.53</v>
      </c>
      <c r="H468" s="273"/>
    </row>
    <row r="469" spans="2:8">
      <c r="B469" s="144">
        <v>2027</v>
      </c>
      <c r="C469" s="199">
        <v>13471.064</v>
      </c>
      <c r="D469" s="200">
        <f>+C469*$H408</f>
        <v>647.03449137115331</v>
      </c>
      <c r="F469" s="272" t="s">
        <v>71</v>
      </c>
      <c r="G469" s="215">
        <v>0.03</v>
      </c>
      <c r="H469" s="273"/>
    </row>
    <row r="470" spans="2:8">
      <c r="B470" s="144">
        <v>2028</v>
      </c>
      <c r="C470" s="199">
        <v>9559.8140000000003</v>
      </c>
      <c r="D470" s="200">
        <f>+C470*$H408</f>
        <v>459.17155386484916</v>
      </c>
      <c r="F470" s="272" t="s">
        <v>72</v>
      </c>
      <c r="G470" s="215">
        <v>0.36</v>
      </c>
      <c r="H470" s="273"/>
    </row>
    <row r="471" spans="2:8">
      <c r="B471" s="144" t="s">
        <v>89</v>
      </c>
      <c r="C471" s="199">
        <v>107498.921</v>
      </c>
      <c r="D471" s="200">
        <f>+C471*$H408</f>
        <v>5163.3270892472028</v>
      </c>
      <c r="F471" s="272" t="s">
        <v>73</v>
      </c>
      <c r="G471" s="215">
        <v>0.06</v>
      </c>
      <c r="H471" s="273"/>
    </row>
    <row r="472" spans="2:8" ht="13.5" thickBot="1">
      <c r="B472" s="144" t="s">
        <v>67</v>
      </c>
      <c r="C472" s="246">
        <f>C411</f>
        <v>35800.572</v>
      </c>
      <c r="D472" s="200">
        <f>+C472*$H408</f>
        <v>1719.5527313073674</v>
      </c>
      <c r="F472" s="28" t="s">
        <v>74</v>
      </c>
      <c r="G472" s="215">
        <v>0.02</v>
      </c>
    </row>
    <row r="473" spans="2:8" ht="13.5" thickBot="1">
      <c r="B473" s="185" t="s">
        <v>68</v>
      </c>
      <c r="C473" s="198">
        <f>SUM(C467:C472)</f>
        <v>186706.12400000001</v>
      </c>
      <c r="D473" s="201">
        <f>+C473*$H408</f>
        <v>8967.7624557510426</v>
      </c>
      <c r="G473" s="127"/>
    </row>
    <row r="474" spans="2:8">
      <c r="G474" s="127"/>
    </row>
    <row r="481" spans="2:13">
      <c r="G481" s="66" t="s">
        <v>121</v>
      </c>
      <c r="H481" s="241">
        <f>Model!BC$267</f>
        <v>5.0810000000000001E-2</v>
      </c>
      <c r="J481" s="184" t="s">
        <v>8</v>
      </c>
    </row>
    <row r="482" spans="2:13">
      <c r="B482" s="391" t="s">
        <v>122</v>
      </c>
      <c r="C482" s="391"/>
      <c r="D482" s="391"/>
      <c r="E482" s="391"/>
      <c r="F482" s="391"/>
      <c r="G482" s="391"/>
      <c r="H482" s="391"/>
      <c r="I482" s="82"/>
      <c r="J482" s="392" t="s">
        <v>123</v>
      </c>
      <c r="K482" s="392"/>
      <c r="L482" s="392"/>
      <c r="M482" s="175"/>
    </row>
    <row r="483" spans="2:13" ht="25.5">
      <c r="B483" s="26" t="s">
        <v>4</v>
      </c>
      <c r="C483" s="106" t="s">
        <v>4</v>
      </c>
      <c r="D483" s="106" t="s">
        <v>5</v>
      </c>
      <c r="E483" s="166" t="s">
        <v>94</v>
      </c>
      <c r="F483" s="106" t="s">
        <v>4</v>
      </c>
      <c r="G483" s="106" t="s">
        <v>5</v>
      </c>
      <c r="H483" s="166" t="s">
        <v>95</v>
      </c>
      <c r="I483" s="27"/>
      <c r="J483" s="26"/>
      <c r="K483" s="106" t="s">
        <v>4</v>
      </c>
      <c r="L483" s="106" t="s">
        <v>5</v>
      </c>
      <c r="M483" s="106" t="s">
        <v>85</v>
      </c>
    </row>
    <row r="484" spans="2:13">
      <c r="B484" s="83" t="s">
        <v>10</v>
      </c>
      <c r="C484" s="221">
        <f>Model!BC$176</f>
        <v>33288.678</v>
      </c>
      <c r="D484" s="204">
        <f>C484*$H481</f>
        <v>1691.3977291799999</v>
      </c>
      <c r="E484" s="205"/>
      <c r="F484" s="206">
        <f>C484</f>
        <v>33288.678</v>
      </c>
      <c r="G484" s="204">
        <f>F484*$H481</f>
        <v>1691.3977291799999</v>
      </c>
      <c r="H484" s="205"/>
      <c r="I484" s="27"/>
      <c r="J484" s="26"/>
      <c r="K484" s="106"/>
      <c r="L484" s="106"/>
      <c r="M484" s="106"/>
    </row>
    <row r="485" spans="2:13">
      <c r="B485" s="100" t="s">
        <v>11</v>
      </c>
      <c r="C485" s="221"/>
      <c r="D485" s="204"/>
      <c r="E485" s="206"/>
      <c r="F485" s="206"/>
      <c r="G485" s="174"/>
      <c r="H485" s="206"/>
      <c r="J485" s="178" t="s">
        <v>12</v>
      </c>
      <c r="K485" s="217">
        <f>Model!BC$115+Model!BC$114</f>
        <v>145635.51</v>
      </c>
      <c r="L485" s="217">
        <f>K485*$H481</f>
        <v>7399.7402631000004</v>
      </c>
      <c r="M485" s="180">
        <f>+K485/K490</f>
        <v>2.6440244367386216</v>
      </c>
    </row>
    <row r="486" spans="2:13">
      <c r="B486" s="83"/>
      <c r="C486" s="221"/>
      <c r="D486" s="204"/>
      <c r="E486" s="206"/>
      <c r="F486" s="206"/>
      <c r="G486" s="204"/>
      <c r="H486" s="206"/>
      <c r="J486" s="181" t="s">
        <v>13</v>
      </c>
      <c r="K486" s="218">
        <f>C520</f>
        <v>8434.3169999999991</v>
      </c>
      <c r="L486" s="217">
        <f>K486*$H481</f>
        <v>428.54764676999997</v>
      </c>
      <c r="M486" s="175"/>
    </row>
    <row r="487" spans="2:13">
      <c r="B487" s="83"/>
      <c r="C487" s="221"/>
      <c r="D487" s="204"/>
      <c r="E487" s="206"/>
      <c r="F487" s="206"/>
      <c r="G487" s="204"/>
      <c r="H487" s="206"/>
      <c r="J487" s="178" t="s">
        <v>14</v>
      </c>
      <c r="K487" s="217">
        <f>+K485-K486</f>
        <v>137201.193</v>
      </c>
      <c r="L487" s="217">
        <f>K487*$H481</f>
        <v>6971.1926163300004</v>
      </c>
      <c r="M487" s="180">
        <f>+K487/K490</f>
        <v>2.4908987309598589</v>
      </c>
    </row>
    <row r="488" spans="2:13">
      <c r="B488" s="83" t="s">
        <v>17</v>
      </c>
      <c r="C488" s="221">
        <f>Model!BC$120</f>
        <v>0</v>
      </c>
      <c r="D488" s="204">
        <f>C488*$H481</f>
        <v>0</v>
      </c>
      <c r="E488" s="206"/>
      <c r="F488" s="206">
        <f>C488</f>
        <v>0</v>
      </c>
      <c r="G488" s="204">
        <f>F488*$H481</f>
        <v>0</v>
      </c>
      <c r="H488" s="206"/>
      <c r="J488" s="183" t="s">
        <v>16</v>
      </c>
      <c r="K488" s="219">
        <f>C522</f>
        <v>127715.015</v>
      </c>
      <c r="L488" s="275">
        <f>K488*$H481</f>
        <v>6489.1999121500003</v>
      </c>
      <c r="M488" s="175"/>
    </row>
    <row r="489" spans="2:13">
      <c r="B489" s="83" t="s">
        <v>15</v>
      </c>
      <c r="C489" s="221">
        <f>Model!BC$119</f>
        <v>9765.4279999999999</v>
      </c>
      <c r="D489" s="204">
        <f>C489*$H481</f>
        <v>496.18139667999998</v>
      </c>
      <c r="E489" s="206"/>
      <c r="F489" s="206">
        <f t="shared" ref="F489:F492" si="16">C489</f>
        <v>9765.4279999999999</v>
      </c>
      <c r="G489" s="204">
        <f>F489*$H481</f>
        <v>496.18139667999998</v>
      </c>
      <c r="H489" s="206"/>
      <c r="J489" s="183" t="s">
        <v>18</v>
      </c>
      <c r="K489" s="219">
        <f>K485+K488</f>
        <v>273350.52500000002</v>
      </c>
      <c r="L489" s="219"/>
      <c r="M489" s="175"/>
    </row>
    <row r="490" spans="2:13">
      <c r="B490" s="83" t="s">
        <v>96</v>
      </c>
      <c r="C490" s="221">
        <f>Model!BC$132</f>
        <v>12758.85</v>
      </c>
      <c r="D490" s="204">
        <f>C490*$H481</f>
        <v>648.27716850000002</v>
      </c>
      <c r="E490" s="206"/>
      <c r="F490" s="206">
        <f t="shared" si="16"/>
        <v>12758.85</v>
      </c>
      <c r="G490" s="204">
        <f>F490*$H481</f>
        <v>648.27716850000002</v>
      </c>
      <c r="H490" s="206"/>
      <c r="J490" s="181" t="s">
        <v>20</v>
      </c>
      <c r="K490" s="220">
        <f>C524</f>
        <v>55081</v>
      </c>
      <c r="L490" s="220"/>
      <c r="M490" s="175"/>
    </row>
    <row r="491" spans="2:13">
      <c r="B491" s="83" t="s">
        <v>34</v>
      </c>
      <c r="C491" s="221">
        <f>Model!BC$133</f>
        <v>10992.534</v>
      </c>
      <c r="D491" s="204">
        <f>C491*$H481</f>
        <v>558.53065254000001</v>
      </c>
      <c r="E491" s="206"/>
      <c r="F491" s="206">
        <f t="shared" si="16"/>
        <v>10992.534</v>
      </c>
      <c r="G491" s="204">
        <f>F491*$H481</f>
        <v>558.53065254000001</v>
      </c>
      <c r="H491" s="206"/>
      <c r="J491" s="181"/>
      <c r="K491" s="220"/>
      <c r="L491" s="220"/>
      <c r="M491" s="175"/>
    </row>
    <row r="492" spans="2:13">
      <c r="B492" s="83" t="s">
        <v>57</v>
      </c>
      <c r="C492" s="221">
        <f>Model!BC$156</f>
        <v>11488.206</v>
      </c>
      <c r="D492" s="204">
        <f>C492*$H481</f>
        <v>583.71574685999997</v>
      </c>
      <c r="E492" s="206"/>
      <c r="F492" s="206">
        <f t="shared" si="16"/>
        <v>11488.206</v>
      </c>
      <c r="G492" s="204">
        <f>F492*$H481</f>
        <v>583.71574685999997</v>
      </c>
      <c r="H492" s="206"/>
      <c r="J492" s="181"/>
      <c r="K492" s="220"/>
      <c r="L492" s="220"/>
      <c r="M492" s="175"/>
    </row>
    <row r="493" spans="2:13">
      <c r="B493" s="100" t="s">
        <v>97</v>
      </c>
      <c r="C493" s="221"/>
      <c r="D493" s="204"/>
      <c r="E493" s="206"/>
      <c r="F493" s="206"/>
      <c r="G493" s="204"/>
      <c r="H493" s="206"/>
    </row>
    <row r="494" spans="2:13">
      <c r="B494" s="83" t="s">
        <v>26</v>
      </c>
      <c r="C494" s="221">
        <f>Model!BC$125</f>
        <v>7706.3389999999999</v>
      </c>
      <c r="D494" s="204">
        <f>C494*$H481</f>
        <v>391.55908459</v>
      </c>
      <c r="E494" s="206"/>
      <c r="F494" s="206">
        <f>C494</f>
        <v>7706.3389999999999</v>
      </c>
      <c r="G494" s="204">
        <f>F494*$H481</f>
        <v>391.55908459</v>
      </c>
      <c r="H494" s="206"/>
      <c r="I494" s="102"/>
    </row>
    <row r="495" spans="2:13">
      <c r="B495" s="83" t="s">
        <v>27</v>
      </c>
      <c r="C495" s="221">
        <f>Model!BC$126</f>
        <v>3000</v>
      </c>
      <c r="D495" s="204">
        <f>C495*$H481</f>
        <v>152.43</v>
      </c>
      <c r="E495" s="206"/>
      <c r="F495" s="206">
        <f>C495</f>
        <v>3000</v>
      </c>
      <c r="G495" s="204">
        <f>F495*$H481</f>
        <v>152.43</v>
      </c>
      <c r="H495" s="206"/>
      <c r="I495" s="102"/>
    </row>
    <row r="496" spans="2:13">
      <c r="B496" s="83" t="s">
        <v>30</v>
      </c>
      <c r="C496" s="221">
        <f>Model!BC$129</f>
        <v>9633.1020000000008</v>
      </c>
      <c r="D496" s="204">
        <f>C496*$H481</f>
        <v>489.45791262000006</v>
      </c>
      <c r="E496" s="206"/>
      <c r="F496" s="206">
        <f>C496</f>
        <v>9633.1020000000008</v>
      </c>
      <c r="G496" s="204">
        <f>F496*$H481</f>
        <v>489.45791262000006</v>
      </c>
      <c r="H496" s="206"/>
    </row>
    <row r="497" spans="2:8">
      <c r="B497" s="83" t="s">
        <v>32</v>
      </c>
      <c r="C497" s="221">
        <f>Model!BC$131</f>
        <v>12000</v>
      </c>
      <c r="D497" s="204">
        <f>C497*$H481</f>
        <v>609.72</v>
      </c>
      <c r="E497" s="206"/>
      <c r="F497" s="206">
        <f>C497</f>
        <v>12000</v>
      </c>
      <c r="G497" s="204">
        <f>F497*$H481</f>
        <v>609.72</v>
      </c>
      <c r="H497" s="206"/>
    </row>
    <row r="498" spans="2:8">
      <c r="B498" s="100" t="s">
        <v>98</v>
      </c>
      <c r="C498" s="221"/>
      <c r="D498" s="204"/>
      <c r="E498" s="206"/>
      <c r="F498" s="206"/>
      <c r="G498" s="204"/>
      <c r="H498" s="206"/>
    </row>
    <row r="499" spans="2:8">
      <c r="B499" s="100" t="s">
        <v>99</v>
      </c>
      <c r="C499" s="221"/>
      <c r="D499" s="204">
        <f>C499*$H481</f>
        <v>0</v>
      </c>
      <c r="E499" s="206"/>
      <c r="F499" s="206">
        <f t="shared" ref="F499:F508" si="17">C499</f>
        <v>0</v>
      </c>
      <c r="G499" s="204">
        <f>F499*$H481</f>
        <v>0</v>
      </c>
      <c r="H499" s="206"/>
    </row>
    <row r="500" spans="2:8">
      <c r="B500" s="83" t="s">
        <v>99</v>
      </c>
      <c r="C500" s="221"/>
      <c r="D500" s="204">
        <f>C500*$H481</f>
        <v>0</v>
      </c>
      <c r="E500" s="206"/>
      <c r="F500" s="206">
        <f t="shared" si="17"/>
        <v>0</v>
      </c>
      <c r="G500" s="204">
        <f>F500*$H481</f>
        <v>0</v>
      </c>
      <c r="H500" s="206"/>
    </row>
    <row r="501" spans="2:8">
      <c r="B501" s="83" t="s">
        <v>100</v>
      </c>
      <c r="C501" s="221"/>
      <c r="D501" s="204">
        <f>C501*$H481</f>
        <v>0</v>
      </c>
      <c r="E501" s="206"/>
      <c r="F501" s="206">
        <f t="shared" si="17"/>
        <v>0</v>
      </c>
      <c r="G501" s="204">
        <f>F501*$H481</f>
        <v>0</v>
      </c>
      <c r="H501" s="206"/>
    </row>
    <row r="502" spans="2:8">
      <c r="B502" s="83" t="s">
        <v>101</v>
      </c>
      <c r="C502" s="221"/>
      <c r="D502" s="204">
        <f>C502*$H481</f>
        <v>0</v>
      </c>
      <c r="E502" s="206"/>
      <c r="F502" s="206">
        <f t="shared" si="17"/>
        <v>0</v>
      </c>
      <c r="G502" s="204">
        <f>F502*$H481</f>
        <v>0</v>
      </c>
      <c r="H502" s="206"/>
    </row>
    <row r="503" spans="2:8">
      <c r="B503" s="83" t="s">
        <v>102</v>
      </c>
      <c r="C503" s="221"/>
      <c r="D503" s="204">
        <f>C503*$H481</f>
        <v>0</v>
      </c>
      <c r="E503" s="206"/>
      <c r="F503" s="206">
        <f t="shared" si="17"/>
        <v>0</v>
      </c>
      <c r="G503" s="204">
        <f>F503*$H481</f>
        <v>0</v>
      </c>
      <c r="H503" s="206"/>
    </row>
    <row r="504" spans="2:8">
      <c r="B504" s="83" t="s">
        <v>103</v>
      </c>
      <c r="C504" s="221">
        <f>Model!BC$141</f>
        <v>15703.2</v>
      </c>
      <c r="D504" s="204">
        <f>C504*$H481</f>
        <v>797.879592</v>
      </c>
      <c r="E504" s="206"/>
      <c r="F504" s="206">
        <f t="shared" si="17"/>
        <v>15703.2</v>
      </c>
      <c r="G504" s="204">
        <f>F504*$H482</f>
        <v>0</v>
      </c>
      <c r="H504" s="206"/>
    </row>
    <row r="505" spans="2:8">
      <c r="B505" s="83" t="s">
        <v>104</v>
      </c>
      <c r="C505" s="221">
        <f>Model!BC$144</f>
        <v>1962.9</v>
      </c>
      <c r="D505" s="204">
        <f>C505*$H481</f>
        <v>99.734949</v>
      </c>
      <c r="E505" s="206"/>
      <c r="F505" s="206">
        <f t="shared" si="17"/>
        <v>1962.9</v>
      </c>
      <c r="G505" s="204">
        <f>F505*$H481</f>
        <v>99.734949</v>
      </c>
      <c r="H505" s="206"/>
    </row>
    <row r="506" spans="2:8">
      <c r="B506" s="83" t="s">
        <v>105</v>
      </c>
      <c r="C506" s="221">
        <f>Model!BC$155</f>
        <v>4265.1189999999997</v>
      </c>
      <c r="D506" s="204">
        <f>C506*$H481</f>
        <v>216.71069638999998</v>
      </c>
      <c r="E506" s="206"/>
      <c r="F506" s="206">
        <f t="shared" si="17"/>
        <v>4265.1189999999997</v>
      </c>
      <c r="G506" s="204">
        <f>F506*$H$699</f>
        <v>251.04490433999999</v>
      </c>
      <c r="H506" s="206"/>
    </row>
    <row r="507" spans="2:8">
      <c r="B507" s="83" t="s">
        <v>39</v>
      </c>
      <c r="C507" s="221">
        <f>Model!BC$138</f>
        <v>17666.099999999999</v>
      </c>
      <c r="D507" s="204">
        <f>C507*$H481</f>
        <v>897.61454099999992</v>
      </c>
      <c r="E507" s="206"/>
      <c r="F507" s="206">
        <f t="shared" si="17"/>
        <v>17666.099999999999</v>
      </c>
      <c r="G507" s="204">
        <f>F507*$H$699</f>
        <v>1039.826646</v>
      </c>
      <c r="H507" s="206"/>
    </row>
    <row r="508" spans="2:8">
      <c r="B508" s="83" t="s">
        <v>40</v>
      </c>
      <c r="C508" s="221">
        <f>Model!BC$139</f>
        <v>10795.95</v>
      </c>
      <c r="D508" s="204">
        <f>C508*$H481</f>
        <v>548.5422195000001</v>
      </c>
      <c r="E508" s="206"/>
      <c r="F508" s="206">
        <f t="shared" si="17"/>
        <v>10795.95</v>
      </c>
      <c r="G508" s="204">
        <f>F508*$H$699</f>
        <v>635.4496170000001</v>
      </c>
      <c r="H508" s="206"/>
    </row>
    <row r="509" spans="2:8">
      <c r="B509" s="83"/>
      <c r="C509" s="221"/>
      <c r="D509" s="204"/>
      <c r="E509" s="206"/>
      <c r="F509" s="206"/>
      <c r="G509" s="204"/>
      <c r="H509" s="206"/>
    </row>
    <row r="510" spans="2:8">
      <c r="B510" s="83" t="s">
        <v>44</v>
      </c>
      <c r="C510" s="221">
        <f>Model!BC$143</f>
        <v>5138.6869999999999</v>
      </c>
      <c r="D510" s="204">
        <f t="shared" ref="D510:D515" si="18">C510*$H$554</f>
        <v>280.34298963447901</v>
      </c>
      <c r="E510" s="206"/>
      <c r="F510" s="206">
        <f t="shared" ref="F510:F515" si="19">C510</f>
        <v>5138.6869999999999</v>
      </c>
      <c r="G510" s="204">
        <f t="shared" ref="G510:G515" si="20">F510*$H$699</f>
        <v>302.46311681999998</v>
      </c>
      <c r="H510" s="206"/>
    </row>
    <row r="511" spans="2:8">
      <c r="B511" s="83" t="s">
        <v>87</v>
      </c>
      <c r="C511" s="221">
        <f>Model!BC$145</f>
        <v>2453.625</v>
      </c>
      <c r="D511" s="204">
        <f t="shared" si="18"/>
        <v>133.85842880523734</v>
      </c>
      <c r="E511" s="206"/>
      <c r="F511" s="206">
        <f t="shared" si="19"/>
        <v>2453.625</v>
      </c>
      <c r="G511" s="204">
        <f t="shared" si="20"/>
        <v>144.4203675</v>
      </c>
      <c r="H511" s="206"/>
    </row>
    <row r="512" spans="2:8">
      <c r="B512" s="83" t="s">
        <v>52</v>
      </c>
      <c r="C512" s="221">
        <f>Model!BC$151</f>
        <v>5000</v>
      </c>
      <c r="D512" s="204">
        <f t="shared" si="18"/>
        <v>272.77686852154937</v>
      </c>
      <c r="E512" s="206"/>
      <c r="F512" s="206">
        <f t="shared" si="19"/>
        <v>5000</v>
      </c>
      <c r="G512" s="204">
        <f t="shared" si="20"/>
        <v>294.3</v>
      </c>
      <c r="H512" s="206"/>
    </row>
    <row r="513" spans="2:9">
      <c r="B513" s="83" t="s">
        <v>106</v>
      </c>
      <c r="C513" s="221">
        <f>Model!BC$152</f>
        <v>1216.998</v>
      </c>
      <c r="D513" s="204">
        <f t="shared" si="18"/>
        <v>66.393780687397722</v>
      </c>
      <c r="E513" s="206"/>
      <c r="F513" s="206">
        <f t="shared" si="19"/>
        <v>1216.998</v>
      </c>
      <c r="G513" s="204">
        <f t="shared" si="20"/>
        <v>71.632502280000011</v>
      </c>
      <c r="H513" s="206"/>
    </row>
    <row r="514" spans="2:9">
      <c r="B514" s="83" t="s">
        <v>48</v>
      </c>
      <c r="C514" s="221">
        <f>Model!BC$147</f>
        <v>2453.625</v>
      </c>
      <c r="D514" s="204">
        <f t="shared" si="18"/>
        <v>133.85842880523734</v>
      </c>
      <c r="E514" s="206"/>
      <c r="F514" s="206">
        <f t="shared" si="19"/>
        <v>2453.625</v>
      </c>
      <c r="G514" s="204">
        <f t="shared" si="20"/>
        <v>144.4203675</v>
      </c>
      <c r="H514" s="206"/>
    </row>
    <row r="515" spans="2:9">
      <c r="B515" s="83" t="s">
        <v>47</v>
      </c>
      <c r="C515" s="221">
        <f>Model!BC$147</f>
        <v>2453.625</v>
      </c>
      <c r="D515" s="204">
        <f t="shared" si="18"/>
        <v>133.85842880523734</v>
      </c>
      <c r="E515" s="206"/>
      <c r="F515" s="206">
        <f t="shared" si="19"/>
        <v>2453.625</v>
      </c>
      <c r="G515" s="204">
        <f t="shared" si="20"/>
        <v>144.4203675</v>
      </c>
      <c r="H515" s="206"/>
    </row>
    <row r="516" spans="2:9">
      <c r="B516" s="83"/>
      <c r="C516" s="221"/>
      <c r="D516" s="204"/>
      <c r="E516" s="206"/>
      <c r="F516" s="206"/>
      <c r="G516" s="204"/>
      <c r="H516" s="206"/>
    </row>
    <row r="517" spans="2:9">
      <c r="B517" s="83" t="s">
        <v>58</v>
      </c>
      <c r="C517" s="221">
        <f>Model!BC$157</f>
        <v>-818.77799999999991</v>
      </c>
      <c r="D517" s="204">
        <f>C517*$H481</f>
        <v>-41.602110179999997</v>
      </c>
      <c r="E517" s="206"/>
      <c r="F517" s="206">
        <f>C517</f>
        <v>-818.77799999999991</v>
      </c>
      <c r="G517" s="204">
        <f>F517*$H481</f>
        <v>-41.602110179999997</v>
      </c>
      <c r="H517" s="206"/>
    </row>
    <row r="518" spans="2:9">
      <c r="B518" s="161" t="s">
        <v>124</v>
      </c>
      <c r="C518" s="222">
        <f>Model!BC$170</f>
        <v>0</v>
      </c>
      <c r="D518" s="207"/>
      <c r="E518" s="207"/>
      <c r="F518" s="207"/>
      <c r="G518" s="207"/>
      <c r="H518" s="207"/>
    </row>
    <row r="519" spans="2:9">
      <c r="B519" s="35" t="s">
        <v>12</v>
      </c>
      <c r="C519" s="208">
        <f>SUM(C484:C518)</f>
        <v>178924.18800000002</v>
      </c>
      <c r="D519" s="208"/>
      <c r="E519" s="36">
        <f>+C519/C524</f>
        <v>3.2483830722027562</v>
      </c>
      <c r="F519" s="208">
        <f>SUM(F484:F518)</f>
        <v>178924.18800000002</v>
      </c>
      <c r="G519" s="208">
        <f>SUM(G484:G518)</f>
        <v>8707.3804187300011</v>
      </c>
      <c r="H519" s="36">
        <f>+F519/F524</f>
        <v>3.2483830722027562</v>
      </c>
      <c r="I519" s="145"/>
    </row>
    <row r="520" spans="2:9">
      <c r="B520" s="34" t="s">
        <v>13</v>
      </c>
      <c r="C520" s="209">
        <f>Model!BC$165</f>
        <v>8434.3169999999991</v>
      </c>
      <c r="D520" s="204">
        <f>C520*$H481</f>
        <v>428.54764676999997</v>
      </c>
      <c r="E520" s="210"/>
      <c r="F520" s="209">
        <f>C520</f>
        <v>8434.3169999999991</v>
      </c>
      <c r="G520" s="204">
        <f>F520*$H481</f>
        <v>428.54764676999997</v>
      </c>
      <c r="H520" s="210"/>
    </row>
    <row r="521" spans="2:9">
      <c r="B521" s="35" t="s">
        <v>14</v>
      </c>
      <c r="C521" s="208">
        <f>+C519-C520</f>
        <v>170489.87100000001</v>
      </c>
      <c r="D521" s="208"/>
      <c r="E521" s="36">
        <f>+C521/C524</f>
        <v>3.095257366423994</v>
      </c>
      <c r="F521" s="208">
        <f>F519-F520</f>
        <v>170489.87100000001</v>
      </c>
      <c r="G521" s="208">
        <f>+G519-G520</f>
        <v>8278.832771960002</v>
      </c>
      <c r="H521" s="36">
        <f>+F521/F524</f>
        <v>3.095257366423994</v>
      </c>
    </row>
    <row r="522" spans="2:9">
      <c r="B522" s="69" t="s">
        <v>16</v>
      </c>
      <c r="C522" s="211">
        <f>Model!BC$186</f>
        <v>127715.015</v>
      </c>
      <c r="D522" s="204"/>
      <c r="E522" s="212"/>
      <c r="F522" s="211"/>
      <c r="G522" s="204"/>
      <c r="H522" s="212"/>
    </row>
    <row r="523" spans="2:9">
      <c r="B523" s="69" t="s">
        <v>18</v>
      </c>
      <c r="C523" s="211">
        <f>C519+C522</f>
        <v>306639.20300000004</v>
      </c>
      <c r="D523" s="211"/>
      <c r="E523" s="212"/>
      <c r="F523" s="211"/>
      <c r="G523" s="211"/>
      <c r="H523" s="212"/>
    </row>
    <row r="524" spans="2:9">
      <c r="B524" s="181" t="s">
        <v>20</v>
      </c>
      <c r="C524" s="213">
        <f>Model!BC$92</f>
        <v>55081</v>
      </c>
      <c r="D524" s="213"/>
      <c r="E524" s="210"/>
      <c r="F524" s="210">
        <f>C524</f>
        <v>55081</v>
      </c>
      <c r="G524" s="213"/>
      <c r="H524" s="210"/>
    </row>
    <row r="526" spans="2:9">
      <c r="B526" s="101" t="s">
        <v>59</v>
      </c>
      <c r="C526" s="229">
        <f>Model!BC$179-Capitalisation!C519</f>
        <v>0</v>
      </c>
    </row>
    <row r="527" spans="2:9">
      <c r="B527" s="101"/>
      <c r="C527" s="103"/>
    </row>
    <row r="528" spans="2:9">
      <c r="B528" s="35" t="s">
        <v>60</v>
      </c>
      <c r="C528" s="88">
        <f>C521+Model!BC$185</f>
        <v>452835.67099999997</v>
      </c>
    </row>
    <row r="529" spans="2:8">
      <c r="B529" s="35" t="s">
        <v>61</v>
      </c>
      <c r="C529" s="36">
        <f>C528/C524</f>
        <v>8.2212681505419294</v>
      </c>
    </row>
    <row r="531" spans="2:8" ht="13.5" thickBot="1"/>
    <row r="532" spans="2:8">
      <c r="B532" s="78" t="s">
        <v>125</v>
      </c>
      <c r="C532" s="153" t="s">
        <v>4</v>
      </c>
      <c r="D532" s="153" t="s">
        <v>5</v>
      </c>
      <c r="E532" s="104"/>
      <c r="F532" s="104"/>
    </row>
    <row r="533" spans="2:8">
      <c r="B533" s="79" t="s">
        <v>108</v>
      </c>
      <c r="C533" s="276"/>
      <c r="D533" s="202">
        <f>C533*H481</f>
        <v>0</v>
      </c>
      <c r="E533" s="105"/>
      <c r="F533" s="105"/>
    </row>
    <row r="534" spans="2:8">
      <c r="B534" s="79" t="s">
        <v>63</v>
      </c>
      <c r="C534" s="202">
        <f>C520</f>
        <v>8434.3169999999991</v>
      </c>
      <c r="D534" s="202">
        <f>C534*H481</f>
        <v>428.54764676999997</v>
      </c>
      <c r="E534" s="105"/>
      <c r="F534" s="105"/>
    </row>
    <row r="535" spans="2:8" ht="13.5" thickBot="1">
      <c r="B535" s="80" t="s">
        <v>64</v>
      </c>
      <c r="C535" s="203">
        <f>SUM(C533:C534)</f>
        <v>8434.3169999999991</v>
      </c>
      <c r="D535" s="203">
        <f>SUM(D533:D534)</f>
        <v>428.54764676999997</v>
      </c>
      <c r="E535" s="105"/>
      <c r="F535" s="105"/>
    </row>
    <row r="537" spans="2:8">
      <c r="C537" s="30"/>
    </row>
    <row r="538" spans="2:8" ht="13.5" thickBot="1"/>
    <row r="539" spans="2:8" ht="13.5" thickBot="1">
      <c r="B539" s="78" t="s">
        <v>125</v>
      </c>
      <c r="C539" s="189" t="s">
        <v>4</v>
      </c>
      <c r="D539" s="186" t="s">
        <v>5</v>
      </c>
      <c r="E539" s="66"/>
    </row>
    <row r="540" spans="2:8">
      <c r="B540" s="144">
        <v>2024</v>
      </c>
      <c r="C540" s="199">
        <f>Model!BC$114</f>
        <v>4721.8279999999995</v>
      </c>
      <c r="D540" s="200">
        <f>+C540*$H481</f>
        <v>239.91608067999999</v>
      </c>
      <c r="F540" s="271" t="s">
        <v>126</v>
      </c>
      <c r="G540" s="272"/>
    </row>
    <row r="541" spans="2:8">
      <c r="B541" s="144">
        <v>2025</v>
      </c>
      <c r="C541" s="199">
        <v>350.59399999999999</v>
      </c>
      <c r="D541" s="200">
        <f>+C541*$H481</f>
        <v>17.81368114</v>
      </c>
      <c r="F541" s="272" t="s">
        <v>70</v>
      </c>
      <c r="G541" s="215">
        <v>0.53</v>
      </c>
      <c r="H541" s="273"/>
    </row>
    <row r="542" spans="2:8">
      <c r="B542" s="144">
        <v>2026</v>
      </c>
      <c r="C542" s="199">
        <v>13234.986999999999</v>
      </c>
      <c r="D542" s="200">
        <f>+C542*$H481</f>
        <v>672.46968946999993</v>
      </c>
      <c r="F542" s="272" t="s">
        <v>71</v>
      </c>
      <c r="G542" s="215">
        <v>0.03</v>
      </c>
      <c r="H542" s="273"/>
    </row>
    <row r="543" spans="2:8">
      <c r="B543" s="144">
        <v>2027</v>
      </c>
      <c r="C543" s="199">
        <v>13349.602999999999</v>
      </c>
      <c r="D543" s="200">
        <f>+C543*$H481</f>
        <v>678.29332842999997</v>
      </c>
      <c r="F543" s="272" t="s">
        <v>72</v>
      </c>
      <c r="G543" s="215">
        <v>0.38</v>
      </c>
      <c r="H543" s="273"/>
    </row>
    <row r="544" spans="2:8">
      <c r="B544" s="144">
        <v>2028</v>
      </c>
      <c r="C544" s="199">
        <v>9464.9560000000001</v>
      </c>
      <c r="D544" s="200">
        <f>+C544*$H481</f>
        <v>480.91441436000002</v>
      </c>
      <c r="F544" s="272" t="s">
        <v>73</v>
      </c>
      <c r="G544" s="215">
        <v>0.06</v>
      </c>
      <c r="H544" s="273"/>
    </row>
    <row r="545" spans="2:13">
      <c r="B545" s="144" t="s">
        <v>89</v>
      </c>
      <c r="C545" s="199">
        <v>104513.542</v>
      </c>
      <c r="D545" s="200">
        <f>+C545*$H481</f>
        <v>5310.33306902</v>
      </c>
    </row>
    <row r="546" spans="2:13" ht="13.5" thickBot="1">
      <c r="B546" s="144" t="s">
        <v>67</v>
      </c>
      <c r="C546" s="246">
        <f>C484</f>
        <v>33288.678</v>
      </c>
      <c r="D546" s="200">
        <f>+C546*$H481</f>
        <v>1691.3977291799999</v>
      </c>
      <c r="G546" s="127"/>
    </row>
    <row r="547" spans="2:13" ht="13.5" thickBot="1">
      <c r="B547" s="185" t="s">
        <v>68</v>
      </c>
      <c r="C547" s="198">
        <f>SUM(C540:C546)</f>
        <v>178924.18800000002</v>
      </c>
      <c r="D547" s="201">
        <f>+C547*$H481</f>
        <v>9091.1379922800006</v>
      </c>
      <c r="G547" s="127"/>
    </row>
    <row r="554" spans="2:13">
      <c r="G554" s="66" t="s">
        <v>127</v>
      </c>
      <c r="H554" s="241">
        <f>Model!BB$267</f>
        <v>5.4555373704309879E-2</v>
      </c>
      <c r="J554" s="184" t="s">
        <v>8</v>
      </c>
    </row>
    <row r="555" spans="2:13">
      <c r="B555" s="391" t="s">
        <v>128</v>
      </c>
      <c r="C555" s="391"/>
      <c r="D555" s="391"/>
      <c r="E555" s="391"/>
      <c r="F555" s="391"/>
      <c r="G555" s="391"/>
      <c r="H555" s="391"/>
      <c r="I555" s="82"/>
      <c r="J555" s="392" t="s">
        <v>129</v>
      </c>
      <c r="K555" s="392"/>
      <c r="L555" s="392"/>
      <c r="M555" s="175"/>
    </row>
    <row r="556" spans="2:13" ht="25.5">
      <c r="B556" s="26" t="s">
        <v>4</v>
      </c>
      <c r="C556" s="106" t="s">
        <v>4</v>
      </c>
      <c r="D556" s="106" t="s">
        <v>5</v>
      </c>
      <c r="E556" s="166" t="s">
        <v>94</v>
      </c>
      <c r="F556" s="106" t="s">
        <v>4</v>
      </c>
      <c r="G556" s="106" t="s">
        <v>5</v>
      </c>
      <c r="H556" s="166" t="s">
        <v>95</v>
      </c>
      <c r="I556" s="27"/>
      <c r="J556" s="26"/>
      <c r="K556" s="106" t="s">
        <v>4</v>
      </c>
      <c r="L556" s="106" t="s">
        <v>5</v>
      </c>
      <c r="M556" s="106" t="s">
        <v>85</v>
      </c>
    </row>
    <row r="557" spans="2:13">
      <c r="B557" s="83" t="s">
        <v>10</v>
      </c>
      <c r="C557" s="221">
        <f>Model!BB$176</f>
        <v>30180.288</v>
      </c>
      <c r="D557" s="204">
        <f>C557*$H554</f>
        <v>1646.4968903436991</v>
      </c>
      <c r="E557" s="205"/>
      <c r="F557" s="206">
        <f>C557</f>
        <v>30180.288</v>
      </c>
      <c r="G557" s="204">
        <f>F557*$H554</f>
        <v>1646.4968903436991</v>
      </c>
      <c r="H557" s="205"/>
      <c r="I557" s="27"/>
      <c r="J557" s="26"/>
      <c r="K557" s="106"/>
      <c r="L557" s="106"/>
      <c r="M557" s="106"/>
    </row>
    <row r="558" spans="2:13">
      <c r="B558" s="100" t="s">
        <v>11</v>
      </c>
      <c r="C558" s="221"/>
      <c r="D558" s="204"/>
      <c r="E558" s="206"/>
      <c r="F558" s="206"/>
      <c r="G558" s="174"/>
      <c r="H558" s="206"/>
      <c r="J558" s="178" t="s">
        <v>12</v>
      </c>
      <c r="K558" s="217">
        <f>Model!BB$115+Model!BB$114</f>
        <v>135495.318</v>
      </c>
      <c r="L558" s="217">
        <f>K558*$H554</f>
        <v>7391.9977086743047</v>
      </c>
      <c r="M558" s="180">
        <f>+K558/K563</f>
        <v>2.5134547377012688</v>
      </c>
    </row>
    <row r="559" spans="2:13">
      <c r="B559" s="83"/>
      <c r="C559" s="221"/>
      <c r="D559" s="204"/>
      <c r="E559" s="206"/>
      <c r="F559" s="206"/>
      <c r="G559" s="204"/>
      <c r="H559" s="206"/>
      <c r="J559" s="181" t="s">
        <v>13</v>
      </c>
      <c r="K559" s="218">
        <f>C593</f>
        <v>7615.62</v>
      </c>
      <c r="L559" s="217">
        <f>K559*$H554</f>
        <v>415.47299509001641</v>
      </c>
      <c r="M559" s="175"/>
    </row>
    <row r="560" spans="2:13">
      <c r="B560" s="83"/>
      <c r="C560" s="221"/>
      <c r="D560" s="204"/>
      <c r="E560" s="206"/>
      <c r="F560" s="206"/>
      <c r="G560" s="204"/>
      <c r="H560" s="206"/>
      <c r="J560" s="178" t="s">
        <v>14</v>
      </c>
      <c r="K560" s="217">
        <f>+K558-K559</f>
        <v>127879.698</v>
      </c>
      <c r="L560" s="217">
        <f>K560*$H554</f>
        <v>6976.5247135842892</v>
      </c>
      <c r="M560" s="180">
        <f>+K560/K563</f>
        <v>2.3721840543147588</v>
      </c>
    </row>
    <row r="561" spans="2:13">
      <c r="B561" s="83" t="s">
        <v>17</v>
      </c>
      <c r="C561" s="221">
        <f>Model!BB$120</f>
        <v>0</v>
      </c>
      <c r="D561" s="204">
        <f>C561*$H554</f>
        <v>0</v>
      </c>
      <c r="E561" s="206"/>
      <c r="F561" s="206">
        <f>C561</f>
        <v>0</v>
      </c>
      <c r="G561" s="204">
        <f>F561*$H554</f>
        <v>0</v>
      </c>
      <c r="H561" s="206"/>
      <c r="J561" s="183" t="s">
        <v>16</v>
      </c>
      <c r="K561" s="219">
        <f>C595</f>
        <v>116667.886</v>
      </c>
      <c r="L561" s="275">
        <f>K561*$H554</f>
        <v>6364.8601200218227</v>
      </c>
      <c r="M561" s="175"/>
    </row>
    <row r="562" spans="2:13">
      <c r="B562" s="83" t="s">
        <v>15</v>
      </c>
      <c r="C562" s="221">
        <f>Model!BB$119</f>
        <v>9142.7070000000003</v>
      </c>
      <c r="D562" s="204">
        <f>C562*$H554</f>
        <v>498.78379705400988</v>
      </c>
      <c r="E562" s="206"/>
      <c r="F562" s="206">
        <f t="shared" ref="F562:F565" si="21">C562</f>
        <v>9142.7070000000003</v>
      </c>
      <c r="G562" s="204">
        <f>F562*$H554</f>
        <v>498.78379705400988</v>
      </c>
      <c r="H562" s="206"/>
      <c r="J562" s="183" t="s">
        <v>18</v>
      </c>
      <c r="K562" s="219">
        <f>K558+K561</f>
        <v>252163.204</v>
      </c>
      <c r="L562" s="219"/>
      <c r="M562" s="175"/>
    </row>
    <row r="563" spans="2:13">
      <c r="B563" s="83" t="s">
        <v>96</v>
      </c>
      <c r="C563" s="221">
        <f>Model!BB$132</f>
        <v>11945.245000000001</v>
      </c>
      <c r="D563" s="204">
        <f>C563*$H554</f>
        <v>651.67730496453908</v>
      </c>
      <c r="E563" s="206"/>
      <c r="F563" s="206">
        <f t="shared" si="21"/>
        <v>11945.245000000001</v>
      </c>
      <c r="G563" s="204">
        <f>F563*$H554</f>
        <v>651.67730496453908</v>
      </c>
      <c r="H563" s="206"/>
      <c r="J563" s="181" t="s">
        <v>20</v>
      </c>
      <c r="K563" s="220">
        <f>C597</f>
        <v>53908</v>
      </c>
      <c r="L563" s="220"/>
      <c r="M563" s="175"/>
    </row>
    <row r="564" spans="2:13">
      <c r="B564" s="83" t="s">
        <v>34</v>
      </c>
      <c r="C564" s="221">
        <f>Model!BB$133</f>
        <v>10291.564</v>
      </c>
      <c r="D564" s="204">
        <f>C564*$H554</f>
        <v>561.46012002182226</v>
      </c>
      <c r="E564" s="206"/>
      <c r="F564" s="206">
        <f t="shared" si="21"/>
        <v>10291.564</v>
      </c>
      <c r="G564" s="204">
        <f>F564*$H554</f>
        <v>561.46012002182226</v>
      </c>
      <c r="H564" s="206"/>
      <c r="J564" s="181"/>
      <c r="K564" s="220"/>
      <c r="L564" s="220"/>
      <c r="M564" s="175"/>
    </row>
    <row r="565" spans="2:13">
      <c r="B565" s="83" t="s">
        <v>57</v>
      </c>
      <c r="C565" s="221">
        <f>Model!BB$156</f>
        <v>10755.627</v>
      </c>
      <c r="D565" s="204">
        <f>C565*$H554</f>
        <v>586.77725040916539</v>
      </c>
      <c r="E565" s="206"/>
      <c r="F565" s="206">
        <f t="shared" si="21"/>
        <v>10755.627</v>
      </c>
      <c r="G565" s="204">
        <f>F565*$H554</f>
        <v>586.77725040916539</v>
      </c>
      <c r="H565" s="206"/>
      <c r="J565" s="181"/>
      <c r="K565" s="220"/>
      <c r="L565" s="220"/>
      <c r="M565" s="175"/>
    </row>
    <row r="566" spans="2:13">
      <c r="B566" s="100" t="s">
        <v>97</v>
      </c>
      <c r="C566" s="221"/>
      <c r="D566" s="204"/>
      <c r="E566" s="206"/>
      <c r="F566" s="206"/>
      <c r="G566" s="204"/>
      <c r="H566" s="206"/>
    </row>
    <row r="567" spans="2:13">
      <c r="B567" s="83" t="s">
        <v>26</v>
      </c>
      <c r="C567" s="221">
        <f>Model!BB$125</f>
        <v>7706.3389999999999</v>
      </c>
      <c r="D567" s="204">
        <f>C567*$H554</f>
        <v>420.42220403709769</v>
      </c>
      <c r="E567" s="206"/>
      <c r="F567" s="206">
        <f>C567</f>
        <v>7706.3389999999999</v>
      </c>
      <c r="G567" s="204">
        <f>F567*$H554</f>
        <v>420.42220403709769</v>
      </c>
      <c r="H567" s="206"/>
      <c r="I567" s="102"/>
    </row>
    <row r="568" spans="2:13">
      <c r="B568" s="83" t="s">
        <v>27</v>
      </c>
      <c r="C568" s="221">
        <f>Model!BB$126</f>
        <v>3000</v>
      </c>
      <c r="D568" s="204">
        <f>C568*$H554</f>
        <v>163.66612111292963</v>
      </c>
      <c r="E568" s="206"/>
      <c r="F568" s="206">
        <f>C568</f>
        <v>3000</v>
      </c>
      <c r="G568" s="204">
        <f>F568*$H554</f>
        <v>163.66612111292963</v>
      </c>
      <c r="H568" s="206"/>
      <c r="I568" s="102"/>
    </row>
    <row r="569" spans="2:13">
      <c r="B569" s="83" t="s">
        <v>30</v>
      </c>
      <c r="C569" s="221">
        <f>Model!BB$129</f>
        <v>9633.1020000000008</v>
      </c>
      <c r="D569" s="204">
        <f>C569*$H554</f>
        <v>525.53747954173491</v>
      </c>
      <c r="E569" s="206"/>
      <c r="F569" s="206">
        <f>C569</f>
        <v>9633.1020000000008</v>
      </c>
      <c r="G569" s="204">
        <f>F569*$H554</f>
        <v>525.53747954173491</v>
      </c>
      <c r="H569" s="206"/>
    </row>
    <row r="570" spans="2:13">
      <c r="B570" s="83" t="s">
        <v>32</v>
      </c>
      <c r="C570" s="221">
        <f>Model!BB$131</f>
        <v>12000</v>
      </c>
      <c r="D570" s="204">
        <f>C570*$H554</f>
        <v>654.66448445171852</v>
      </c>
      <c r="E570" s="206"/>
      <c r="F570" s="206">
        <f>C570</f>
        <v>12000</v>
      </c>
      <c r="G570" s="204">
        <f>F570*$H554</f>
        <v>654.66448445171852</v>
      </c>
      <c r="H570" s="206"/>
    </row>
    <row r="571" spans="2:13">
      <c r="B571" s="100" t="s">
        <v>98</v>
      </c>
      <c r="C571" s="221"/>
      <c r="D571" s="204"/>
      <c r="E571" s="206"/>
      <c r="F571" s="206"/>
      <c r="G571" s="204"/>
      <c r="H571" s="206"/>
    </row>
    <row r="572" spans="2:13">
      <c r="B572" s="100" t="s">
        <v>99</v>
      </c>
      <c r="C572" s="221"/>
      <c r="D572" s="204">
        <f>C572*$H554</f>
        <v>0</v>
      </c>
      <c r="E572" s="206"/>
      <c r="F572" s="206">
        <f t="shared" ref="F572:F581" si="22">C572</f>
        <v>0</v>
      </c>
      <c r="G572" s="204">
        <f>F572*$H554</f>
        <v>0</v>
      </c>
      <c r="H572" s="206"/>
    </row>
    <row r="573" spans="2:13">
      <c r="B573" s="83" t="s">
        <v>99</v>
      </c>
      <c r="C573" s="221"/>
      <c r="D573" s="204">
        <f>C573*$H554</f>
        <v>0</v>
      </c>
      <c r="E573" s="206"/>
      <c r="F573" s="206">
        <f t="shared" si="22"/>
        <v>0</v>
      </c>
      <c r="G573" s="204">
        <f>F573*$H554</f>
        <v>0</v>
      </c>
      <c r="H573" s="206"/>
    </row>
    <row r="574" spans="2:13">
      <c r="B574" s="83" t="s">
        <v>100</v>
      </c>
      <c r="C574" s="221"/>
      <c r="D574" s="204">
        <f>C574*$H554</f>
        <v>0</v>
      </c>
      <c r="E574" s="206"/>
      <c r="F574" s="206">
        <f t="shared" si="22"/>
        <v>0</v>
      </c>
      <c r="G574" s="204">
        <f>F574*$H554</f>
        <v>0</v>
      </c>
      <c r="H574" s="206"/>
    </row>
    <row r="575" spans="2:13">
      <c r="B575" s="83" t="s">
        <v>101</v>
      </c>
      <c r="C575" s="221"/>
      <c r="D575" s="204">
        <f>C575*$H554</f>
        <v>0</v>
      </c>
      <c r="E575" s="206"/>
      <c r="F575" s="206">
        <f t="shared" si="22"/>
        <v>0</v>
      </c>
      <c r="G575" s="204">
        <f>F575*$H554</f>
        <v>0</v>
      </c>
      <c r="H575" s="206"/>
    </row>
    <row r="576" spans="2:13">
      <c r="B576" s="83" t="s">
        <v>102</v>
      </c>
      <c r="C576" s="221"/>
      <c r="D576" s="204">
        <f>C576*$H554</f>
        <v>0</v>
      </c>
      <c r="E576" s="206"/>
      <c r="F576" s="206">
        <f t="shared" si="22"/>
        <v>0</v>
      </c>
      <c r="G576" s="204">
        <f>F576*$H554</f>
        <v>0</v>
      </c>
      <c r="H576" s="206"/>
    </row>
    <row r="577" spans="2:9">
      <c r="B577" s="83" t="s">
        <v>103</v>
      </c>
      <c r="C577" s="221">
        <f>Model!BB$141</f>
        <v>14701.84</v>
      </c>
      <c r="D577" s="204">
        <f>C577*$H554</f>
        <v>802.0643753409712</v>
      </c>
      <c r="E577" s="206"/>
      <c r="F577" s="206">
        <f t="shared" si="22"/>
        <v>14701.84</v>
      </c>
      <c r="G577" s="204">
        <f>F577*$H555</f>
        <v>0</v>
      </c>
      <c r="H577" s="206"/>
    </row>
    <row r="578" spans="2:9">
      <c r="B578" s="83" t="s">
        <v>104</v>
      </c>
      <c r="C578" s="221">
        <f>Model!BB$144</f>
        <v>1837.73</v>
      </c>
      <c r="D578" s="204">
        <f>C578*$H554</f>
        <v>100.2580469176214</v>
      </c>
      <c r="E578" s="206"/>
      <c r="F578" s="206">
        <f t="shared" si="22"/>
        <v>1837.73</v>
      </c>
      <c r="G578" s="204">
        <f>F578*$H554</f>
        <v>100.2580469176214</v>
      </c>
      <c r="H578" s="206"/>
    </row>
    <row r="579" spans="2:9">
      <c r="B579" s="83" t="s">
        <v>105</v>
      </c>
      <c r="C579" s="221">
        <f>Model!BB$155</f>
        <v>3678.2359999999999</v>
      </c>
      <c r="D579" s="204">
        <f>C579*$H554</f>
        <v>200.66753955264593</v>
      </c>
      <c r="E579" s="206"/>
      <c r="F579" s="206">
        <f t="shared" si="22"/>
        <v>3678.2359999999999</v>
      </c>
      <c r="G579" s="204">
        <f>F579*$H$699</f>
        <v>216.50097095999999</v>
      </c>
      <c r="H579" s="206"/>
    </row>
    <row r="580" spans="2:9">
      <c r="B580" s="83" t="s">
        <v>39</v>
      </c>
      <c r="C580" s="221">
        <f>Model!BB$138</f>
        <v>16539.57</v>
      </c>
      <c r="D580" s="204">
        <f>C580*$H554</f>
        <v>902.3224222585925</v>
      </c>
      <c r="E580" s="206"/>
      <c r="F580" s="206">
        <f t="shared" si="22"/>
        <v>16539.57</v>
      </c>
      <c r="G580" s="204">
        <f>F580*$H$699</f>
        <v>973.51909020000005</v>
      </c>
      <c r="H580" s="206"/>
    </row>
    <row r="581" spans="2:9">
      <c r="B581" s="83" t="s">
        <v>40</v>
      </c>
      <c r="C581" s="221">
        <f>Model!BB$139</f>
        <v>10107.514999999999</v>
      </c>
      <c r="D581" s="204">
        <f>C581*$H554</f>
        <v>551.41925804691766</v>
      </c>
      <c r="E581" s="206"/>
      <c r="F581" s="206">
        <f t="shared" si="22"/>
        <v>10107.514999999999</v>
      </c>
      <c r="G581" s="204">
        <f>F581*$H$699</f>
        <v>594.92833289999999</v>
      </c>
      <c r="H581" s="206"/>
    </row>
    <row r="582" spans="2:9">
      <c r="B582" s="83"/>
      <c r="C582" s="221"/>
      <c r="D582" s="204"/>
      <c r="E582" s="206"/>
      <c r="F582" s="206"/>
      <c r="G582" s="204"/>
      <c r="H582" s="206"/>
    </row>
    <row r="583" spans="2:9">
      <c r="B583" s="83" t="s">
        <v>44</v>
      </c>
      <c r="C583" s="221">
        <f>Model!BB$143</f>
        <v>0</v>
      </c>
      <c r="D583" s="204">
        <f t="shared" ref="D583:D588" si="23">C583*$H$554</f>
        <v>0</v>
      </c>
      <c r="E583" s="206"/>
      <c r="F583" s="206">
        <f t="shared" ref="F583:F588" si="24">C583</f>
        <v>0</v>
      </c>
      <c r="G583" s="204">
        <f t="shared" ref="G583:G588" si="25">F583*$H$699</f>
        <v>0</v>
      </c>
      <c r="H583" s="206"/>
    </row>
    <row r="584" spans="2:9">
      <c r="B584" s="83" t="s">
        <v>87</v>
      </c>
      <c r="C584" s="221">
        <f>Model!BB$145</f>
        <v>2297.1619999999998</v>
      </c>
      <c r="D584" s="204">
        <f t="shared" si="23"/>
        <v>125.32253136933988</v>
      </c>
      <c r="E584" s="206"/>
      <c r="F584" s="206">
        <f t="shared" si="24"/>
        <v>2297.1619999999998</v>
      </c>
      <c r="G584" s="204">
        <f t="shared" si="25"/>
        <v>135.21095531999998</v>
      </c>
      <c r="H584" s="206"/>
    </row>
    <row r="585" spans="2:9">
      <c r="B585" s="83" t="s">
        <v>52</v>
      </c>
      <c r="C585" s="221">
        <f>Model!BB$151</f>
        <v>5000</v>
      </c>
      <c r="D585" s="204">
        <f t="shared" si="23"/>
        <v>272.77686852154937</v>
      </c>
      <c r="E585" s="206"/>
      <c r="F585" s="206">
        <f t="shared" si="24"/>
        <v>5000</v>
      </c>
      <c r="G585" s="204">
        <f t="shared" si="25"/>
        <v>294.3</v>
      </c>
      <c r="H585" s="206"/>
    </row>
    <row r="586" spans="2:9">
      <c r="B586" s="83" t="s">
        <v>106</v>
      </c>
      <c r="C586" s="221">
        <f>Model!BB$152</f>
        <v>3056.9549999999999</v>
      </c>
      <c r="D586" s="204">
        <f t="shared" si="23"/>
        <v>166.77332242225859</v>
      </c>
      <c r="E586" s="206"/>
      <c r="F586" s="206">
        <f t="shared" si="24"/>
        <v>3056.9549999999999</v>
      </c>
      <c r="G586" s="204">
        <f t="shared" si="25"/>
        <v>179.9323713</v>
      </c>
      <c r="H586" s="206"/>
    </row>
    <row r="587" spans="2:9">
      <c r="B587" s="83" t="s">
        <v>48</v>
      </c>
      <c r="C587" s="221">
        <f>Model!BB$147</f>
        <v>2297.1619999999998</v>
      </c>
      <c r="D587" s="204">
        <f t="shared" si="23"/>
        <v>125.32253136933988</v>
      </c>
      <c r="E587" s="206"/>
      <c r="F587" s="206">
        <f t="shared" si="24"/>
        <v>2297.1619999999998</v>
      </c>
      <c r="G587" s="204">
        <f t="shared" si="25"/>
        <v>135.21095531999998</v>
      </c>
      <c r="H587" s="206"/>
    </row>
    <row r="588" spans="2:9">
      <c r="B588" s="83" t="s">
        <v>47</v>
      </c>
      <c r="C588" s="221">
        <f>Model!BB$147</f>
        <v>2297.1619999999998</v>
      </c>
      <c r="D588" s="204">
        <f t="shared" si="23"/>
        <v>125.32253136933988</v>
      </c>
      <c r="E588" s="206"/>
      <c r="F588" s="206">
        <f t="shared" si="24"/>
        <v>2297.1619999999998</v>
      </c>
      <c r="G588" s="204">
        <f t="shared" si="25"/>
        <v>135.21095531999998</v>
      </c>
      <c r="H588" s="206"/>
    </row>
    <row r="589" spans="2:9">
      <c r="B589" s="83"/>
      <c r="C589" s="221"/>
      <c r="D589" s="204"/>
      <c r="E589" s="206"/>
      <c r="F589" s="206"/>
      <c r="G589" s="204"/>
      <c r="H589" s="206"/>
    </row>
    <row r="590" spans="2:9">
      <c r="B590" s="83" t="s">
        <v>58</v>
      </c>
      <c r="C590" s="221">
        <f>Model!BB$157</f>
        <v>-792.59799999999996</v>
      </c>
      <c r="D590" s="204">
        <f>C590*$H554</f>
        <v>-43.240480087288596</v>
      </c>
      <c r="E590" s="206"/>
      <c r="F590" s="206">
        <f>C590</f>
        <v>-792.59799999999996</v>
      </c>
      <c r="G590" s="204">
        <f>F590*$H554</f>
        <v>-43.240480087288596</v>
      </c>
      <c r="H590" s="206"/>
    </row>
    <row r="591" spans="2:9">
      <c r="B591" s="161" t="s">
        <v>124</v>
      </c>
      <c r="C591" s="222">
        <f>Model!BA$170</f>
        <v>0</v>
      </c>
      <c r="D591" s="207"/>
      <c r="E591" s="207"/>
      <c r="F591" s="207"/>
      <c r="G591" s="207"/>
      <c r="H591" s="207"/>
    </row>
    <row r="592" spans="2:9">
      <c r="B592" s="35" t="s">
        <v>12</v>
      </c>
      <c r="C592" s="208">
        <f>SUM(C557:C591)</f>
        <v>165675.60600000006</v>
      </c>
      <c r="D592" s="208"/>
      <c r="E592" s="36">
        <f>+C592/C597</f>
        <v>3.0733027750983166</v>
      </c>
      <c r="F592" s="208">
        <f>SUM(F557:F591)</f>
        <v>165675.60600000006</v>
      </c>
      <c r="G592" s="208">
        <f>SUM(G557:G591)</f>
        <v>8431.3168500870506</v>
      </c>
      <c r="H592" s="36">
        <f>+F592/F597</f>
        <v>3.0733027750983166</v>
      </c>
      <c r="I592" s="145"/>
    </row>
    <row r="593" spans="2:8">
      <c r="B593" s="34" t="s">
        <v>13</v>
      </c>
      <c r="C593" s="209">
        <f>Model!BB$165</f>
        <v>7615.62</v>
      </c>
      <c r="D593" s="204">
        <f>C593*$H554</f>
        <v>415.47299509001641</v>
      </c>
      <c r="E593" s="210"/>
      <c r="F593" s="209">
        <f>C593</f>
        <v>7615.62</v>
      </c>
      <c r="G593" s="204">
        <f>F593*$H554</f>
        <v>415.47299509001641</v>
      </c>
      <c r="H593" s="210"/>
    </row>
    <row r="594" spans="2:8">
      <c r="B594" s="35" t="s">
        <v>14</v>
      </c>
      <c r="C594" s="208">
        <f>+C592-C593</f>
        <v>158059.98600000006</v>
      </c>
      <c r="D594" s="208"/>
      <c r="E594" s="36">
        <f>+C594/C597</f>
        <v>2.9320320917118066</v>
      </c>
      <c r="F594" s="208">
        <f>F592-F593</f>
        <v>158059.98600000006</v>
      </c>
      <c r="G594" s="208">
        <f>+G592-G593</f>
        <v>8015.8438549970342</v>
      </c>
      <c r="H594" s="36">
        <f>+F594/F597</f>
        <v>2.9320320917118066</v>
      </c>
    </row>
    <row r="595" spans="2:8">
      <c r="B595" s="69" t="s">
        <v>16</v>
      </c>
      <c r="C595" s="211">
        <f>Model!BB$186</f>
        <v>116667.886</v>
      </c>
      <c r="D595" s="204"/>
      <c r="E595" s="212"/>
      <c r="F595" s="211"/>
      <c r="G595" s="204"/>
      <c r="H595" s="212"/>
    </row>
    <row r="596" spans="2:8">
      <c r="B596" s="69" t="s">
        <v>18</v>
      </c>
      <c r="C596" s="211">
        <f>C592+C595</f>
        <v>282343.49200000009</v>
      </c>
      <c r="D596" s="211"/>
      <c r="E596" s="212"/>
      <c r="F596" s="211"/>
      <c r="G596" s="211"/>
      <c r="H596" s="212"/>
    </row>
    <row r="597" spans="2:8">
      <c r="B597" s="181" t="s">
        <v>20</v>
      </c>
      <c r="C597" s="213">
        <f>Model!BB$92</f>
        <v>53908</v>
      </c>
      <c r="D597" s="213"/>
      <c r="E597" s="210"/>
      <c r="F597" s="210">
        <f>C597</f>
        <v>53908</v>
      </c>
      <c r="G597" s="213"/>
      <c r="H597" s="210"/>
    </row>
    <row r="599" spans="2:8">
      <c r="B599" s="101" t="s">
        <v>59</v>
      </c>
      <c r="C599" s="229">
        <f>Model!BB$179-Capitalisation!C592</f>
        <v>0</v>
      </c>
    </row>
    <row r="600" spans="2:8">
      <c r="B600" s="101"/>
      <c r="C600" s="103"/>
    </row>
    <row r="601" spans="2:8">
      <c r="B601" s="35" t="s">
        <v>60</v>
      </c>
      <c r="C601" s="88">
        <f>C594+Model!BB$185</f>
        <v>442617.98600000003</v>
      </c>
    </row>
    <row r="602" spans="2:8">
      <c r="B602" s="35" t="s">
        <v>61</v>
      </c>
      <c r="C602" s="36">
        <f>C601/C597</f>
        <v>8.2106178303776804</v>
      </c>
    </row>
    <row r="604" spans="2:8" ht="13.5" thickBot="1"/>
    <row r="605" spans="2:8">
      <c r="B605" s="78" t="s">
        <v>125</v>
      </c>
      <c r="C605" s="153" t="s">
        <v>4</v>
      </c>
      <c r="D605" s="153" t="s">
        <v>5</v>
      </c>
      <c r="E605" s="104"/>
      <c r="F605" s="104"/>
    </row>
    <row r="606" spans="2:8">
      <c r="B606" s="79" t="s">
        <v>108</v>
      </c>
      <c r="C606" s="276"/>
      <c r="D606" s="202">
        <f>C606*H554</f>
        <v>0</v>
      </c>
      <c r="E606" s="105"/>
      <c r="F606" s="105"/>
    </row>
    <row r="607" spans="2:8">
      <c r="B607" s="79" t="s">
        <v>63</v>
      </c>
      <c r="C607" s="202">
        <f>C593</f>
        <v>7615.62</v>
      </c>
      <c r="D607" s="202">
        <f>C607*H554</f>
        <v>415.47299509001641</v>
      </c>
      <c r="E607" s="105"/>
      <c r="F607" s="105"/>
    </row>
    <row r="608" spans="2:8" ht="13.5" thickBot="1">
      <c r="B608" s="80" t="s">
        <v>64</v>
      </c>
      <c r="C608" s="203">
        <f>SUM(C606:C607)</f>
        <v>7615.62</v>
      </c>
      <c r="D608" s="203">
        <f>SUM(D606:D607)</f>
        <v>415.47299509001641</v>
      </c>
      <c r="E608" s="105"/>
      <c r="F608" s="105"/>
    </row>
    <row r="610" spans="2:8">
      <c r="C610" s="30"/>
    </row>
    <row r="611" spans="2:8" ht="13.5" thickBot="1"/>
    <row r="612" spans="2:8" ht="13.5" thickBot="1">
      <c r="B612" s="78" t="s">
        <v>125</v>
      </c>
      <c r="C612" s="189" t="s">
        <v>4</v>
      </c>
      <c r="D612" s="186" t="s">
        <v>5</v>
      </c>
      <c r="E612" s="66"/>
    </row>
    <row r="613" spans="2:8">
      <c r="B613" s="144">
        <v>2024</v>
      </c>
      <c r="C613" s="199">
        <f>Model!BB$114</f>
        <v>2532.3130000000001</v>
      </c>
      <c r="D613" s="200">
        <f>+C613*$H554</f>
        <v>138.15128205128207</v>
      </c>
      <c r="F613" s="271" t="s">
        <v>126</v>
      </c>
      <c r="G613" s="272"/>
    </row>
    <row r="614" spans="2:8">
      <c r="B614" s="144">
        <v>2025</v>
      </c>
      <c r="C614" s="199">
        <v>347.48700000000002</v>
      </c>
      <c r="D614" s="200">
        <f>+C614*$H554</f>
        <v>18.957283142389528</v>
      </c>
      <c r="F614" s="272" t="s">
        <v>70</v>
      </c>
      <c r="G614" s="215">
        <v>0.51</v>
      </c>
      <c r="H614" s="273"/>
    </row>
    <row r="615" spans="2:8">
      <c r="B615" s="144">
        <v>2026</v>
      </c>
      <c r="C615" s="199">
        <v>14726.866</v>
      </c>
      <c r="D615" s="200">
        <f>+C615*$H554</f>
        <v>803.42967812329516</v>
      </c>
      <c r="F615" s="272" t="s">
        <v>71</v>
      </c>
      <c r="G615" s="215">
        <v>0.03</v>
      </c>
      <c r="H615" s="273"/>
    </row>
    <row r="616" spans="2:8">
      <c r="B616" s="144">
        <v>2027</v>
      </c>
      <c r="C616" s="199">
        <v>12906.853999999999</v>
      </c>
      <c r="D616" s="200">
        <f>+C616*$H554</f>
        <v>704.13824331696674</v>
      </c>
      <c r="F616" s="272" t="s">
        <v>72</v>
      </c>
      <c r="G616" s="215">
        <v>0.4</v>
      </c>
      <c r="H616" s="273"/>
    </row>
    <row r="617" spans="2:8">
      <c r="B617" s="144">
        <v>2028</v>
      </c>
      <c r="C617" s="199">
        <v>9135.8559999999998</v>
      </c>
      <c r="D617" s="200">
        <f>+C617*$H554</f>
        <v>498.41003818876163</v>
      </c>
      <c r="F617" s="272" t="s">
        <v>73</v>
      </c>
      <c r="G617" s="215">
        <v>0.06</v>
      </c>
      <c r="H617" s="273"/>
    </row>
    <row r="618" spans="2:8">
      <c r="B618" s="144" t="s">
        <v>89</v>
      </c>
      <c r="C618" s="199">
        <v>95845.941999999995</v>
      </c>
      <c r="D618" s="200">
        <f>+C618*$H554</f>
        <v>5228.9111838516092</v>
      </c>
    </row>
    <row r="619" spans="2:8" ht="13.5" thickBot="1">
      <c r="B619" s="144" t="s">
        <v>67</v>
      </c>
      <c r="C619" s="246">
        <f>C557</f>
        <v>30180.288</v>
      </c>
      <c r="D619" s="200">
        <f>+C619*$H554</f>
        <v>1646.4968903436991</v>
      </c>
      <c r="G619" s="127"/>
    </row>
    <row r="620" spans="2:8" ht="13.5" thickBot="1">
      <c r="B620" s="185" t="s">
        <v>68</v>
      </c>
      <c r="C620" s="198">
        <f>SUM(C613:C619)</f>
        <v>165675.606</v>
      </c>
      <c r="D620" s="201">
        <f>+C620*$H554</f>
        <v>9038.494599018004</v>
      </c>
      <c r="G620" s="127"/>
    </row>
    <row r="627" spans="2:13">
      <c r="G627" s="66" t="s">
        <v>130</v>
      </c>
      <c r="H627" s="241">
        <f>Model!BA$267</f>
        <v>6.0299999999999999E-2</v>
      </c>
      <c r="J627" s="184" t="s">
        <v>8</v>
      </c>
    </row>
    <row r="628" spans="2:13">
      <c r="B628" s="391" t="s">
        <v>131</v>
      </c>
      <c r="C628" s="391"/>
      <c r="D628" s="391"/>
      <c r="E628" s="391"/>
      <c r="F628" s="391"/>
      <c r="G628" s="391"/>
      <c r="H628" s="391"/>
      <c r="I628" s="82"/>
      <c r="J628" s="392" t="s">
        <v>131</v>
      </c>
      <c r="K628" s="392"/>
      <c r="L628" s="392"/>
      <c r="M628" s="175"/>
    </row>
    <row r="629" spans="2:13" ht="25.5">
      <c r="B629" s="26" t="s">
        <v>4</v>
      </c>
      <c r="C629" s="106" t="s">
        <v>4</v>
      </c>
      <c r="D629" s="106" t="s">
        <v>5</v>
      </c>
      <c r="E629" s="166" t="s">
        <v>94</v>
      </c>
      <c r="F629" s="106" t="s">
        <v>4</v>
      </c>
      <c r="G629" s="106" t="s">
        <v>5</v>
      </c>
      <c r="H629" s="166" t="s">
        <v>95</v>
      </c>
      <c r="I629" s="27"/>
      <c r="J629" s="26"/>
      <c r="K629" s="106" t="s">
        <v>4</v>
      </c>
      <c r="L629" s="106" t="s">
        <v>5</v>
      </c>
      <c r="M629" s="106" t="s">
        <v>85</v>
      </c>
    </row>
    <row r="630" spans="2:13">
      <c r="B630" s="83" t="s">
        <v>10</v>
      </c>
      <c r="C630" s="221">
        <f>Model!BA$176</f>
        <v>26957.866999999998</v>
      </c>
      <c r="D630" s="204">
        <f>C630*$H627</f>
        <v>1625.5593801</v>
      </c>
      <c r="E630" s="205"/>
      <c r="F630" s="206">
        <f>C630</f>
        <v>26957.866999999998</v>
      </c>
      <c r="G630" s="204">
        <f>F630*$H627</f>
        <v>1625.5593801</v>
      </c>
      <c r="H630" s="205"/>
      <c r="I630" s="27"/>
      <c r="J630" s="26"/>
      <c r="K630" s="106"/>
      <c r="L630" s="106"/>
      <c r="M630" s="106"/>
    </row>
    <row r="631" spans="2:13">
      <c r="B631" s="100" t="s">
        <v>11</v>
      </c>
      <c r="C631" s="221"/>
      <c r="D631" s="204"/>
      <c r="E631" s="206"/>
      <c r="F631" s="206"/>
      <c r="G631" s="174"/>
      <c r="H631" s="206"/>
      <c r="J631" s="178" t="s">
        <v>12</v>
      </c>
      <c r="K631" s="217">
        <f>Model!BA$115+Model!BA$114</f>
        <v>128391.431</v>
      </c>
      <c r="L631" s="217">
        <f>K631*$H627</f>
        <v>7742.0032892999998</v>
      </c>
      <c r="M631" s="180">
        <f>+K631/K636</f>
        <v>2.3795138906907352</v>
      </c>
    </row>
    <row r="632" spans="2:13">
      <c r="B632" s="83"/>
      <c r="C632" s="221"/>
      <c r="D632" s="204"/>
      <c r="E632" s="206"/>
      <c r="F632" s="206"/>
      <c r="G632" s="204"/>
      <c r="H632" s="206"/>
      <c r="J632" s="181" t="s">
        <v>13</v>
      </c>
      <c r="K632" s="218">
        <f>C664</f>
        <v>17567.612000000001</v>
      </c>
      <c r="L632" s="217">
        <f>K632*$H627</f>
        <v>1059.3270036000001</v>
      </c>
      <c r="M632" s="175"/>
    </row>
    <row r="633" spans="2:13">
      <c r="B633" s="83"/>
      <c r="C633" s="221"/>
      <c r="D633" s="204"/>
      <c r="E633" s="206"/>
      <c r="F633" s="206"/>
      <c r="G633" s="204"/>
      <c r="H633" s="206"/>
      <c r="J633" s="178" t="s">
        <v>14</v>
      </c>
      <c r="K633" s="217">
        <f>+K631-K632</f>
        <v>110823.81899999999</v>
      </c>
      <c r="L633" s="217">
        <f>K633*$H627</f>
        <v>6682.6762856999994</v>
      </c>
      <c r="M633" s="180">
        <f>+K633/K636</f>
        <v>2.053928480085994</v>
      </c>
    </row>
    <row r="634" spans="2:13">
      <c r="B634" s="83" t="s">
        <v>17</v>
      </c>
      <c r="C634" s="221">
        <f>Model!BA$120</f>
        <v>6810.6610000000001</v>
      </c>
      <c r="D634" s="204">
        <f>C634*$H627</f>
        <v>410.68285830000002</v>
      </c>
      <c r="E634" s="206"/>
      <c r="F634" s="206">
        <f>C634</f>
        <v>6810.6610000000001</v>
      </c>
      <c r="G634" s="204">
        <f>F634*$H627</f>
        <v>410.68285830000002</v>
      </c>
      <c r="H634" s="206"/>
      <c r="J634" s="183" t="s">
        <v>16</v>
      </c>
      <c r="K634" s="219">
        <f>C666</f>
        <v>110623.04700000001</v>
      </c>
      <c r="L634" s="275">
        <f>K634*$H627</f>
        <v>6670.5697341000005</v>
      </c>
      <c r="M634" s="175"/>
    </row>
    <row r="635" spans="2:13">
      <c r="B635" s="83" t="s">
        <v>15</v>
      </c>
      <c r="C635" s="221">
        <f>Model!BA$119</f>
        <v>8297.3050000000003</v>
      </c>
      <c r="D635" s="204">
        <f>C635*$H627</f>
        <v>500.32749150000001</v>
      </c>
      <c r="E635" s="206"/>
      <c r="F635" s="206">
        <f t="shared" ref="F635:F638" si="26">C635</f>
        <v>8297.3050000000003</v>
      </c>
      <c r="G635" s="204">
        <f>F635*$H627</f>
        <v>500.32749150000001</v>
      </c>
      <c r="H635" s="206"/>
      <c r="J635" s="183" t="s">
        <v>18</v>
      </c>
      <c r="K635" s="219">
        <f>K631+K634</f>
        <v>239014.478</v>
      </c>
      <c r="L635" s="219"/>
      <c r="M635" s="175"/>
    </row>
    <row r="636" spans="2:13">
      <c r="B636" s="83" t="s">
        <v>96</v>
      </c>
      <c r="C636" s="221">
        <f>Model!BA$132</f>
        <v>10840.7</v>
      </c>
      <c r="D636" s="204">
        <f>C636*$H627</f>
        <v>653.69421</v>
      </c>
      <c r="E636" s="206"/>
      <c r="F636" s="206">
        <f t="shared" si="26"/>
        <v>10840.7</v>
      </c>
      <c r="G636" s="204">
        <f>F636*$H627</f>
        <v>653.69421</v>
      </c>
      <c r="H636" s="206"/>
      <c r="J636" s="181" t="s">
        <v>20</v>
      </c>
      <c r="K636" s="220">
        <f>C668</f>
        <v>53957</v>
      </c>
      <c r="L636" s="220"/>
      <c r="M636" s="175"/>
    </row>
    <row r="637" spans="2:13">
      <c r="B637" s="83" t="s">
        <v>34</v>
      </c>
      <c r="C637" s="221">
        <f>Model!BA$133</f>
        <v>9339.93</v>
      </c>
      <c r="D637" s="204">
        <f>C637*$H627</f>
        <v>563.19777899999997</v>
      </c>
      <c r="E637" s="206"/>
      <c r="F637" s="206">
        <f t="shared" si="26"/>
        <v>9339.93</v>
      </c>
      <c r="G637" s="204">
        <f>F637*$H627</f>
        <v>563.19777899999997</v>
      </c>
      <c r="H637" s="206"/>
      <c r="J637" s="181"/>
      <c r="K637" s="220"/>
      <c r="L637" s="220"/>
      <c r="M637" s="175"/>
    </row>
    <row r="638" spans="2:13">
      <c r="B638" s="83" t="s">
        <v>57</v>
      </c>
      <c r="C638" s="221">
        <f>Model!BA$156</f>
        <v>9761.0830000000005</v>
      </c>
      <c r="D638" s="204">
        <f>C638*$H627</f>
        <v>588.59330490000002</v>
      </c>
      <c r="E638" s="206"/>
      <c r="F638" s="206">
        <f t="shared" si="26"/>
        <v>9761.0830000000005</v>
      </c>
      <c r="G638" s="204"/>
      <c r="H638" s="206"/>
      <c r="J638" s="181"/>
      <c r="K638" s="220"/>
      <c r="L638" s="220"/>
      <c r="M638" s="175"/>
    </row>
    <row r="639" spans="2:13">
      <c r="B639" s="100" t="s">
        <v>97</v>
      </c>
      <c r="C639" s="221"/>
      <c r="D639" s="204"/>
      <c r="E639" s="206"/>
      <c r="F639" s="206"/>
      <c r="G639" s="204"/>
      <c r="H639" s="206"/>
    </row>
    <row r="640" spans="2:13">
      <c r="B640" s="83" t="s">
        <v>26</v>
      </c>
      <c r="C640" s="221">
        <f>Model!BA$125</f>
        <v>7706.3389999999999</v>
      </c>
      <c r="D640" s="204">
        <f>C640*$H627</f>
        <v>464.69224170000001</v>
      </c>
      <c r="E640" s="206"/>
      <c r="F640" s="206">
        <f>C640</f>
        <v>7706.3389999999999</v>
      </c>
      <c r="G640" s="204">
        <f>F640*$H627</f>
        <v>464.69224170000001</v>
      </c>
      <c r="H640" s="206"/>
      <c r="I640" s="102"/>
    </row>
    <row r="641" spans="2:9">
      <c r="B641" s="83" t="s">
        <v>27</v>
      </c>
      <c r="C641" s="221">
        <f>Model!BA$126</f>
        <v>3000</v>
      </c>
      <c r="D641" s="204">
        <f>C641*$H627</f>
        <v>180.9</v>
      </c>
      <c r="E641" s="206"/>
      <c r="F641" s="206">
        <f>C641</f>
        <v>3000</v>
      </c>
      <c r="G641" s="204"/>
      <c r="H641" s="206"/>
      <c r="I641" s="102"/>
    </row>
    <row r="642" spans="2:9">
      <c r="B642" s="83" t="s">
        <v>30</v>
      </c>
      <c r="C642" s="221">
        <f>Model!BA$129</f>
        <v>9633.1020000000008</v>
      </c>
      <c r="D642" s="204">
        <f>C642*$H627</f>
        <v>580.87605059999999</v>
      </c>
      <c r="E642" s="206"/>
      <c r="F642" s="206">
        <f>C642</f>
        <v>9633.1020000000008</v>
      </c>
      <c r="G642" s="204">
        <f>F642*$H627</f>
        <v>580.87605059999999</v>
      </c>
      <c r="H642" s="206"/>
    </row>
    <row r="643" spans="2:9">
      <c r="B643" s="83" t="s">
        <v>32</v>
      </c>
      <c r="C643" s="221">
        <f>Model!BA$131</f>
        <v>12000</v>
      </c>
      <c r="D643" s="204">
        <f>C643*$H627</f>
        <v>723.6</v>
      </c>
      <c r="E643" s="206"/>
      <c r="F643" s="206">
        <f>C643</f>
        <v>12000</v>
      </c>
      <c r="G643" s="204"/>
      <c r="H643" s="206"/>
    </row>
    <row r="644" spans="2:9">
      <c r="B644" s="100" t="s">
        <v>98</v>
      </c>
      <c r="C644" s="221"/>
      <c r="D644" s="204"/>
      <c r="E644" s="206"/>
      <c r="F644" s="206"/>
      <c r="G644" s="204"/>
      <c r="H644" s="206"/>
    </row>
    <row r="645" spans="2:9">
      <c r="B645" s="100" t="s">
        <v>99</v>
      </c>
      <c r="C645" s="221"/>
      <c r="D645" s="204">
        <f>C645*$H627</f>
        <v>0</v>
      </c>
      <c r="E645" s="206"/>
      <c r="F645" s="206">
        <f t="shared" ref="F645:F658" si="27">C645</f>
        <v>0</v>
      </c>
      <c r="G645" s="204">
        <f>F645*$H627</f>
        <v>0</v>
      </c>
      <c r="H645" s="206"/>
    </row>
    <row r="646" spans="2:9">
      <c r="B646" s="83" t="s">
        <v>99</v>
      </c>
      <c r="C646" s="221"/>
      <c r="D646" s="204">
        <f>C646*$H627</f>
        <v>0</v>
      </c>
      <c r="E646" s="206"/>
      <c r="F646" s="206">
        <f t="shared" si="27"/>
        <v>0</v>
      </c>
      <c r="G646" s="204">
        <f>F646*$H627</f>
        <v>0</v>
      </c>
      <c r="H646" s="206"/>
    </row>
    <row r="647" spans="2:9">
      <c r="B647" s="83" t="s">
        <v>100</v>
      </c>
      <c r="C647" s="221"/>
      <c r="D647" s="204">
        <f>C647*$H627</f>
        <v>0</v>
      </c>
      <c r="E647" s="206"/>
      <c r="F647" s="206">
        <f t="shared" si="27"/>
        <v>0</v>
      </c>
      <c r="G647" s="204">
        <f>F647*$H627</f>
        <v>0</v>
      </c>
      <c r="H647" s="206"/>
    </row>
    <row r="648" spans="2:9">
      <c r="B648" s="83" t="s">
        <v>101</v>
      </c>
      <c r="C648" s="221"/>
      <c r="D648" s="204">
        <f>C648*$H627</f>
        <v>0</v>
      </c>
      <c r="E648" s="206"/>
      <c r="F648" s="206">
        <f t="shared" si="27"/>
        <v>0</v>
      </c>
      <c r="G648" s="204">
        <f>F648*$H627</f>
        <v>0</v>
      </c>
      <c r="H648" s="206"/>
    </row>
    <row r="649" spans="2:9">
      <c r="B649" s="83" t="s">
        <v>102</v>
      </c>
      <c r="C649" s="221"/>
      <c r="D649" s="204">
        <f>C649*$H627</f>
        <v>0</v>
      </c>
      <c r="E649" s="206"/>
      <c r="F649" s="206">
        <f t="shared" si="27"/>
        <v>0</v>
      </c>
      <c r="G649" s="204">
        <f>F649*$H627</f>
        <v>0</v>
      </c>
      <c r="H649" s="206"/>
    </row>
    <row r="650" spans="2:9">
      <c r="B650" s="83" t="s">
        <v>103</v>
      </c>
      <c r="C650" s="221">
        <f>Model!BA$141</f>
        <v>13342.4</v>
      </c>
      <c r="D650" s="204">
        <f>C650*$H627</f>
        <v>804.54671999999994</v>
      </c>
      <c r="E650" s="206"/>
      <c r="F650" s="206">
        <f t="shared" si="27"/>
        <v>13342.4</v>
      </c>
      <c r="G650" s="204"/>
      <c r="H650" s="206"/>
    </row>
    <row r="651" spans="2:9">
      <c r="B651" s="83" t="s">
        <v>104</v>
      </c>
      <c r="C651" s="221">
        <f>Model!BA$144</f>
        <v>1667.8</v>
      </c>
      <c r="D651" s="204">
        <f>C651*$H627</f>
        <v>100.56833999999999</v>
      </c>
      <c r="E651" s="206"/>
      <c r="F651" s="206">
        <f t="shared" si="27"/>
        <v>1667.8</v>
      </c>
      <c r="G651" s="204">
        <f>F651*$H627</f>
        <v>100.56833999999999</v>
      </c>
      <c r="H651" s="206"/>
    </row>
    <row r="652" spans="2:9">
      <c r="B652" s="83" t="s">
        <v>105</v>
      </c>
      <c r="C652" s="221">
        <f>Model!BA$155</f>
        <v>3409.4380000000001</v>
      </c>
      <c r="D652" s="204">
        <f>C652*$H$699</f>
        <v>200.67952068000002</v>
      </c>
      <c r="E652" s="206"/>
      <c r="F652" s="206">
        <f t="shared" si="27"/>
        <v>3409.4380000000001</v>
      </c>
      <c r="G652" s="204">
        <f>F652*$H$699</f>
        <v>200.67952068000002</v>
      </c>
      <c r="H652" s="206"/>
    </row>
    <row r="653" spans="2:9">
      <c r="B653" s="83" t="s">
        <v>39</v>
      </c>
      <c r="C653" s="221">
        <f>Model!BA$138</f>
        <v>15010.2</v>
      </c>
      <c r="D653" s="204">
        <f>C653*$H$699</f>
        <v>883.50037200000008</v>
      </c>
      <c r="E653" s="206"/>
      <c r="F653" s="206">
        <f t="shared" si="27"/>
        <v>15010.2</v>
      </c>
      <c r="G653" s="204">
        <f>F653*$H$699</f>
        <v>883.50037200000008</v>
      </c>
      <c r="H653" s="206"/>
    </row>
    <row r="654" spans="2:9">
      <c r="B654" s="83" t="s">
        <v>40</v>
      </c>
      <c r="C654" s="221">
        <f>Model!BA$139</f>
        <v>9172.9</v>
      </c>
      <c r="D654" s="204">
        <f>C654*$H$699</f>
        <v>539.91689399999996</v>
      </c>
      <c r="E654" s="206"/>
      <c r="F654" s="206">
        <f t="shared" si="27"/>
        <v>9172.9</v>
      </c>
      <c r="G654" s="204">
        <f>F654*$H$699</f>
        <v>539.91689399999996</v>
      </c>
      <c r="H654" s="206"/>
    </row>
    <row r="655" spans="2:9">
      <c r="B655" s="83"/>
      <c r="C655" s="221"/>
      <c r="D655" s="204"/>
      <c r="E655" s="206"/>
      <c r="F655" s="206"/>
      <c r="G655" s="204"/>
      <c r="H655" s="206"/>
    </row>
    <row r="656" spans="2:9">
      <c r="B656" s="83" t="s">
        <v>44</v>
      </c>
      <c r="C656" s="221">
        <f>Model!BA$143</f>
        <v>0</v>
      </c>
      <c r="D656" s="204">
        <f t="shared" ref="D656:D658" si="28">C656*$H$699</f>
        <v>0</v>
      </c>
      <c r="E656" s="206"/>
      <c r="F656" s="206">
        <f t="shared" si="27"/>
        <v>0</v>
      </c>
      <c r="G656" s="204">
        <f t="shared" ref="G656:G658" si="29">F656*$H$699</f>
        <v>0</v>
      </c>
      <c r="H656" s="206"/>
    </row>
    <row r="657" spans="2:9">
      <c r="B657" s="83" t="s">
        <v>87</v>
      </c>
      <c r="C657" s="221">
        <f>Model!BA$145</f>
        <v>2084.75</v>
      </c>
      <c r="D657" s="204">
        <f t="shared" si="28"/>
        <v>122.70838500000001</v>
      </c>
      <c r="E657" s="206"/>
      <c r="F657" s="206">
        <f t="shared" si="27"/>
        <v>2084.75</v>
      </c>
      <c r="G657" s="204">
        <f t="shared" si="29"/>
        <v>122.70838500000001</v>
      </c>
      <c r="H657" s="206"/>
    </row>
    <row r="658" spans="2:9">
      <c r="B658" s="83" t="s">
        <v>52</v>
      </c>
      <c r="C658" s="221">
        <f>Model!BA$151</f>
        <v>5000</v>
      </c>
      <c r="D658" s="204">
        <f t="shared" si="28"/>
        <v>294.3</v>
      </c>
      <c r="E658" s="206"/>
      <c r="F658" s="206">
        <f t="shared" si="27"/>
        <v>5000</v>
      </c>
      <c r="G658" s="204">
        <f t="shared" si="29"/>
        <v>294.3</v>
      </c>
      <c r="H658" s="206"/>
    </row>
    <row r="659" spans="2:9">
      <c r="B659" s="83" t="s">
        <v>48</v>
      </c>
      <c r="C659" s="221">
        <f>Model!BA$147</f>
        <v>2084.75</v>
      </c>
      <c r="D659" s="204"/>
      <c r="E659" s="206"/>
      <c r="F659" s="206"/>
      <c r="G659" s="204"/>
      <c r="H659" s="206"/>
    </row>
    <row r="660" spans="2:9">
      <c r="B660" s="83"/>
      <c r="C660" s="221"/>
      <c r="D660" s="204">
        <f>C660*$H627</f>
        <v>0</v>
      </c>
      <c r="E660" s="206"/>
      <c r="F660" s="206">
        <f t="shared" ref="F660" si="30">C660</f>
        <v>0</v>
      </c>
      <c r="G660" s="204">
        <f>F660*$H627</f>
        <v>0</v>
      </c>
      <c r="H660" s="206"/>
    </row>
    <row r="661" spans="2:9">
      <c r="B661" s="83" t="s">
        <v>58</v>
      </c>
      <c r="C661" s="221">
        <f>Model!BA$157</f>
        <v>-769.92700000000013</v>
      </c>
      <c r="D661" s="204">
        <f>C661*$H627</f>
        <v>-46.426598100000007</v>
      </c>
      <c r="E661" s="206"/>
      <c r="F661" s="206">
        <f>C661</f>
        <v>-769.92700000000013</v>
      </c>
      <c r="G661" s="204">
        <f>F661*$H627</f>
        <v>-46.426598100000007</v>
      </c>
      <c r="H661" s="206"/>
    </row>
    <row r="662" spans="2:9">
      <c r="B662" s="161" t="s">
        <v>124</v>
      </c>
      <c r="C662" s="222">
        <f>Model!BA$170</f>
        <v>0</v>
      </c>
      <c r="D662" s="207"/>
      <c r="E662" s="207"/>
      <c r="F662" s="207"/>
      <c r="G662" s="207"/>
      <c r="H662" s="207"/>
    </row>
    <row r="663" spans="2:9">
      <c r="B663" s="35" t="s">
        <v>12</v>
      </c>
      <c r="C663" s="208">
        <f>SUM(C630:C662)</f>
        <v>155349.29800000001</v>
      </c>
      <c r="D663" s="208"/>
      <c r="E663" s="36">
        <f>+C663/C668</f>
        <v>2.8791314935967534</v>
      </c>
      <c r="F663" s="208">
        <f>SUM(F630:F662)</f>
        <v>153264.54800000001</v>
      </c>
      <c r="G663" s="208">
        <f>SUM(G630:G662)</f>
        <v>6894.2769247800006</v>
      </c>
      <c r="H663" s="36">
        <f>+F663/F668</f>
        <v>2.8404942454176476</v>
      </c>
      <c r="I663" s="145"/>
    </row>
    <row r="664" spans="2:9">
      <c r="B664" s="34" t="s">
        <v>13</v>
      </c>
      <c r="C664" s="209">
        <f>Model!BA$165</f>
        <v>17567.612000000001</v>
      </c>
      <c r="D664" s="204">
        <f>C664*$H627</f>
        <v>1059.3270036000001</v>
      </c>
      <c r="E664" s="210"/>
      <c r="F664" s="209">
        <f>C664</f>
        <v>17567.612000000001</v>
      </c>
      <c r="G664" s="204">
        <f>F664*$H627</f>
        <v>1059.3270036000001</v>
      </c>
      <c r="H664" s="210"/>
    </row>
    <row r="665" spans="2:9">
      <c r="B665" s="35" t="s">
        <v>14</v>
      </c>
      <c r="C665" s="208">
        <f>+C663-C664</f>
        <v>137781.68600000002</v>
      </c>
      <c r="D665" s="208"/>
      <c r="E665" s="36">
        <f>+C665/C668</f>
        <v>2.5535460829920122</v>
      </c>
      <c r="F665" s="208">
        <f>F663-F664</f>
        <v>135696.93600000002</v>
      </c>
      <c r="G665" s="208">
        <f>+G663-G664</f>
        <v>5834.9499211800003</v>
      </c>
      <c r="H665" s="36">
        <f>+F665/F668</f>
        <v>2.5149088348129069</v>
      </c>
    </row>
    <row r="666" spans="2:9">
      <c r="B666" s="69" t="s">
        <v>16</v>
      </c>
      <c r="C666" s="211">
        <f>Model!BA$186</f>
        <v>110623.04700000001</v>
      </c>
      <c r="D666" s="204"/>
      <c r="E666" s="212"/>
      <c r="F666" s="211"/>
      <c r="G666" s="204"/>
      <c r="H666" s="212"/>
    </row>
    <row r="667" spans="2:9">
      <c r="B667" s="69" t="s">
        <v>18</v>
      </c>
      <c r="C667" s="211">
        <f>C663+C666</f>
        <v>265972.34500000003</v>
      </c>
      <c r="D667" s="211"/>
      <c r="E667" s="212"/>
      <c r="F667" s="211"/>
      <c r="G667" s="211"/>
      <c r="H667" s="212"/>
    </row>
    <row r="668" spans="2:9">
      <c r="B668" s="181" t="s">
        <v>20</v>
      </c>
      <c r="C668" s="213">
        <f>Model!BA$92</f>
        <v>53957</v>
      </c>
      <c r="D668" s="213"/>
      <c r="E668" s="210"/>
      <c r="F668" s="210">
        <f>C668</f>
        <v>53957</v>
      </c>
      <c r="G668" s="213"/>
      <c r="H668" s="210"/>
    </row>
    <row r="670" spans="2:9">
      <c r="B670" s="101" t="s">
        <v>59</v>
      </c>
      <c r="C670" s="229">
        <f>Model!BA$179-Capitalisation!C663</f>
        <v>0</v>
      </c>
    </row>
    <row r="671" spans="2:9">
      <c r="B671" s="101"/>
      <c r="C671" s="103"/>
    </row>
    <row r="672" spans="2:9">
      <c r="B672" s="35" t="s">
        <v>60</v>
      </c>
      <c r="C672" s="88">
        <f>C665+Model!BA$185</f>
        <v>487532.92978109454</v>
      </c>
    </row>
    <row r="673" spans="2:8">
      <c r="B673" s="35" t="s">
        <v>61</v>
      </c>
      <c r="C673" s="36">
        <f>C672/C668</f>
        <v>9.0355825894896782</v>
      </c>
    </row>
    <row r="675" spans="2:8" ht="13.5" thickBot="1"/>
    <row r="676" spans="2:8">
      <c r="B676" s="78" t="s">
        <v>132</v>
      </c>
      <c r="C676" s="153" t="s">
        <v>4</v>
      </c>
      <c r="D676" s="153" t="s">
        <v>5</v>
      </c>
      <c r="E676" s="104"/>
      <c r="F676" s="104"/>
    </row>
    <row r="677" spans="2:8">
      <c r="B677" s="79" t="s">
        <v>108</v>
      </c>
      <c r="C677" s="276"/>
      <c r="D677" s="202">
        <f>C677*H627</f>
        <v>0</v>
      </c>
      <c r="E677" s="105"/>
      <c r="F677" s="105"/>
    </row>
    <row r="678" spans="2:8">
      <c r="B678" s="79" t="s">
        <v>63</v>
      </c>
      <c r="C678" s="202">
        <f>C664</f>
        <v>17567.612000000001</v>
      </c>
      <c r="D678" s="202">
        <f>C678*H627</f>
        <v>1059.3270036000001</v>
      </c>
      <c r="E678" s="105"/>
      <c r="F678" s="105"/>
    </row>
    <row r="679" spans="2:8" ht="13.5" thickBot="1">
      <c r="B679" s="80" t="s">
        <v>64</v>
      </c>
      <c r="C679" s="203">
        <f>SUM(C677:C678)</f>
        <v>17567.612000000001</v>
      </c>
      <c r="D679" s="203">
        <f>SUM(D677:D678)</f>
        <v>1059.3270036000001</v>
      </c>
      <c r="E679" s="105"/>
      <c r="F679" s="105"/>
    </row>
    <row r="681" spans="2:8">
      <c r="C681" s="30"/>
    </row>
    <row r="682" spans="2:8" ht="13.5" thickBot="1"/>
    <row r="683" spans="2:8" ht="13.5" thickBot="1">
      <c r="B683" s="78" t="s">
        <v>132</v>
      </c>
      <c r="C683" s="189" t="s">
        <v>4</v>
      </c>
      <c r="D683" s="186" t="s">
        <v>5</v>
      </c>
      <c r="E683" s="66"/>
    </row>
    <row r="684" spans="2:8">
      <c r="B684" s="144">
        <v>2024</v>
      </c>
      <c r="C684" s="199">
        <f>Model!BA$114</f>
        <v>9368.982</v>
      </c>
      <c r="D684" s="200">
        <f>+C684*$H627</f>
        <v>564.94961460000002</v>
      </c>
      <c r="F684" s="271" t="s">
        <v>133</v>
      </c>
      <c r="G684" s="272"/>
    </row>
    <row r="685" spans="2:8">
      <c r="B685" s="144">
        <v>2025</v>
      </c>
      <c r="C685" s="199">
        <v>73.677999999999997</v>
      </c>
      <c r="D685" s="200">
        <f>+C685*$H627</f>
        <v>4.4427833999999997</v>
      </c>
      <c r="F685" s="272" t="s">
        <v>70</v>
      </c>
      <c r="G685" s="273">
        <v>0.49</v>
      </c>
      <c r="H685" s="273"/>
    </row>
    <row r="686" spans="2:8">
      <c r="B686" s="144">
        <v>2026</v>
      </c>
      <c r="C686" s="199">
        <v>10982.169</v>
      </c>
      <c r="D686" s="200">
        <f>+C686*$H627</f>
        <v>662.22479069999997</v>
      </c>
      <c r="F686" s="272" t="s">
        <v>71</v>
      </c>
      <c r="G686" s="273">
        <v>0.03</v>
      </c>
      <c r="H686" s="273"/>
    </row>
    <row r="687" spans="2:8">
      <c r="B687" s="144">
        <v>2027</v>
      </c>
      <c r="C687" s="199">
        <v>12090.37</v>
      </c>
      <c r="D687" s="200">
        <f>+C687*$H627</f>
        <v>729.04931099999999</v>
      </c>
      <c r="F687" s="272" t="s">
        <v>72</v>
      </c>
      <c r="G687" s="273">
        <v>0.44</v>
      </c>
      <c r="H687" s="273"/>
    </row>
    <row r="688" spans="2:8">
      <c r="B688" s="144">
        <v>2028</v>
      </c>
      <c r="C688" s="199">
        <v>8202.3279999999995</v>
      </c>
      <c r="D688" s="200">
        <f>+C688*$H627</f>
        <v>494.60037839999995</v>
      </c>
      <c r="F688" s="272" t="s">
        <v>73</v>
      </c>
      <c r="G688" s="273">
        <v>0.04</v>
      </c>
      <c r="H688" s="273"/>
    </row>
    <row r="689" spans="2:13">
      <c r="B689" s="144" t="s">
        <v>89</v>
      </c>
      <c r="C689" s="199">
        <v>87673.903999999995</v>
      </c>
      <c r="D689" s="200">
        <f>+C689*$H627</f>
        <v>5286.7364111999996</v>
      </c>
    </row>
    <row r="690" spans="2:13" ht="13.5" thickBot="1">
      <c r="B690" s="144" t="s">
        <v>67</v>
      </c>
      <c r="C690" s="246">
        <f>C630</f>
        <v>26957.866999999998</v>
      </c>
      <c r="D690" s="200">
        <f>+C690*$H627</f>
        <v>1625.5593801</v>
      </c>
      <c r="G690" s="127"/>
    </row>
    <row r="691" spans="2:13" ht="13.5" thickBot="1">
      <c r="B691" s="185" t="s">
        <v>68</v>
      </c>
      <c r="C691" s="198">
        <f>SUM(C684:C690)</f>
        <v>155349.29800000001</v>
      </c>
      <c r="D691" s="201">
        <f>+C691*$H627</f>
        <v>9367.5626694000002</v>
      </c>
      <c r="G691" s="127"/>
    </row>
    <row r="699" spans="2:13">
      <c r="G699" s="66" t="s">
        <v>134</v>
      </c>
      <c r="H699" s="241">
        <f>Model!AZ$267</f>
        <v>5.8860000000000003E-2</v>
      </c>
      <c r="J699" s="184" t="s">
        <v>8</v>
      </c>
    </row>
    <row r="700" spans="2:13">
      <c r="B700" s="391" t="s">
        <v>135</v>
      </c>
      <c r="C700" s="391"/>
      <c r="D700" s="391"/>
      <c r="E700" s="391"/>
      <c r="F700" s="391"/>
      <c r="G700" s="391"/>
      <c r="H700" s="391"/>
      <c r="I700" s="82"/>
      <c r="J700" s="392" t="s">
        <v>135</v>
      </c>
      <c r="K700" s="392"/>
      <c r="L700" s="392"/>
      <c r="M700" s="175"/>
    </row>
    <row r="701" spans="2:13" ht="25.5">
      <c r="B701" s="26" t="s">
        <v>4</v>
      </c>
      <c r="C701" s="106" t="s">
        <v>4</v>
      </c>
      <c r="D701" s="106" t="s">
        <v>5</v>
      </c>
      <c r="E701" s="166" t="s">
        <v>94</v>
      </c>
      <c r="F701" s="106" t="s">
        <v>4</v>
      </c>
      <c r="G701" s="106" t="s">
        <v>5</v>
      </c>
      <c r="H701" s="166" t="s">
        <v>95</v>
      </c>
      <c r="I701" s="27"/>
      <c r="J701" s="26"/>
      <c r="K701" s="106" t="s">
        <v>4</v>
      </c>
      <c r="L701" s="106" t="s">
        <v>5</v>
      </c>
      <c r="M701" s="106" t="s">
        <v>85</v>
      </c>
    </row>
    <row r="702" spans="2:13">
      <c r="B702" s="83" t="s">
        <v>10</v>
      </c>
      <c r="C702" s="221">
        <f>Model!AZ$176</f>
        <v>26814.373</v>
      </c>
      <c r="D702" s="204">
        <f>C702*$H699</f>
        <v>1578.29399478</v>
      </c>
      <c r="E702" s="205"/>
      <c r="F702" s="206">
        <f>C702</f>
        <v>26814.373</v>
      </c>
      <c r="G702" s="204">
        <f>F702*$H699</f>
        <v>1578.29399478</v>
      </c>
      <c r="H702" s="205"/>
      <c r="I702" s="27"/>
      <c r="J702" s="26"/>
      <c r="K702" s="106"/>
      <c r="L702" s="106"/>
      <c r="M702" s="106"/>
    </row>
    <row r="703" spans="2:13">
      <c r="B703" s="100" t="s">
        <v>11</v>
      </c>
      <c r="C703" s="221"/>
      <c r="D703" s="204"/>
      <c r="E703" s="206"/>
      <c r="F703" s="206"/>
      <c r="G703" s="174"/>
      <c r="H703" s="206"/>
      <c r="J703" s="178" t="s">
        <v>12</v>
      </c>
      <c r="K703" s="217">
        <f>Model!AZ$115+Model!AZ$114</f>
        <v>109935.321</v>
      </c>
      <c r="L703" s="217">
        <f>K703*$H699</f>
        <v>6470.7929940599997</v>
      </c>
      <c r="M703" s="180">
        <f>+K703/K708</f>
        <v>2.0009340941356339</v>
      </c>
    </row>
    <row r="704" spans="2:13">
      <c r="B704" s="83"/>
      <c r="C704" s="221"/>
      <c r="D704" s="204"/>
      <c r="E704" s="206"/>
      <c r="F704" s="206"/>
      <c r="G704" s="204"/>
      <c r="H704" s="206"/>
      <c r="J704" s="181" t="s">
        <v>13</v>
      </c>
      <c r="K704" s="218">
        <f>C735</f>
        <v>6353.1239999999998</v>
      </c>
      <c r="L704" s="217">
        <f>K704*$H699</f>
        <v>373.94487864000001</v>
      </c>
      <c r="M704" s="175"/>
    </row>
    <row r="705" spans="2:13">
      <c r="B705" s="83"/>
      <c r="C705" s="221"/>
      <c r="D705" s="204"/>
      <c r="E705" s="206"/>
      <c r="F705" s="206"/>
      <c r="G705" s="204"/>
      <c r="H705" s="206"/>
      <c r="J705" s="178" t="s">
        <v>14</v>
      </c>
      <c r="K705" s="217">
        <f>+K703-K704</f>
        <v>103582.197</v>
      </c>
      <c r="L705" s="217">
        <f>K705*$H699</f>
        <v>6096.8481154199999</v>
      </c>
      <c r="M705" s="180">
        <f>+K705/K708</f>
        <v>1.8853008081249318</v>
      </c>
    </row>
    <row r="706" spans="2:13">
      <c r="B706" s="83" t="s">
        <v>17</v>
      </c>
      <c r="C706" s="221">
        <f>Model!AZ$120</f>
        <v>6898.6629999999996</v>
      </c>
      <c r="D706" s="204">
        <f>C706*$H699</f>
        <v>406.05530418000001</v>
      </c>
      <c r="E706" s="206"/>
      <c r="F706" s="206">
        <f>C706</f>
        <v>6898.6629999999996</v>
      </c>
      <c r="G706" s="204">
        <f>F706*$H699</f>
        <v>406.05530418000001</v>
      </c>
      <c r="H706" s="206"/>
      <c r="J706" s="183" t="s">
        <v>16</v>
      </c>
      <c r="K706" s="219">
        <f>C737</f>
        <v>111627.851</v>
      </c>
      <c r="L706" s="275">
        <f>K706*$H699</f>
        <v>6570.41530986</v>
      </c>
      <c r="M706" s="175"/>
    </row>
    <row r="707" spans="2:13">
      <c r="B707" s="83" t="s">
        <v>15</v>
      </c>
      <c r="C707" s="221">
        <f>Model!AZ$119</f>
        <v>8404.5159999999996</v>
      </c>
      <c r="D707" s="204">
        <f>C707*$H699</f>
        <v>494.68981176</v>
      </c>
      <c r="E707" s="206"/>
      <c r="F707" s="206">
        <f t="shared" ref="F707:F710" si="31">C707</f>
        <v>8404.5159999999996</v>
      </c>
      <c r="G707" s="204">
        <f>F707*$H699</f>
        <v>494.68981176</v>
      </c>
      <c r="H707" s="206"/>
      <c r="J707" s="183" t="s">
        <v>18</v>
      </c>
      <c r="K707" s="219">
        <f>K703+K706</f>
        <v>221563.17199999999</v>
      </c>
      <c r="L707" s="219"/>
      <c r="M707" s="175"/>
    </row>
    <row r="708" spans="2:13">
      <c r="B708" s="83" t="s">
        <v>96</v>
      </c>
      <c r="C708" s="221">
        <f>Model!AZ$132</f>
        <v>10980.775</v>
      </c>
      <c r="D708" s="204">
        <f>C708*$H699</f>
        <v>646.3284165</v>
      </c>
      <c r="E708" s="206"/>
      <c r="F708" s="206">
        <f t="shared" si="31"/>
        <v>10980.775</v>
      </c>
      <c r="G708" s="204">
        <f>F708*$H699</f>
        <v>646.3284165</v>
      </c>
      <c r="H708" s="206"/>
      <c r="J708" s="181" t="s">
        <v>20</v>
      </c>
      <c r="K708" s="220">
        <f>C739</f>
        <v>54942</v>
      </c>
      <c r="L708" s="220"/>
      <c r="M708" s="175"/>
    </row>
    <row r="709" spans="2:13">
      <c r="B709" s="83" t="s">
        <v>34</v>
      </c>
      <c r="C709" s="221">
        <f>Model!AZ$133</f>
        <v>9460.6129999999994</v>
      </c>
      <c r="D709" s="204">
        <f>C709*$H699</f>
        <v>556.85168118000001</v>
      </c>
      <c r="E709" s="206"/>
      <c r="F709" s="206">
        <f t="shared" si="31"/>
        <v>9460.6129999999994</v>
      </c>
      <c r="G709" s="204">
        <f>F709*$H699</f>
        <v>556.85168118000001</v>
      </c>
      <c r="H709" s="206"/>
      <c r="J709" s="181"/>
      <c r="K709" s="220"/>
      <c r="L709" s="220"/>
      <c r="M709" s="175"/>
    </row>
    <row r="710" spans="2:13">
      <c r="B710" s="83" t="s">
        <v>57</v>
      </c>
      <c r="C710" s="221">
        <f>Model!AZ$156</f>
        <v>9887.2080000000005</v>
      </c>
      <c r="D710" s="204">
        <f>C710*$H699</f>
        <v>581.9610628800001</v>
      </c>
      <c r="E710" s="206"/>
      <c r="F710" s="206">
        <f t="shared" si="31"/>
        <v>9887.2080000000005</v>
      </c>
      <c r="G710" s="204"/>
      <c r="H710" s="206"/>
      <c r="J710" s="181"/>
      <c r="K710" s="220"/>
      <c r="L710" s="220"/>
      <c r="M710" s="175"/>
    </row>
    <row r="711" spans="2:13">
      <c r="B711" s="100" t="s">
        <v>97</v>
      </c>
      <c r="C711" s="221"/>
      <c r="D711" s="204"/>
      <c r="E711" s="206"/>
      <c r="F711" s="206"/>
      <c r="G711" s="204"/>
      <c r="H711" s="206"/>
    </row>
    <row r="712" spans="2:13">
      <c r="B712" s="83" t="s">
        <v>26</v>
      </c>
      <c r="C712" s="221">
        <f>Model!AZ$125</f>
        <v>7706.3389999999999</v>
      </c>
      <c r="D712" s="204">
        <f>C712*$H699</f>
        <v>453.59511354</v>
      </c>
      <c r="E712" s="206"/>
      <c r="F712" s="206">
        <f>C712</f>
        <v>7706.3389999999999</v>
      </c>
      <c r="G712" s="204">
        <f>F712*$H699</f>
        <v>453.59511354</v>
      </c>
      <c r="H712" s="206"/>
      <c r="I712" s="102"/>
    </row>
    <row r="713" spans="2:13">
      <c r="B713" s="83" t="s">
        <v>27</v>
      </c>
      <c r="C713" s="221">
        <f>Model!AZ$126</f>
        <v>3000</v>
      </c>
      <c r="D713" s="204">
        <f>C713*$H699</f>
        <v>176.58</v>
      </c>
      <c r="E713" s="206"/>
      <c r="F713" s="206">
        <f>C713</f>
        <v>3000</v>
      </c>
      <c r="G713" s="204"/>
      <c r="H713" s="206"/>
      <c r="I713" s="102"/>
    </row>
    <row r="714" spans="2:13">
      <c r="B714" s="83" t="s">
        <v>30</v>
      </c>
      <c r="C714" s="221">
        <f>Model!AZ$129</f>
        <v>9633.1020000000008</v>
      </c>
      <c r="D714" s="204">
        <f>C714*$H699</f>
        <v>567.00438372000008</v>
      </c>
      <c r="E714" s="206"/>
      <c r="F714" s="206">
        <f>C714</f>
        <v>9633.1020000000008</v>
      </c>
      <c r="G714" s="204">
        <f>F714*$H699</f>
        <v>567.00438372000008</v>
      </c>
      <c r="H714" s="206"/>
    </row>
    <row r="715" spans="2:13">
      <c r="B715" s="83" t="s">
        <v>32</v>
      </c>
      <c r="C715" s="221">
        <f>Model!AZ$131</f>
        <v>12000</v>
      </c>
      <c r="D715" s="204">
        <f>C715*$H699</f>
        <v>706.32</v>
      </c>
      <c r="E715" s="206"/>
      <c r="F715" s="206">
        <f>C715</f>
        <v>12000</v>
      </c>
      <c r="G715" s="204"/>
      <c r="H715" s="206"/>
    </row>
    <row r="716" spans="2:13">
      <c r="B716" s="100" t="s">
        <v>98</v>
      </c>
      <c r="C716" s="221"/>
      <c r="D716" s="204"/>
      <c r="E716" s="206"/>
      <c r="F716" s="206"/>
      <c r="G716" s="204"/>
      <c r="H716" s="206"/>
    </row>
    <row r="717" spans="2:13">
      <c r="B717" s="100" t="s">
        <v>99</v>
      </c>
      <c r="C717" s="221"/>
      <c r="D717" s="204">
        <f>C717*$H699</f>
        <v>0</v>
      </c>
      <c r="E717" s="206"/>
      <c r="F717" s="206">
        <f t="shared" ref="F717:F731" si="32">C717</f>
        <v>0</v>
      </c>
      <c r="G717" s="204">
        <f>F717*$H699</f>
        <v>0</v>
      </c>
      <c r="H717" s="206"/>
    </row>
    <row r="718" spans="2:13">
      <c r="B718" s="83" t="s">
        <v>99</v>
      </c>
      <c r="C718" s="221"/>
      <c r="D718" s="204">
        <f>C718*$H699</f>
        <v>0</v>
      </c>
      <c r="E718" s="206"/>
      <c r="F718" s="206">
        <f t="shared" si="32"/>
        <v>0</v>
      </c>
      <c r="G718" s="204">
        <f>F718*$H699</f>
        <v>0</v>
      </c>
      <c r="H718" s="206"/>
    </row>
    <row r="719" spans="2:13">
      <c r="B719" s="83" t="s">
        <v>100</v>
      </c>
      <c r="C719" s="221"/>
      <c r="D719" s="204">
        <f>C719*$H699</f>
        <v>0</v>
      </c>
      <c r="E719" s="206"/>
      <c r="F719" s="206">
        <f t="shared" si="32"/>
        <v>0</v>
      </c>
      <c r="G719" s="204">
        <f>F719*$H699</f>
        <v>0</v>
      </c>
      <c r="H719" s="206"/>
    </row>
    <row r="720" spans="2:13">
      <c r="B720" s="83" t="s">
        <v>101</v>
      </c>
      <c r="C720" s="221"/>
      <c r="D720" s="204">
        <f>C720*$H699</f>
        <v>0</v>
      </c>
      <c r="E720" s="206"/>
      <c r="F720" s="206">
        <f t="shared" si="32"/>
        <v>0</v>
      </c>
      <c r="G720" s="204">
        <f>F720*$H699</f>
        <v>0</v>
      </c>
      <c r="H720" s="206"/>
    </row>
    <row r="721" spans="2:9">
      <c r="B721" s="83" t="s">
        <v>102</v>
      </c>
      <c r="C721" s="221"/>
      <c r="D721" s="204">
        <f>C721*$H699</f>
        <v>0</v>
      </c>
      <c r="E721" s="206"/>
      <c r="F721" s="206">
        <f t="shared" si="32"/>
        <v>0</v>
      </c>
      <c r="G721" s="204">
        <f>F721*$H699</f>
        <v>0</v>
      </c>
      <c r="H721" s="206"/>
    </row>
    <row r="722" spans="2:9">
      <c r="B722" s="83" t="s">
        <v>103</v>
      </c>
      <c r="C722" s="221">
        <f>Model!AZ$140</f>
        <v>0</v>
      </c>
      <c r="D722" s="204">
        <f>C722*$H699</f>
        <v>0</v>
      </c>
      <c r="E722" s="206"/>
      <c r="F722" s="206">
        <f t="shared" si="32"/>
        <v>0</v>
      </c>
      <c r="G722" s="204"/>
      <c r="H722" s="206"/>
    </row>
    <row r="723" spans="2:9">
      <c r="B723" s="83" t="s">
        <v>104</v>
      </c>
      <c r="C723" s="221">
        <f>Model!AZ$144</f>
        <v>1689.35</v>
      </c>
      <c r="D723" s="204">
        <f>C723*$H699</f>
        <v>99.435141000000002</v>
      </c>
      <c r="E723" s="206"/>
      <c r="F723" s="206">
        <f t="shared" si="32"/>
        <v>1689.35</v>
      </c>
      <c r="G723" s="204">
        <f>F723*$H699</f>
        <v>99.435141000000002</v>
      </c>
      <c r="H723" s="206"/>
    </row>
    <row r="724" spans="2:9">
      <c r="B724" s="83" t="s">
        <v>105</v>
      </c>
      <c r="C724" s="221">
        <f>Model!AZ$155</f>
        <v>4141.1270000000004</v>
      </c>
      <c r="D724" s="204">
        <f>C724*$H$699</f>
        <v>243.74673522000003</v>
      </c>
      <c r="E724" s="206"/>
      <c r="F724" s="206">
        <f t="shared" si="32"/>
        <v>4141.1270000000004</v>
      </c>
      <c r="G724" s="204">
        <f>F724*$H$699</f>
        <v>243.74673522000003</v>
      </c>
      <c r="H724" s="206"/>
    </row>
    <row r="725" spans="2:9">
      <c r="B725" s="83" t="s">
        <v>39</v>
      </c>
      <c r="C725" s="221">
        <f>Model!AZ$138</f>
        <v>7602.0749999999998</v>
      </c>
      <c r="D725" s="204">
        <f>C725*$H$699</f>
        <v>447.45813450000003</v>
      </c>
      <c r="E725" s="206"/>
      <c r="F725" s="206">
        <f t="shared" ref="F725:F726" si="33">C725</f>
        <v>7602.0749999999998</v>
      </c>
      <c r="G725" s="204">
        <f>F725*$H$699</f>
        <v>447.45813450000003</v>
      </c>
      <c r="H725" s="206"/>
    </row>
    <row r="726" spans="2:9">
      <c r="B726" s="83" t="s">
        <v>40</v>
      </c>
      <c r="C726" s="221">
        <f>Model!AZ$139</f>
        <v>9291.4249999999993</v>
      </c>
      <c r="D726" s="204">
        <f>C726*$H$699</f>
        <v>546.89327549999996</v>
      </c>
      <c r="E726" s="206"/>
      <c r="F726" s="206">
        <f t="shared" si="33"/>
        <v>9291.4249999999993</v>
      </c>
      <c r="G726" s="204">
        <f>F726*$H$699</f>
        <v>546.89327549999996</v>
      </c>
      <c r="H726" s="206"/>
    </row>
    <row r="727" spans="2:9">
      <c r="B727" s="83" t="s">
        <v>44</v>
      </c>
      <c r="C727" s="221">
        <f>Model!AZ$143</f>
        <v>2983</v>
      </c>
      <c r="D727" s="204">
        <f t="shared" ref="D727:D729" si="34">C727*$H$699</f>
        <v>175.57938000000001</v>
      </c>
      <c r="E727" s="206"/>
      <c r="F727" s="206">
        <f t="shared" ref="F727:F729" si="35">C727</f>
        <v>2983</v>
      </c>
      <c r="G727" s="204">
        <f t="shared" ref="G727:G729" si="36">F727*$H$699</f>
        <v>175.57938000000001</v>
      </c>
      <c r="H727" s="206"/>
    </row>
    <row r="728" spans="2:9">
      <c r="B728" s="83" t="s">
        <v>87</v>
      </c>
      <c r="C728" s="221">
        <f>Model!AZ$145</f>
        <v>2111.6880000000001</v>
      </c>
      <c r="D728" s="204">
        <f t="shared" si="34"/>
        <v>124.29395568000001</v>
      </c>
      <c r="E728" s="206"/>
      <c r="F728" s="206">
        <f t="shared" si="35"/>
        <v>2111.6880000000001</v>
      </c>
      <c r="G728" s="204">
        <f t="shared" si="36"/>
        <v>124.29395568000001</v>
      </c>
      <c r="H728" s="206"/>
    </row>
    <row r="729" spans="2:9">
      <c r="B729" s="83" t="s">
        <v>52</v>
      </c>
      <c r="C729" s="221">
        <f>Model!AZ$151</f>
        <v>5000</v>
      </c>
      <c r="D729" s="204">
        <f t="shared" si="34"/>
        <v>294.3</v>
      </c>
      <c r="E729" s="206"/>
      <c r="F729" s="206">
        <f t="shared" si="35"/>
        <v>5000</v>
      </c>
      <c r="G729" s="204">
        <f t="shared" si="36"/>
        <v>294.3</v>
      </c>
      <c r="H729" s="206"/>
    </row>
    <row r="730" spans="2:9">
      <c r="B730" s="83"/>
      <c r="C730" s="221"/>
      <c r="D730" s="204"/>
      <c r="E730" s="206"/>
      <c r="F730" s="206"/>
      <c r="G730" s="204"/>
      <c r="H730" s="206"/>
    </row>
    <row r="731" spans="2:9">
      <c r="B731" s="83"/>
      <c r="C731" s="221"/>
      <c r="D731" s="204">
        <f>C731*$H699</f>
        <v>0</v>
      </c>
      <c r="E731" s="206"/>
      <c r="F731" s="206">
        <f t="shared" si="32"/>
        <v>0</v>
      </c>
      <c r="G731" s="204">
        <f>F731*$H699</f>
        <v>0</v>
      </c>
      <c r="H731" s="206"/>
    </row>
    <row r="732" spans="2:9">
      <c r="B732" s="83" t="s">
        <v>58</v>
      </c>
      <c r="C732" s="221">
        <f>Model!AZ$157</f>
        <v>-854.56</v>
      </c>
      <c r="D732" s="204">
        <f>C732*$H699</f>
        <v>-50.299401599999996</v>
      </c>
      <c r="E732" s="206"/>
      <c r="F732" s="206">
        <f>C732</f>
        <v>-854.56</v>
      </c>
      <c r="G732" s="204">
        <f>F732*$H699</f>
        <v>-50.299401599999996</v>
      </c>
      <c r="H732" s="206"/>
    </row>
    <row r="733" spans="2:9">
      <c r="B733" s="161" t="s">
        <v>124</v>
      </c>
      <c r="C733" s="222">
        <f>Model!AZ$170</f>
        <v>0</v>
      </c>
      <c r="D733" s="207"/>
      <c r="E733" s="207"/>
      <c r="F733" s="207"/>
      <c r="G733" s="207"/>
      <c r="H733" s="207"/>
    </row>
    <row r="734" spans="2:9">
      <c r="B734" s="35" t="s">
        <v>12</v>
      </c>
      <c r="C734" s="208">
        <f>SUM(C702:C733)</f>
        <v>136749.69399999999</v>
      </c>
      <c r="D734" s="208"/>
      <c r="E734" s="36">
        <f>+C734/C739</f>
        <v>2.4889828182446943</v>
      </c>
      <c r="F734" s="208">
        <f>SUM(F702:F733)</f>
        <v>136749.69399999999</v>
      </c>
      <c r="G734" s="208">
        <f>SUM(G702:G733)</f>
        <v>6584.2259259599996</v>
      </c>
      <c r="H734" s="36">
        <f>+F734/F739</f>
        <v>2.4889828182446943</v>
      </c>
      <c r="I734" s="145"/>
    </row>
    <row r="735" spans="2:9">
      <c r="B735" s="34" t="s">
        <v>13</v>
      </c>
      <c r="C735" s="209">
        <f>Model!AZ$165</f>
        <v>6353.1239999999998</v>
      </c>
      <c r="D735" s="204">
        <f>C735*$H699</f>
        <v>373.94487864000001</v>
      </c>
      <c r="E735" s="210"/>
      <c r="F735" s="209">
        <f>C735</f>
        <v>6353.1239999999998</v>
      </c>
      <c r="G735" s="204">
        <f>F735*$H699</f>
        <v>373.94487864000001</v>
      </c>
      <c r="H735" s="210"/>
    </row>
    <row r="736" spans="2:9">
      <c r="B736" s="35" t="s">
        <v>14</v>
      </c>
      <c r="C736" s="208">
        <f>+C734-C735</f>
        <v>130396.56999999999</v>
      </c>
      <c r="D736" s="208"/>
      <c r="E736" s="36">
        <f>+C736/C739</f>
        <v>2.3733495322339921</v>
      </c>
      <c r="F736" s="208">
        <f>F734-F735</f>
        <v>130396.56999999999</v>
      </c>
      <c r="G736" s="208">
        <f>+G734-G735</f>
        <v>6210.2810473199997</v>
      </c>
      <c r="H736" s="36">
        <f>+F736/F739</f>
        <v>2.3733495322339921</v>
      </c>
    </row>
    <row r="737" spans="2:8">
      <c r="B737" s="69" t="s">
        <v>16</v>
      </c>
      <c r="C737" s="211">
        <f>Model!AZ$186</f>
        <v>111627.851</v>
      </c>
      <c r="D737" s="204"/>
      <c r="E737" s="212"/>
      <c r="F737" s="211"/>
      <c r="G737" s="204"/>
      <c r="H737" s="212"/>
    </row>
    <row r="738" spans="2:8">
      <c r="B738" s="69" t="s">
        <v>18</v>
      </c>
      <c r="C738" s="211">
        <f>C734+C737</f>
        <v>248377.54499999998</v>
      </c>
      <c r="D738" s="211"/>
      <c r="E738" s="212"/>
      <c r="F738" s="211"/>
      <c r="G738" s="211"/>
      <c r="H738" s="212"/>
    </row>
    <row r="739" spans="2:8">
      <c r="B739" s="181" t="s">
        <v>20</v>
      </c>
      <c r="C739" s="213">
        <f>Model!AZ$92</f>
        <v>54942</v>
      </c>
      <c r="D739" s="213"/>
      <c r="E739" s="210"/>
      <c r="F739" s="210">
        <f>C739</f>
        <v>54942</v>
      </c>
      <c r="G739" s="213"/>
      <c r="H739" s="210"/>
    </row>
    <row r="741" spans="2:8">
      <c r="B741" s="101" t="s">
        <v>59</v>
      </c>
      <c r="C741" s="229">
        <f>Model!AZ$179-Capitalisation!C734</f>
        <v>0</v>
      </c>
    </row>
    <row r="742" spans="2:8">
      <c r="B742" s="101"/>
      <c r="C742" s="103"/>
    </row>
    <row r="743" spans="2:8">
      <c r="B743" s="35" t="s">
        <v>60</v>
      </c>
      <c r="C743" s="88">
        <f>C736+Model!AZ$185</f>
        <v>465732.77</v>
      </c>
    </row>
    <row r="744" spans="2:8">
      <c r="B744" s="35" t="s">
        <v>61</v>
      </c>
      <c r="C744" s="36">
        <f>C743/C739</f>
        <v>8.4768077245094826</v>
      </c>
    </row>
    <row r="746" spans="2:8" ht="13.5" thickBot="1"/>
    <row r="747" spans="2:8">
      <c r="B747" s="78" t="s">
        <v>136</v>
      </c>
      <c r="C747" s="153" t="s">
        <v>4</v>
      </c>
      <c r="D747" s="153" t="s">
        <v>5</v>
      </c>
      <c r="E747" s="104"/>
      <c r="F747" s="104"/>
    </row>
    <row r="748" spans="2:8">
      <c r="B748" s="79" t="s">
        <v>108</v>
      </c>
      <c r="C748" s="276"/>
      <c r="D748" s="202">
        <f>C748*H699</f>
        <v>0</v>
      </c>
      <c r="E748" s="105"/>
      <c r="F748" s="105"/>
    </row>
    <row r="749" spans="2:8">
      <c r="B749" s="79" t="s">
        <v>63</v>
      </c>
      <c r="C749" s="202">
        <f>C735</f>
        <v>6353.1239999999998</v>
      </c>
      <c r="D749" s="202">
        <f>C749*H699</f>
        <v>373.94487864000001</v>
      </c>
      <c r="E749" s="105"/>
      <c r="F749" s="105"/>
    </row>
    <row r="750" spans="2:8" ht="13.5" thickBot="1">
      <c r="B750" s="80" t="s">
        <v>64</v>
      </c>
      <c r="C750" s="203">
        <f>SUM(C748:C749)</f>
        <v>6353.1239999999998</v>
      </c>
      <c r="D750" s="203">
        <f>SUM(D748:D749)</f>
        <v>373.94487864000001</v>
      </c>
      <c r="E750" s="105"/>
      <c r="F750" s="105"/>
    </row>
    <row r="752" spans="2:8">
      <c r="C752" s="30"/>
    </row>
    <row r="753" spans="2:8" ht="13.5" thickBot="1"/>
    <row r="754" spans="2:8" ht="13.5" thickBot="1">
      <c r="B754" s="78" t="s">
        <v>137</v>
      </c>
      <c r="C754" s="189" t="s">
        <v>4</v>
      </c>
      <c r="D754" s="186" t="s">
        <v>5</v>
      </c>
      <c r="E754" s="66"/>
    </row>
    <row r="755" spans="2:8">
      <c r="B755" s="144">
        <v>2024</v>
      </c>
      <c r="C755" s="199">
        <f>Model!AZ$114</f>
        <v>12931.973</v>
      </c>
      <c r="D755" s="200">
        <f>+C755*$H699</f>
        <v>761.17593078000004</v>
      </c>
      <c r="F755" s="271" t="s">
        <v>138</v>
      </c>
      <c r="G755" s="272"/>
    </row>
    <row r="756" spans="2:8">
      <c r="B756" s="144">
        <v>2025</v>
      </c>
      <c r="C756" s="199">
        <v>201.92599999999999</v>
      </c>
      <c r="D756" s="200">
        <f>+C756*$H699</f>
        <v>11.885364360000001</v>
      </c>
      <c r="F756" s="272" t="s">
        <v>70</v>
      </c>
      <c r="G756" s="273">
        <v>0.38</v>
      </c>
      <c r="H756" s="273"/>
    </row>
    <row r="757" spans="2:8">
      <c r="B757" s="144">
        <v>2026</v>
      </c>
      <c r="C757" s="199">
        <v>10968.638999999999</v>
      </c>
      <c r="D757" s="200">
        <f>+C757*$H699</f>
        <v>645.61409154</v>
      </c>
      <c r="F757" s="272" t="s">
        <v>71</v>
      </c>
      <c r="G757" s="273">
        <v>0.03</v>
      </c>
      <c r="H757" s="273"/>
    </row>
    <row r="758" spans="2:8">
      <c r="B758" s="144">
        <v>2027</v>
      </c>
      <c r="C758" s="199">
        <v>11583.014999999999</v>
      </c>
      <c r="D758" s="200">
        <f>+C758*$H699</f>
        <v>681.77626290000001</v>
      </c>
      <c r="F758" s="272" t="s">
        <v>72</v>
      </c>
      <c r="G758" s="273">
        <v>0.54</v>
      </c>
      <c r="H758" s="273"/>
    </row>
    <row r="759" spans="2:8">
      <c r="B759" s="144" t="s">
        <v>139</v>
      </c>
      <c r="C759" s="199">
        <v>74249.767999999996</v>
      </c>
      <c r="D759" s="200">
        <f>+C759*$H699</f>
        <v>4370.3413444799999</v>
      </c>
      <c r="F759" s="272" t="s">
        <v>73</v>
      </c>
      <c r="G759" s="273">
        <v>0.05</v>
      </c>
      <c r="H759" s="273"/>
    </row>
    <row r="760" spans="2:8" ht="13.5" thickBot="1">
      <c r="B760" s="144" t="s">
        <v>67</v>
      </c>
      <c r="C760" s="246">
        <f>C702</f>
        <v>26814.373</v>
      </c>
      <c r="D760" s="200">
        <f>+C760*$H699</f>
        <v>1578.29399478</v>
      </c>
    </row>
    <row r="761" spans="2:8" ht="13.5" thickBot="1">
      <c r="B761" s="185" t="s">
        <v>68</v>
      </c>
      <c r="C761" s="198">
        <f>SUM(C755:C760)</f>
        <v>136749.69399999999</v>
      </c>
      <c r="D761" s="201">
        <f>+C761*$H699</f>
        <v>8049.0869888399993</v>
      </c>
      <c r="G761" s="127"/>
    </row>
    <row r="762" spans="2:8">
      <c r="B762" s="66"/>
      <c r="C762" s="237"/>
      <c r="D762" s="237"/>
      <c r="G762" s="127"/>
    </row>
    <row r="769" spans="2:13">
      <c r="G769" s="66" t="s">
        <v>140</v>
      </c>
      <c r="H769" s="241">
        <f>Model!AY$267</f>
        <v>5.7340000000000002E-2</v>
      </c>
      <c r="J769" s="184" t="s">
        <v>8</v>
      </c>
    </row>
    <row r="770" spans="2:13">
      <c r="B770" s="391" t="s">
        <v>141</v>
      </c>
      <c r="C770" s="391"/>
      <c r="D770" s="391"/>
      <c r="E770" s="391"/>
      <c r="F770" s="391"/>
      <c r="G770" s="391"/>
      <c r="H770" s="391"/>
      <c r="I770" s="82"/>
      <c r="J770" s="392" t="s">
        <v>141</v>
      </c>
      <c r="K770" s="392"/>
      <c r="L770" s="392"/>
      <c r="M770" s="175"/>
    </row>
    <row r="771" spans="2:13" ht="25.5">
      <c r="B771" s="26" t="s">
        <v>4</v>
      </c>
      <c r="C771" s="106" t="s">
        <v>4</v>
      </c>
      <c r="D771" s="106" t="s">
        <v>5</v>
      </c>
      <c r="E771" s="166" t="s">
        <v>94</v>
      </c>
      <c r="F771" s="106" t="s">
        <v>4</v>
      </c>
      <c r="G771" s="106" t="s">
        <v>5</v>
      </c>
      <c r="H771" s="166" t="s">
        <v>95</v>
      </c>
      <c r="I771" s="27"/>
      <c r="J771" s="26"/>
      <c r="K771" s="106" t="s">
        <v>4</v>
      </c>
      <c r="L771" s="106" t="s">
        <v>5</v>
      </c>
      <c r="M771" s="106" t="s">
        <v>85</v>
      </c>
    </row>
    <row r="772" spans="2:13">
      <c r="B772" s="83" t="s">
        <v>10</v>
      </c>
      <c r="C772" s="221">
        <f>Model!AY$176</f>
        <v>27299.34</v>
      </c>
      <c r="D772" s="204">
        <f>C772*$H769</f>
        <v>1565.3441556</v>
      </c>
      <c r="E772" s="205"/>
      <c r="F772" s="206">
        <f>C772</f>
        <v>27299.34</v>
      </c>
      <c r="G772" s="204">
        <f>F772*$H769</f>
        <v>1565.3441556</v>
      </c>
      <c r="H772" s="205"/>
      <c r="I772" s="27"/>
      <c r="J772" s="26"/>
      <c r="K772" s="106"/>
      <c r="L772" s="106"/>
      <c r="M772" s="106"/>
    </row>
    <row r="773" spans="2:13">
      <c r="B773" s="100" t="s">
        <v>11</v>
      </c>
      <c r="C773" s="221"/>
      <c r="D773" s="204"/>
      <c r="E773" s="206"/>
      <c r="F773" s="206"/>
      <c r="G773" s="174"/>
      <c r="H773" s="206"/>
      <c r="J773" s="178" t="s">
        <v>12</v>
      </c>
      <c r="K773" s="217">
        <f>Model!AY$115+Model!AY$114</f>
        <v>107281.719</v>
      </c>
      <c r="L773" s="217">
        <f>K773*$H769</f>
        <v>6151.5337674600005</v>
      </c>
      <c r="M773" s="180">
        <f>+K773/K778</f>
        <v>1.9372974158946854</v>
      </c>
    </row>
    <row r="774" spans="2:13">
      <c r="B774" s="83"/>
      <c r="C774" s="221"/>
      <c r="D774" s="204"/>
      <c r="E774" s="206"/>
      <c r="F774" s="206"/>
      <c r="G774" s="204"/>
      <c r="H774" s="206"/>
      <c r="J774" s="181" t="s">
        <v>13</v>
      </c>
      <c r="K774" s="218">
        <f>C799</f>
        <v>6249.2889999999998</v>
      </c>
      <c r="L774" s="217">
        <f>K774*$H769</f>
        <v>358.33423126000002</v>
      </c>
      <c r="M774" s="175"/>
    </row>
    <row r="775" spans="2:13">
      <c r="B775" s="83"/>
      <c r="C775" s="221"/>
      <c r="D775" s="204"/>
      <c r="E775" s="206"/>
      <c r="F775" s="206"/>
      <c r="G775" s="204"/>
      <c r="H775" s="206"/>
      <c r="J775" s="178" t="s">
        <v>14</v>
      </c>
      <c r="K775" s="217">
        <f>+K773-K774</f>
        <v>101032.43</v>
      </c>
      <c r="L775" s="217">
        <f>K775*$H769</f>
        <v>5793.1995361999998</v>
      </c>
      <c r="M775" s="180">
        <f>+K775/K778</f>
        <v>1.8244475143109955</v>
      </c>
    </row>
    <row r="776" spans="2:13">
      <c r="B776" s="83" t="s">
        <v>17</v>
      </c>
      <c r="C776" s="221">
        <f>Model!AY$120</f>
        <v>14095.6</v>
      </c>
      <c r="D776" s="204">
        <f>C776*$H769</f>
        <v>808.24170400000003</v>
      </c>
      <c r="E776" s="206"/>
      <c r="F776" s="206">
        <f>C776</f>
        <v>14095.6</v>
      </c>
      <c r="G776" s="204">
        <f>F776*$H769</f>
        <v>808.24170400000003</v>
      </c>
      <c r="H776" s="206"/>
      <c r="J776" s="183" t="s">
        <v>16</v>
      </c>
      <c r="K776" s="219">
        <f>C801</f>
        <v>112735.033</v>
      </c>
      <c r="L776" s="275">
        <f>K776*$H769</f>
        <v>6464.2267922199999</v>
      </c>
      <c r="M776" s="175"/>
    </row>
    <row r="777" spans="2:13">
      <c r="B777" s="83" t="s">
        <v>15</v>
      </c>
      <c r="C777" s="221">
        <f>Model!AY$119</f>
        <v>8765.7009999999991</v>
      </c>
      <c r="D777" s="204">
        <f>C777*$H769</f>
        <v>502.62529533999998</v>
      </c>
      <c r="E777" s="206"/>
      <c r="F777" s="206">
        <f t="shared" ref="F777:F780" si="37">C777</f>
        <v>8765.7009999999991</v>
      </c>
      <c r="G777" s="204">
        <f>F777*$H769</f>
        <v>502.62529533999998</v>
      </c>
      <c r="H777" s="206"/>
      <c r="J777" s="183" t="s">
        <v>18</v>
      </c>
      <c r="K777" s="219">
        <f>K773+K776</f>
        <v>220016.75199999998</v>
      </c>
      <c r="L777" s="219"/>
      <c r="M777" s="175"/>
    </row>
    <row r="778" spans="2:13">
      <c r="B778" s="83" t="s">
        <v>96</v>
      </c>
      <c r="C778" s="221">
        <f>Model!AY$132</f>
        <v>11452.674999999999</v>
      </c>
      <c r="D778" s="204">
        <f>C778*$H769</f>
        <v>656.69638450000002</v>
      </c>
      <c r="E778" s="206"/>
      <c r="F778" s="206">
        <f t="shared" si="37"/>
        <v>11452.674999999999</v>
      </c>
      <c r="G778" s="204">
        <f>F778*$H769</f>
        <v>656.69638450000002</v>
      </c>
      <c r="H778" s="206"/>
      <c r="J778" s="181" t="s">
        <v>20</v>
      </c>
      <c r="K778" s="220">
        <f>C803</f>
        <v>55377</v>
      </c>
      <c r="L778" s="220"/>
      <c r="M778" s="175"/>
    </row>
    <row r="779" spans="2:13">
      <c r="B779" s="83" t="s">
        <v>34</v>
      </c>
      <c r="C779" s="221">
        <f>Model!AY$133</f>
        <v>9867.1839999999993</v>
      </c>
      <c r="D779" s="204">
        <f>C779*$H769</f>
        <v>565.78433055999994</v>
      </c>
      <c r="E779" s="206"/>
      <c r="F779" s="206">
        <f t="shared" si="37"/>
        <v>9867.1839999999993</v>
      </c>
      <c r="G779" s="204">
        <f>F779*$H769</f>
        <v>565.78433055999994</v>
      </c>
      <c r="H779" s="206"/>
      <c r="J779" s="181"/>
      <c r="K779" s="220"/>
      <c r="L779" s="220"/>
      <c r="M779" s="175"/>
    </row>
    <row r="780" spans="2:13">
      <c r="B780" s="83" t="s">
        <v>57</v>
      </c>
      <c r="C780" s="221">
        <f>Model!AY$156</f>
        <v>10312.111000000001</v>
      </c>
      <c r="D780" s="204">
        <f>C780*$H769</f>
        <v>591.29644474000008</v>
      </c>
      <c r="E780" s="206"/>
      <c r="F780" s="206">
        <f t="shared" si="37"/>
        <v>10312.111000000001</v>
      </c>
      <c r="G780" s="204"/>
      <c r="H780" s="206"/>
      <c r="J780" s="181"/>
      <c r="K780" s="220"/>
      <c r="L780" s="220"/>
      <c r="M780" s="175"/>
    </row>
    <row r="781" spans="2:13">
      <c r="B781" s="100" t="s">
        <v>97</v>
      </c>
      <c r="C781" s="221"/>
      <c r="D781" s="204"/>
      <c r="E781" s="206"/>
      <c r="F781" s="206"/>
      <c r="G781" s="204"/>
      <c r="H781" s="206"/>
    </row>
    <row r="782" spans="2:13">
      <c r="B782" s="83" t="s">
        <v>26</v>
      </c>
      <c r="C782" s="221">
        <f>Model!AY$125</f>
        <v>7706.3389999999999</v>
      </c>
      <c r="D782" s="204">
        <f>C782*$H769</f>
        <v>441.88147825999999</v>
      </c>
      <c r="E782" s="206"/>
      <c r="F782" s="206">
        <f>C782</f>
        <v>7706.3389999999999</v>
      </c>
      <c r="G782" s="204">
        <f>F782*$H769</f>
        <v>441.88147825999999</v>
      </c>
      <c r="H782" s="206"/>
      <c r="I782" s="102"/>
    </row>
    <row r="783" spans="2:13">
      <c r="B783" s="83" t="s">
        <v>27</v>
      </c>
      <c r="C783" s="221">
        <f>Model!AY$126</f>
        <v>3000</v>
      </c>
      <c r="D783" s="204">
        <f>C783*$H769</f>
        <v>172.02</v>
      </c>
      <c r="E783" s="206"/>
      <c r="F783" s="206">
        <f>C783</f>
        <v>3000</v>
      </c>
      <c r="G783" s="204"/>
      <c r="H783" s="206"/>
      <c r="I783" s="102"/>
    </row>
    <row r="784" spans="2:13">
      <c r="B784" s="83" t="s">
        <v>30</v>
      </c>
      <c r="C784" s="221">
        <f>Model!AY$129</f>
        <v>9633.1020000000008</v>
      </c>
      <c r="D784" s="204">
        <f>C784*$H769</f>
        <v>552.36206868000011</v>
      </c>
      <c r="E784" s="206"/>
      <c r="F784" s="206">
        <f>C784</f>
        <v>9633.1020000000008</v>
      </c>
      <c r="G784" s="204">
        <f>F784*$H769</f>
        <v>552.36206868000011</v>
      </c>
      <c r="H784" s="206"/>
    </row>
    <row r="785" spans="2:9">
      <c r="B785" s="83" t="s">
        <v>32</v>
      </c>
      <c r="C785" s="221">
        <f>Model!AY$131</f>
        <v>12000</v>
      </c>
      <c r="D785" s="204">
        <f>C785*$H769</f>
        <v>688.08</v>
      </c>
      <c r="E785" s="206"/>
      <c r="F785" s="206">
        <f>C785</f>
        <v>12000</v>
      </c>
      <c r="G785" s="204"/>
      <c r="H785" s="206"/>
    </row>
    <row r="786" spans="2:9">
      <c r="B786" s="100" t="s">
        <v>98</v>
      </c>
      <c r="C786" s="221"/>
      <c r="D786" s="204"/>
      <c r="E786" s="206"/>
      <c r="F786" s="206"/>
      <c r="G786" s="204"/>
      <c r="H786" s="206"/>
    </row>
    <row r="787" spans="2:9">
      <c r="B787" s="100" t="s">
        <v>99</v>
      </c>
      <c r="C787" s="221"/>
      <c r="D787" s="204">
        <f>C787*$H769</f>
        <v>0</v>
      </c>
      <c r="E787" s="206"/>
      <c r="F787" s="206">
        <f t="shared" ref="F787:F795" si="38">C787</f>
        <v>0</v>
      </c>
      <c r="G787" s="204">
        <f>F787*$H769</f>
        <v>0</v>
      </c>
      <c r="H787" s="206"/>
    </row>
    <row r="788" spans="2:9">
      <c r="B788" s="83" t="s">
        <v>99</v>
      </c>
      <c r="C788" s="221"/>
      <c r="D788" s="204">
        <f>C788*$H769</f>
        <v>0</v>
      </c>
      <c r="E788" s="206"/>
      <c r="F788" s="206">
        <f t="shared" si="38"/>
        <v>0</v>
      </c>
      <c r="G788" s="204">
        <f>F788*$H769</f>
        <v>0</v>
      </c>
      <c r="H788" s="206"/>
    </row>
    <row r="789" spans="2:9">
      <c r="B789" s="83" t="s">
        <v>100</v>
      </c>
      <c r="C789" s="221"/>
      <c r="D789" s="204">
        <f>C789*$H769</f>
        <v>0</v>
      </c>
      <c r="E789" s="206"/>
      <c r="F789" s="206">
        <f t="shared" si="38"/>
        <v>0</v>
      </c>
      <c r="G789" s="204">
        <f>F789*$H769</f>
        <v>0</v>
      </c>
      <c r="H789" s="206"/>
    </row>
    <row r="790" spans="2:9">
      <c r="B790" s="83" t="s">
        <v>101</v>
      </c>
      <c r="C790" s="221"/>
      <c r="D790" s="204">
        <f>C790*$H769</f>
        <v>0</v>
      </c>
      <c r="E790" s="206"/>
      <c r="F790" s="206">
        <f t="shared" si="38"/>
        <v>0</v>
      </c>
      <c r="G790" s="204">
        <f>F790*$H769</f>
        <v>0</v>
      </c>
      <c r="H790" s="206"/>
    </row>
    <row r="791" spans="2:9">
      <c r="B791" s="83" t="s">
        <v>102</v>
      </c>
      <c r="C791" s="221"/>
      <c r="D791" s="204">
        <f>C791*$H769</f>
        <v>0</v>
      </c>
      <c r="E791" s="206"/>
      <c r="F791" s="206">
        <f t="shared" si="38"/>
        <v>0</v>
      </c>
      <c r="G791" s="204">
        <f>F791*$H769</f>
        <v>0</v>
      </c>
      <c r="H791" s="206"/>
    </row>
    <row r="792" spans="2:9">
      <c r="B792" s="83" t="s">
        <v>103</v>
      </c>
      <c r="C792" s="221">
        <f>Model!AY$140</f>
        <v>0</v>
      </c>
      <c r="D792" s="204">
        <f>C792*$H769</f>
        <v>0</v>
      </c>
      <c r="E792" s="206"/>
      <c r="F792" s="206">
        <f t="shared" si="38"/>
        <v>0</v>
      </c>
      <c r="G792" s="204"/>
      <c r="H792" s="206"/>
    </row>
    <row r="793" spans="2:9">
      <c r="B793" s="83" t="s">
        <v>104</v>
      </c>
      <c r="C793" s="221">
        <f>Model!AY$144</f>
        <v>13520.736000000001</v>
      </c>
      <c r="D793" s="204">
        <f>C793*$H769</f>
        <v>775.27900224000007</v>
      </c>
      <c r="E793" s="206"/>
      <c r="F793" s="206">
        <f t="shared" si="38"/>
        <v>13520.736000000001</v>
      </c>
      <c r="G793" s="204">
        <f>F793*$H769</f>
        <v>775.27900224000007</v>
      </c>
      <c r="H793" s="206"/>
    </row>
    <row r="794" spans="2:9">
      <c r="B794" s="83" t="s">
        <v>105</v>
      </c>
      <c r="C794" s="221">
        <f>Model!AY$155</f>
        <v>7686.5640000000003</v>
      </c>
      <c r="D794" s="204">
        <f>C794*$H769</f>
        <v>440.74757976000001</v>
      </c>
      <c r="E794" s="206"/>
      <c r="F794" s="206">
        <f t="shared" si="38"/>
        <v>7686.5640000000003</v>
      </c>
      <c r="G794" s="204">
        <f>F794*$H769</f>
        <v>440.74757976000001</v>
      </c>
      <c r="H794" s="206"/>
    </row>
    <row r="795" spans="2:9">
      <c r="B795" s="83"/>
      <c r="C795" s="221"/>
      <c r="D795" s="204">
        <f>C795*$H769</f>
        <v>0</v>
      </c>
      <c r="E795" s="206"/>
      <c r="F795" s="206">
        <f t="shared" si="38"/>
        <v>0</v>
      </c>
      <c r="G795" s="204">
        <f>F795*$H769</f>
        <v>0</v>
      </c>
      <c r="H795" s="206"/>
    </row>
    <row r="796" spans="2:9">
      <c r="B796" s="83" t="s">
        <v>58</v>
      </c>
      <c r="C796" s="221">
        <f>Model!AY$157</f>
        <v>-758.29300000000001</v>
      </c>
      <c r="D796" s="204">
        <f>C796*$H769</f>
        <v>-43.48052062</v>
      </c>
      <c r="E796" s="206"/>
      <c r="F796" s="206">
        <f>C796</f>
        <v>-758.29300000000001</v>
      </c>
      <c r="G796" s="204">
        <f>F796*$H769</f>
        <v>-43.48052062</v>
      </c>
      <c r="H796" s="206"/>
    </row>
    <row r="797" spans="2:9">
      <c r="B797" s="161" t="s">
        <v>124</v>
      </c>
      <c r="C797" s="222">
        <f>Model!AY$170</f>
        <v>0</v>
      </c>
      <c r="D797" s="207"/>
      <c r="E797" s="207"/>
      <c r="F797" s="207"/>
      <c r="G797" s="207"/>
      <c r="H797" s="207"/>
    </row>
    <row r="798" spans="2:9">
      <c r="B798" s="35" t="s">
        <v>12</v>
      </c>
      <c r="C798" s="208">
        <f>SUM(C772:C797)</f>
        <v>134581.05900000001</v>
      </c>
      <c r="D798" s="208"/>
      <c r="E798" s="36">
        <f>+C798/C803</f>
        <v>2.4302699496180726</v>
      </c>
      <c r="F798" s="208">
        <f>SUM(F772:F797)</f>
        <v>134581.05900000001</v>
      </c>
      <c r="G798" s="208">
        <f>SUM(G772:G797)</f>
        <v>6265.4814783200009</v>
      </c>
      <c r="H798" s="36">
        <f>+F798/F803</f>
        <v>2.4302699496180726</v>
      </c>
      <c r="I798" s="145"/>
    </row>
    <row r="799" spans="2:9">
      <c r="B799" s="34" t="s">
        <v>13</v>
      </c>
      <c r="C799" s="209">
        <f>Model!AY$165</f>
        <v>6249.2889999999998</v>
      </c>
      <c r="D799" s="204">
        <f>C799*$H769</f>
        <v>358.33423126000002</v>
      </c>
      <c r="E799" s="210"/>
      <c r="F799" s="209">
        <f>C799</f>
        <v>6249.2889999999998</v>
      </c>
      <c r="G799" s="204">
        <f>F799*$H769</f>
        <v>358.33423126000002</v>
      </c>
      <c r="H799" s="210"/>
    </row>
    <row r="800" spans="2:9">
      <c r="B800" s="35" t="s">
        <v>14</v>
      </c>
      <c r="C800" s="208">
        <f>+C798-C799</f>
        <v>128331.77</v>
      </c>
      <c r="D800" s="208"/>
      <c r="E800" s="36">
        <f>+C800/C803</f>
        <v>2.3174200480343825</v>
      </c>
      <c r="F800" s="208">
        <f>F798-F799</f>
        <v>128331.77</v>
      </c>
      <c r="G800" s="208">
        <f>+G798-G799</f>
        <v>5907.1472470600011</v>
      </c>
      <c r="H800" s="36">
        <f>+F800/F803</f>
        <v>2.3174200480343825</v>
      </c>
    </row>
    <row r="801" spans="2:8">
      <c r="B801" s="69" t="s">
        <v>16</v>
      </c>
      <c r="C801" s="211">
        <f>Model!AY$186</f>
        <v>112735.033</v>
      </c>
      <c r="D801" s="204"/>
      <c r="E801" s="212"/>
      <c r="F801" s="211"/>
      <c r="G801" s="204"/>
      <c r="H801" s="212"/>
    </row>
    <row r="802" spans="2:8">
      <c r="B802" s="69" t="s">
        <v>18</v>
      </c>
      <c r="C802" s="211">
        <f>C798+C801</f>
        <v>247316.092</v>
      </c>
      <c r="D802" s="211"/>
      <c r="E802" s="212"/>
      <c r="F802" s="211"/>
      <c r="G802" s="211"/>
      <c r="H802" s="212"/>
    </row>
    <row r="803" spans="2:8">
      <c r="B803" s="181" t="s">
        <v>20</v>
      </c>
      <c r="C803" s="213">
        <f>Model!AY$92</f>
        <v>55377</v>
      </c>
      <c r="D803" s="213"/>
      <c r="E803" s="210"/>
      <c r="F803" s="210">
        <f>C803</f>
        <v>55377</v>
      </c>
      <c r="G803" s="213"/>
      <c r="H803" s="210"/>
    </row>
    <row r="805" spans="2:8">
      <c r="B805" s="101" t="s">
        <v>59</v>
      </c>
      <c r="C805" s="229">
        <f>Model!AY$179-Capitalisation!C798</f>
        <v>0</v>
      </c>
    </row>
    <row r="806" spans="2:8">
      <c r="B806" s="101"/>
      <c r="C806" s="103"/>
    </row>
    <row r="807" spans="2:8">
      <c r="B807" s="35" t="s">
        <v>60</v>
      </c>
      <c r="C807" s="88">
        <f>C800+Model!AY$185</f>
        <v>492475.4742204395</v>
      </c>
    </row>
    <row r="808" spans="2:8">
      <c r="B808" s="35" t="s">
        <v>61</v>
      </c>
      <c r="C808" s="36">
        <f>C807/C803</f>
        <v>8.8931410914357851</v>
      </c>
    </row>
    <row r="810" spans="2:8" ht="13.5" thickBot="1"/>
    <row r="811" spans="2:8">
      <c r="B811" s="78" t="s">
        <v>136</v>
      </c>
      <c r="C811" s="153" t="s">
        <v>4</v>
      </c>
      <c r="D811" s="153" t="s">
        <v>5</v>
      </c>
      <c r="E811" s="104"/>
      <c r="F811" s="104"/>
    </row>
    <row r="812" spans="2:8">
      <c r="B812" s="79" t="s">
        <v>108</v>
      </c>
      <c r="C812" s="276"/>
      <c r="D812" s="202">
        <f>C812*H769</f>
        <v>0</v>
      </c>
      <c r="E812" s="105"/>
      <c r="F812" s="105"/>
    </row>
    <row r="813" spans="2:8">
      <c r="B813" s="79" t="s">
        <v>63</v>
      </c>
      <c r="C813" s="202">
        <f>C799</f>
        <v>6249.2889999999998</v>
      </c>
      <c r="D813" s="202">
        <f>C813*H769</f>
        <v>358.33423126000002</v>
      </c>
      <c r="E813" s="105"/>
      <c r="F813" s="105"/>
    </row>
    <row r="814" spans="2:8" ht="13.5" thickBot="1">
      <c r="B814" s="80" t="s">
        <v>64</v>
      </c>
      <c r="C814" s="203">
        <f>SUM(C812:C813)</f>
        <v>6249.2889999999998</v>
      </c>
      <c r="D814" s="203">
        <f>SUM(D812:D813)</f>
        <v>358.33423126000002</v>
      </c>
      <c r="E814" s="105"/>
      <c r="F814" s="105"/>
    </row>
    <row r="816" spans="2:8">
      <c r="C816" s="30"/>
    </row>
    <row r="817" spans="2:10" ht="13.5" thickBot="1"/>
    <row r="818" spans="2:10" ht="13.5" thickBot="1">
      <c r="B818" s="78" t="s">
        <v>136</v>
      </c>
      <c r="C818" s="189" t="s">
        <v>4</v>
      </c>
      <c r="D818" s="186" t="s">
        <v>5</v>
      </c>
      <c r="E818" s="66"/>
    </row>
    <row r="819" spans="2:10">
      <c r="B819" s="144">
        <v>2023</v>
      </c>
      <c r="C819" s="199">
        <f>Model!AY$114</f>
        <v>23429.534</v>
      </c>
      <c r="D819" s="200">
        <f>+C819*$H769</f>
        <v>1343.4494795600001</v>
      </c>
      <c r="F819" s="271" t="s">
        <v>142</v>
      </c>
      <c r="G819" s="272"/>
    </row>
    <row r="820" spans="2:10">
      <c r="B820" s="144">
        <v>2024</v>
      </c>
      <c r="C820" s="199">
        <v>184.29300000000001</v>
      </c>
      <c r="D820" s="200">
        <f>+C820*$H769</f>
        <v>10.567360620000001</v>
      </c>
      <c r="F820" s="272" t="s">
        <v>70</v>
      </c>
      <c r="G820" s="273">
        <v>0.35</v>
      </c>
    </row>
    <row r="821" spans="2:10">
      <c r="B821" s="144">
        <v>2025</v>
      </c>
      <c r="C821" s="199">
        <v>179.3</v>
      </c>
      <c r="D821" s="200">
        <f>+C821*$H769</f>
        <v>10.281062</v>
      </c>
      <c r="F821" s="272" t="s">
        <v>71</v>
      </c>
      <c r="G821" s="273">
        <v>0.04</v>
      </c>
    </row>
    <row r="822" spans="2:10">
      <c r="B822" s="144">
        <v>2026</v>
      </c>
      <c r="C822" s="199">
        <v>14232.942999999999</v>
      </c>
      <c r="D822" s="200">
        <f>+C822*$H769</f>
        <v>816.11695162000001</v>
      </c>
      <c r="F822" s="272" t="s">
        <v>72</v>
      </c>
      <c r="G822" s="273">
        <v>0.55000000000000004</v>
      </c>
    </row>
    <row r="823" spans="2:10">
      <c r="B823" s="144" t="s">
        <v>143</v>
      </c>
      <c r="C823" s="199">
        <v>69255.649000000005</v>
      </c>
      <c r="D823" s="200">
        <f>+C823*$H769</f>
        <v>3971.1189136600005</v>
      </c>
      <c r="F823" s="272" t="s">
        <v>73</v>
      </c>
      <c r="G823" s="273">
        <v>0.06</v>
      </c>
    </row>
    <row r="824" spans="2:10" ht="13.5" thickBot="1">
      <c r="B824" s="144" t="s">
        <v>67</v>
      </c>
      <c r="C824" s="246">
        <f>C772</f>
        <v>27299.34</v>
      </c>
      <c r="D824" s="200">
        <f>+C824*$H769</f>
        <v>1565.3441556</v>
      </c>
    </row>
    <row r="825" spans="2:10" ht="13.5" thickBot="1">
      <c r="B825" s="185" t="s">
        <v>68</v>
      </c>
      <c r="C825" s="198">
        <f>SUM(C819:C824)</f>
        <v>134581.05900000001</v>
      </c>
      <c r="D825" s="201">
        <f>+C825*$H769</f>
        <v>7716.8779230600012</v>
      </c>
      <c r="G825" s="127"/>
    </row>
    <row r="826" spans="2:10">
      <c r="B826" s="66"/>
      <c r="C826" s="237"/>
      <c r="D826" s="237"/>
      <c r="G826" s="127"/>
    </row>
    <row r="832" spans="2:10">
      <c r="G832" s="66" t="s">
        <v>144</v>
      </c>
      <c r="H832" s="241">
        <f>Model!AX$267</f>
        <v>5.8400640071015177E-2</v>
      </c>
      <c r="J832" s="184" t="s">
        <v>8</v>
      </c>
    </row>
    <row r="833" spans="2:13">
      <c r="B833" s="391" t="s">
        <v>145</v>
      </c>
      <c r="C833" s="391"/>
      <c r="D833" s="391"/>
      <c r="E833" s="391"/>
      <c r="F833" s="391"/>
      <c r="G833" s="391"/>
      <c r="H833" s="391"/>
      <c r="I833" s="82"/>
      <c r="J833" s="392" t="s">
        <v>146</v>
      </c>
      <c r="K833" s="392"/>
      <c r="L833" s="392"/>
      <c r="M833" s="175"/>
    </row>
    <row r="834" spans="2:13" ht="25.5">
      <c r="B834" s="26" t="s">
        <v>4</v>
      </c>
      <c r="C834" s="106" t="s">
        <v>4</v>
      </c>
      <c r="D834" s="106" t="s">
        <v>5</v>
      </c>
      <c r="E834" s="166" t="s">
        <v>94</v>
      </c>
      <c r="F834" s="106" t="s">
        <v>4</v>
      </c>
      <c r="G834" s="106" t="s">
        <v>5</v>
      </c>
      <c r="H834" s="166" t="s">
        <v>95</v>
      </c>
      <c r="I834" s="27"/>
      <c r="J834" s="26"/>
      <c r="K834" s="106" t="s">
        <v>4</v>
      </c>
      <c r="L834" s="106" t="s">
        <v>5</v>
      </c>
      <c r="M834" s="106" t="s">
        <v>85</v>
      </c>
    </row>
    <row r="835" spans="2:13">
      <c r="B835" s="83" t="s">
        <v>10</v>
      </c>
      <c r="C835" s="221">
        <f>Model!AX$176</f>
        <v>26521.358</v>
      </c>
      <c r="D835" s="204">
        <f>C835*$H832</f>
        <v>1548.8642827525389</v>
      </c>
      <c r="E835" s="205"/>
      <c r="F835" s="206">
        <f>C835</f>
        <v>26521.358</v>
      </c>
      <c r="G835" s="204">
        <f>F835*$H832</f>
        <v>1548.8642827525389</v>
      </c>
      <c r="H835" s="205"/>
      <c r="I835" s="27"/>
      <c r="J835" s="26"/>
      <c r="K835" s="106"/>
      <c r="L835" s="106"/>
      <c r="M835" s="106"/>
    </row>
    <row r="836" spans="2:13">
      <c r="B836" s="100" t="s">
        <v>11</v>
      </c>
      <c r="C836" s="221"/>
      <c r="D836" s="204"/>
      <c r="E836" s="206"/>
      <c r="F836" s="206"/>
      <c r="G836" s="174"/>
      <c r="H836" s="206"/>
      <c r="J836" s="178" t="s">
        <v>12</v>
      </c>
      <c r="K836" s="217">
        <f>Model!AX$115+Model!AX$114</f>
        <v>100480.014</v>
      </c>
      <c r="L836" s="217">
        <f>K836*$H832</f>
        <v>5868.0971319445653</v>
      </c>
      <c r="M836" s="180">
        <f>+K836/K841</f>
        <v>1.8132277181268608</v>
      </c>
    </row>
    <row r="837" spans="2:13">
      <c r="B837" s="83"/>
      <c r="C837" s="221"/>
      <c r="D837" s="204"/>
      <c r="E837" s="206"/>
      <c r="F837" s="206"/>
      <c r="G837" s="204"/>
      <c r="H837" s="206"/>
      <c r="J837" s="181" t="s">
        <v>13</v>
      </c>
      <c r="K837" s="218">
        <f>C862</f>
        <v>6485.7870000000003</v>
      </c>
      <c r="L837" s="217">
        <f>K837*$H832</f>
        <v>378.7741121642693</v>
      </c>
      <c r="M837" s="175"/>
    </row>
    <row r="838" spans="2:13">
      <c r="B838" s="83"/>
      <c r="C838" s="221"/>
      <c r="D838" s="204"/>
      <c r="E838" s="206"/>
      <c r="F838" s="206"/>
      <c r="G838" s="204"/>
      <c r="H838" s="206"/>
      <c r="J838" s="178" t="s">
        <v>14</v>
      </c>
      <c r="K838" s="217">
        <f>+K836-K837</f>
        <v>93994.226999999999</v>
      </c>
      <c r="L838" s="217">
        <f>K838*$H832</f>
        <v>5489.3230197802968</v>
      </c>
      <c r="M838" s="180">
        <f>+K838/K841</f>
        <v>1.6961874402237662</v>
      </c>
    </row>
    <row r="839" spans="2:13">
      <c r="B839" s="83" t="s">
        <v>17</v>
      </c>
      <c r="C839" s="221">
        <f>Model!AX$120</f>
        <v>13657.6</v>
      </c>
      <c r="D839" s="204">
        <f>C839*$H832</f>
        <v>797.61258183389691</v>
      </c>
      <c r="E839" s="206"/>
      <c r="F839" s="206">
        <f>C839</f>
        <v>13657.6</v>
      </c>
      <c r="G839" s="204">
        <f>F839*$H832</f>
        <v>797.61258183389691</v>
      </c>
      <c r="H839" s="206"/>
      <c r="J839" s="183" t="s">
        <v>16</v>
      </c>
      <c r="K839" s="219">
        <f>C864</f>
        <v>106626.711</v>
      </c>
      <c r="L839" s="275">
        <f>K839*$H832</f>
        <v>6227.0681710671543</v>
      </c>
      <c r="M839" s="175"/>
    </row>
    <row r="840" spans="2:13">
      <c r="B840" s="83" t="s">
        <v>15</v>
      </c>
      <c r="C840" s="221">
        <f>Model!AX$119</f>
        <v>8493.3189999999995</v>
      </c>
      <c r="D840" s="204">
        <f>C840*$H832</f>
        <v>496.01526592731454</v>
      </c>
      <c r="E840" s="206"/>
      <c r="F840" s="206">
        <f t="shared" ref="F840:F843" si="39">C840</f>
        <v>8493.3189999999995</v>
      </c>
      <c r="G840" s="204">
        <f>F840*$H832</f>
        <v>496.01526592731454</v>
      </c>
      <c r="H840" s="206"/>
      <c r="J840" s="183" t="s">
        <v>18</v>
      </c>
      <c r="K840" s="219">
        <f>K836+K839</f>
        <v>207106.72499999998</v>
      </c>
      <c r="L840" s="219"/>
      <c r="M840" s="175"/>
    </row>
    <row r="841" spans="2:13">
      <c r="B841" s="83" t="s">
        <v>96</v>
      </c>
      <c r="C841" s="221">
        <f>Model!AX$132</f>
        <v>11096.8</v>
      </c>
      <c r="D841" s="204">
        <f>C841*$H832</f>
        <v>648.06022274004113</v>
      </c>
      <c r="E841" s="206"/>
      <c r="F841" s="206">
        <f t="shared" si="39"/>
        <v>11096.8</v>
      </c>
      <c r="G841" s="204">
        <f>F841*$H832</f>
        <v>648.06022274004113</v>
      </c>
      <c r="H841" s="206"/>
      <c r="J841" s="181" t="s">
        <v>20</v>
      </c>
      <c r="K841" s="220">
        <f>C866</f>
        <v>55415</v>
      </c>
      <c r="L841" s="220"/>
      <c r="M841" s="175"/>
    </row>
    <row r="842" spans="2:13">
      <c r="B842" s="83" t="s">
        <v>34</v>
      </c>
      <c r="C842" s="221">
        <f>Model!AX$133</f>
        <v>9560.5759999999991</v>
      </c>
      <c r="D842" s="204">
        <f>C842*$H832</f>
        <v>558.34375784758595</v>
      </c>
      <c r="E842" s="206"/>
      <c r="F842" s="206">
        <f t="shared" si="39"/>
        <v>9560.5759999999991</v>
      </c>
      <c r="G842" s="204">
        <f>F842*$H832</f>
        <v>558.34375784758595</v>
      </c>
      <c r="H842" s="206"/>
      <c r="J842" s="181"/>
      <c r="K842" s="220"/>
      <c r="L842" s="220"/>
      <c r="M842" s="175"/>
    </row>
    <row r="843" spans="2:13">
      <c r="B843" s="83" t="s">
        <v>57</v>
      </c>
      <c r="C843" s="221">
        <f>Model!AX$156</f>
        <v>9991.6779999999999</v>
      </c>
      <c r="D843" s="204">
        <f>C843*$H832</f>
        <v>583.52039058348078</v>
      </c>
      <c r="E843" s="206"/>
      <c r="F843" s="206">
        <f t="shared" si="39"/>
        <v>9991.6779999999999</v>
      </c>
      <c r="G843" s="204"/>
      <c r="H843" s="206"/>
      <c r="J843" s="181"/>
      <c r="K843" s="220"/>
      <c r="L843" s="220"/>
      <c r="M843" s="175"/>
    </row>
    <row r="844" spans="2:13">
      <c r="B844" s="100" t="s">
        <v>97</v>
      </c>
      <c r="C844" s="221"/>
      <c r="D844" s="204"/>
      <c r="E844" s="206"/>
      <c r="F844" s="206"/>
      <c r="G844" s="204"/>
      <c r="H844" s="206"/>
    </row>
    <row r="845" spans="2:13" ht="25.5" customHeight="1">
      <c r="B845" s="83" t="s">
        <v>26</v>
      </c>
      <c r="C845" s="221">
        <f>Model!AX$125</f>
        <v>7706.3389999999999</v>
      </c>
      <c r="D845" s="204">
        <f>C845*$H832</f>
        <v>450.055130204227</v>
      </c>
      <c r="E845" s="206"/>
      <c r="F845" s="206">
        <f>C845</f>
        <v>7706.3389999999999</v>
      </c>
      <c r="G845" s="204">
        <f>F845*$H832</f>
        <v>450.055130204227</v>
      </c>
      <c r="H845" s="206"/>
      <c r="I845" s="102"/>
    </row>
    <row r="846" spans="2:13">
      <c r="B846" s="83" t="s">
        <v>27</v>
      </c>
      <c r="C846" s="221">
        <f>Model!AX$126</f>
        <v>3000</v>
      </c>
      <c r="D846" s="204">
        <f>C846*$H832</f>
        <v>175.20192021304553</v>
      </c>
      <c r="E846" s="206"/>
      <c r="F846" s="206">
        <f>C846</f>
        <v>3000</v>
      </c>
      <c r="G846" s="204"/>
      <c r="H846" s="206"/>
      <c r="I846" s="102"/>
    </row>
    <row r="847" spans="2:13">
      <c r="B847" s="83" t="s">
        <v>30</v>
      </c>
      <c r="C847" s="221">
        <f>Model!AX$129</f>
        <v>9633.1020000000008</v>
      </c>
      <c r="D847" s="204">
        <f>C847*$H832</f>
        <v>562.57932266937644</v>
      </c>
      <c r="E847" s="206"/>
      <c r="F847" s="206">
        <f>C847</f>
        <v>9633.1020000000008</v>
      </c>
      <c r="G847" s="204">
        <f>F847*$H832</f>
        <v>562.57932266937644</v>
      </c>
      <c r="H847" s="206"/>
    </row>
    <row r="848" spans="2:13">
      <c r="B848" s="83" t="s">
        <v>32</v>
      </c>
      <c r="C848" s="221">
        <f>Model!AX$131</f>
        <v>12000</v>
      </c>
      <c r="D848" s="204">
        <f>C848*$H832</f>
        <v>700.8076808521821</v>
      </c>
      <c r="E848" s="206"/>
      <c r="F848" s="206">
        <f>C848</f>
        <v>12000</v>
      </c>
      <c r="G848" s="204"/>
      <c r="H848" s="206"/>
    </row>
    <row r="849" spans="2:9">
      <c r="B849" s="100" t="s">
        <v>98</v>
      </c>
      <c r="C849" s="221"/>
      <c r="D849" s="204"/>
      <c r="E849" s="206"/>
      <c r="F849" s="206"/>
      <c r="G849" s="204"/>
      <c r="H849" s="206"/>
    </row>
    <row r="850" spans="2:9">
      <c r="B850" s="100" t="s">
        <v>99</v>
      </c>
      <c r="C850" s="221"/>
      <c r="D850" s="204">
        <f>C850*$H832</f>
        <v>0</v>
      </c>
      <c r="E850" s="206"/>
      <c r="F850" s="206">
        <f t="shared" ref="F850:F855" si="40">C850</f>
        <v>0</v>
      </c>
      <c r="G850" s="204">
        <f>F850*$H832</f>
        <v>0</v>
      </c>
      <c r="H850" s="206"/>
    </row>
    <row r="851" spans="2:9">
      <c r="B851" s="83" t="s">
        <v>99</v>
      </c>
      <c r="C851" s="221"/>
      <c r="D851" s="204">
        <f>C851*$H832</f>
        <v>0</v>
      </c>
      <c r="E851" s="206"/>
      <c r="F851" s="206">
        <f t="shared" si="40"/>
        <v>0</v>
      </c>
      <c r="G851" s="204">
        <f>F851*$H832</f>
        <v>0</v>
      </c>
      <c r="H851" s="206"/>
    </row>
    <row r="852" spans="2:9">
      <c r="B852" s="83" t="s">
        <v>100</v>
      </c>
      <c r="C852" s="221"/>
      <c r="D852" s="204">
        <f>C852*$H832</f>
        <v>0</v>
      </c>
      <c r="E852" s="206"/>
      <c r="F852" s="206">
        <f t="shared" si="40"/>
        <v>0</v>
      </c>
      <c r="G852" s="204">
        <f>F852*$H832</f>
        <v>0</v>
      </c>
      <c r="H852" s="206"/>
    </row>
    <row r="853" spans="2:9">
      <c r="B853" s="83" t="s">
        <v>101</v>
      </c>
      <c r="C853" s="221"/>
      <c r="D853" s="204">
        <f>C853*$H832</f>
        <v>0</v>
      </c>
      <c r="E853" s="206"/>
      <c r="F853" s="206">
        <f t="shared" si="40"/>
        <v>0</v>
      </c>
      <c r="G853" s="204">
        <f>F853*$H832</f>
        <v>0</v>
      </c>
      <c r="H853" s="206"/>
    </row>
    <row r="854" spans="2:9">
      <c r="B854" s="83" t="s">
        <v>102</v>
      </c>
      <c r="C854" s="221"/>
      <c r="D854" s="204">
        <f>C854*$H832</f>
        <v>0</v>
      </c>
      <c r="E854" s="206"/>
      <c r="F854" s="206">
        <f t="shared" si="40"/>
        <v>0</v>
      </c>
      <c r="G854" s="204">
        <f>F854*$H832</f>
        <v>0</v>
      </c>
      <c r="H854" s="206"/>
    </row>
    <row r="855" spans="2:9">
      <c r="B855" s="83" t="s">
        <v>103</v>
      </c>
      <c r="C855" s="221">
        <f>Model!AX$140</f>
        <v>0</v>
      </c>
      <c r="D855" s="204">
        <f>C855*$H832</f>
        <v>0</v>
      </c>
      <c r="E855" s="206"/>
      <c r="F855" s="206">
        <f t="shared" si="40"/>
        <v>0</v>
      </c>
      <c r="G855" s="204"/>
      <c r="H855" s="206"/>
    </row>
    <row r="856" spans="2:9">
      <c r="B856" s="83" t="s">
        <v>104</v>
      </c>
      <c r="C856" s="221">
        <f>Model!AX$144</f>
        <v>7892.7</v>
      </c>
      <c r="D856" s="204">
        <f>C856*$H832</f>
        <v>460.93873188850148</v>
      </c>
      <c r="E856" s="206"/>
      <c r="F856" s="206">
        <f t="shared" ref="F856:F858" si="41">C856</f>
        <v>7892.7</v>
      </c>
      <c r="G856" s="204">
        <f>F856*$H832</f>
        <v>460.93873188850148</v>
      </c>
      <c r="H856" s="206"/>
    </row>
    <row r="857" spans="2:9">
      <c r="B857" s="83" t="s">
        <v>105</v>
      </c>
      <c r="C857" s="221">
        <f>Model!AX$155</f>
        <v>8209.4410000000007</v>
      </c>
      <c r="D857" s="204">
        <f>C857*$H832</f>
        <v>479.43660902523493</v>
      </c>
      <c r="E857" s="206"/>
      <c r="F857" s="206">
        <f t="shared" si="41"/>
        <v>8209.4410000000007</v>
      </c>
      <c r="G857" s="204">
        <f>F857*$H832</f>
        <v>479.43660902523493</v>
      </c>
      <c r="H857" s="206"/>
    </row>
    <row r="858" spans="2:9">
      <c r="B858" s="83"/>
      <c r="C858" s="221"/>
      <c r="D858" s="204">
        <f>C858*$H832</f>
        <v>0</v>
      </c>
      <c r="E858" s="206"/>
      <c r="F858" s="206">
        <f t="shared" si="41"/>
        <v>0</v>
      </c>
      <c r="G858" s="204">
        <f>F858*$H832</f>
        <v>0</v>
      </c>
      <c r="H858" s="206"/>
    </row>
    <row r="859" spans="2:9">
      <c r="B859" s="83" t="s">
        <v>58</v>
      </c>
      <c r="C859" s="221">
        <f>Model!AX$157</f>
        <v>-761.54100000000005</v>
      </c>
      <c r="D859" s="204">
        <f>C859*$H832</f>
        <v>-44.474481840320969</v>
      </c>
      <c r="E859" s="206"/>
      <c r="F859" s="206">
        <f>C859</f>
        <v>-761.54100000000005</v>
      </c>
      <c r="G859" s="204">
        <f>F859*$H832</f>
        <v>-44.474481840320969</v>
      </c>
      <c r="H859" s="206"/>
    </row>
    <row r="860" spans="2:9">
      <c r="B860" s="161" t="s">
        <v>124</v>
      </c>
      <c r="C860" s="222">
        <f>Model!AX$170</f>
        <v>0</v>
      </c>
      <c r="D860" s="207"/>
      <c r="E860" s="207"/>
      <c r="F860" s="207"/>
      <c r="G860" s="207"/>
      <c r="H860" s="207"/>
    </row>
    <row r="861" spans="2:9">
      <c r="B861" s="35" t="s">
        <v>12</v>
      </c>
      <c r="C861" s="208">
        <f>SUM(C835:C860)</f>
        <v>127001.37200000002</v>
      </c>
      <c r="D861" s="208"/>
      <c r="E861" s="36">
        <f>+C861/C866</f>
        <v>2.2918230082107738</v>
      </c>
      <c r="F861" s="208">
        <f>SUM(F835:F860)</f>
        <v>127001.37200000002</v>
      </c>
      <c r="G861" s="208">
        <f>SUM(G835:G860)</f>
        <v>5957.4314230483969</v>
      </c>
      <c r="H861" s="36">
        <f>+F861/F866</f>
        <v>2.2918230082107738</v>
      </c>
      <c r="I861" s="145"/>
    </row>
    <row r="862" spans="2:9">
      <c r="B862" s="34" t="s">
        <v>13</v>
      </c>
      <c r="C862" s="209">
        <f>Model!AX$165</f>
        <v>6485.7870000000003</v>
      </c>
      <c r="D862" s="204">
        <f>C862*$H832</f>
        <v>378.7741121642693</v>
      </c>
      <c r="E862" s="210"/>
      <c r="F862" s="209">
        <f>C862</f>
        <v>6485.7870000000003</v>
      </c>
      <c r="G862" s="204">
        <f>F862*$H832</f>
        <v>378.7741121642693</v>
      </c>
      <c r="H862" s="210"/>
    </row>
    <row r="863" spans="2:9">
      <c r="B863" s="35" t="s">
        <v>14</v>
      </c>
      <c r="C863" s="208">
        <f>+C861-C862</f>
        <v>120515.58500000002</v>
      </c>
      <c r="D863" s="208"/>
      <c r="E863" s="36">
        <f>+C863/C866</f>
        <v>2.1747827303076788</v>
      </c>
      <c r="F863" s="208">
        <f>F861-F862</f>
        <v>120515.58500000002</v>
      </c>
      <c r="G863" s="208">
        <f>+G861-G862</f>
        <v>5578.6573108841276</v>
      </c>
      <c r="H863" s="36">
        <f>+F863/F866</f>
        <v>2.1747827303076788</v>
      </c>
    </row>
    <row r="864" spans="2:9">
      <c r="B864" s="69" t="s">
        <v>16</v>
      </c>
      <c r="C864" s="211">
        <f>Model!AX$186</f>
        <v>106626.711</v>
      </c>
      <c r="D864" s="204"/>
      <c r="E864" s="212"/>
      <c r="F864" s="211"/>
      <c r="G864" s="204"/>
      <c r="H864" s="212"/>
    </row>
    <row r="865" spans="2:8">
      <c r="B865" s="69" t="s">
        <v>18</v>
      </c>
      <c r="C865" s="211">
        <f>C861+C864</f>
        <v>233628.08300000001</v>
      </c>
      <c r="D865" s="211"/>
      <c r="E865" s="212"/>
      <c r="F865" s="211"/>
      <c r="G865" s="211"/>
      <c r="H865" s="212"/>
    </row>
    <row r="866" spans="2:8">
      <c r="B866" s="181" t="s">
        <v>20</v>
      </c>
      <c r="C866" s="213">
        <f>Model!AX$92</f>
        <v>55415</v>
      </c>
      <c r="D866" s="213"/>
      <c r="E866" s="210"/>
      <c r="F866" s="210">
        <f>C866</f>
        <v>55415</v>
      </c>
      <c r="G866" s="213"/>
      <c r="H866" s="210"/>
    </row>
    <row r="868" spans="2:8">
      <c r="B868" s="101" t="s">
        <v>59</v>
      </c>
      <c r="C868" s="229">
        <f>Model!AX$179-Capitalisation!C861</f>
        <v>0</v>
      </c>
    </row>
    <row r="869" spans="2:8">
      <c r="B869" s="101"/>
      <c r="C869" s="103"/>
    </row>
    <row r="870" spans="2:8">
      <c r="B870" s="35" t="s">
        <v>60</v>
      </c>
      <c r="C870" s="88">
        <f>C863+Model!AX$185</f>
        <v>517874.58500000002</v>
      </c>
    </row>
    <row r="871" spans="2:8">
      <c r="B871" s="35" t="s">
        <v>61</v>
      </c>
      <c r="C871" s="36">
        <f>C870/C866</f>
        <v>9.3453863574844362</v>
      </c>
    </row>
    <row r="873" spans="2:8" ht="13.5" thickBot="1"/>
    <row r="874" spans="2:8">
      <c r="B874" s="78" t="s">
        <v>147</v>
      </c>
      <c r="C874" s="153" t="s">
        <v>4</v>
      </c>
      <c r="D874" s="153" t="s">
        <v>5</v>
      </c>
      <c r="E874" s="104"/>
      <c r="F874" s="104"/>
    </row>
    <row r="875" spans="2:8">
      <c r="B875" s="79" t="s">
        <v>108</v>
      </c>
      <c r="C875" s="276"/>
      <c r="D875" s="202">
        <f>C875*H832</f>
        <v>0</v>
      </c>
      <c r="E875" s="105"/>
      <c r="F875" s="105"/>
    </row>
    <row r="876" spans="2:8">
      <c r="B876" s="79" t="s">
        <v>63</v>
      </c>
      <c r="C876" s="202">
        <f>C862</f>
        <v>6485.7870000000003</v>
      </c>
      <c r="D876" s="202">
        <f>C876*H832</f>
        <v>378.7741121642693</v>
      </c>
      <c r="E876" s="105"/>
      <c r="F876" s="105"/>
    </row>
    <row r="877" spans="2:8" ht="13.5" thickBot="1">
      <c r="B877" s="80" t="s">
        <v>64</v>
      </c>
      <c r="C877" s="203">
        <f>SUM(C875:C876)</f>
        <v>6485.7870000000003</v>
      </c>
      <c r="D877" s="203">
        <f>SUM(D875:D876)</f>
        <v>378.7741121642693</v>
      </c>
      <c r="E877" s="105"/>
      <c r="F877" s="105"/>
    </row>
    <row r="879" spans="2:8">
      <c r="C879" s="30"/>
    </row>
    <row r="880" spans="2:8" ht="13.5" thickBot="1"/>
    <row r="881" spans="2:13" ht="13.5" thickBot="1">
      <c r="B881" s="78" t="s">
        <v>147</v>
      </c>
      <c r="C881" s="189" t="s">
        <v>4</v>
      </c>
      <c r="D881" s="186" t="s">
        <v>5</v>
      </c>
      <c r="E881" s="66"/>
    </row>
    <row r="882" spans="2:13">
      <c r="B882" s="144">
        <v>2023</v>
      </c>
      <c r="C882" s="199">
        <f>Model!AX$114</f>
        <v>20997.855</v>
      </c>
      <c r="D882" s="200">
        <f>+C882*$H832</f>
        <v>1226.2881721183664</v>
      </c>
      <c r="F882" s="271" t="s">
        <v>148</v>
      </c>
      <c r="G882" s="272"/>
    </row>
    <row r="883" spans="2:13">
      <c r="B883" s="144">
        <v>2024</v>
      </c>
      <c r="C883" s="199">
        <v>607.06100000000004</v>
      </c>
      <c r="D883" s="200">
        <f>+C883*$H832</f>
        <v>35.452750962150546</v>
      </c>
      <c r="F883" s="272" t="s">
        <v>70</v>
      </c>
      <c r="G883" s="273">
        <v>0.33</v>
      </c>
    </row>
    <row r="884" spans="2:13">
      <c r="B884" s="144">
        <v>2025</v>
      </c>
      <c r="C884" s="199">
        <v>668.50599999999997</v>
      </c>
      <c r="D884" s="200">
        <f>+C884*$H832</f>
        <v>39.041178291314068</v>
      </c>
      <c r="F884" s="272" t="s">
        <v>71</v>
      </c>
      <c r="G884" s="273">
        <v>0.04</v>
      </c>
    </row>
    <row r="885" spans="2:13">
      <c r="B885" s="144">
        <v>2026</v>
      </c>
      <c r="C885" s="199">
        <f>1813.383+10691.527</f>
        <v>12504.91</v>
      </c>
      <c r="D885" s="200">
        <f>+C885*$H832</f>
        <v>730.29474803043843</v>
      </c>
      <c r="F885" s="272" t="s">
        <v>72</v>
      </c>
      <c r="G885" s="273">
        <v>0.56999999999999995</v>
      </c>
    </row>
    <row r="886" spans="2:13">
      <c r="B886" s="144" t="s">
        <v>143</v>
      </c>
      <c r="C886" s="199">
        <f>26568.409+39133.273</f>
        <v>65701.682000000001</v>
      </c>
      <c r="D886" s="200">
        <f>+C886*$H832</f>
        <v>3837.0202825422966</v>
      </c>
      <c r="F886" s="272" t="s">
        <v>73</v>
      </c>
      <c r="G886" s="273">
        <v>0.06</v>
      </c>
    </row>
    <row r="887" spans="2:13" ht="13.5" thickBot="1">
      <c r="B887" s="144" t="s">
        <v>67</v>
      </c>
      <c r="C887" s="246">
        <f>C835</f>
        <v>26521.358</v>
      </c>
      <c r="D887" s="200">
        <f>+C887*$H832</f>
        <v>1548.8642827525389</v>
      </c>
    </row>
    <row r="888" spans="2:13" ht="13.5" thickBot="1">
      <c r="B888" s="185" t="s">
        <v>68</v>
      </c>
      <c r="C888" s="198">
        <f>SUM(C882:C887)</f>
        <v>127001.372</v>
      </c>
      <c r="D888" s="201">
        <f>+C888*$H832</f>
        <v>7416.9614146971053</v>
      </c>
      <c r="G888" s="127"/>
    </row>
    <row r="889" spans="2:13">
      <c r="B889" s="66"/>
      <c r="C889" s="237"/>
      <c r="D889" s="237"/>
      <c r="G889" s="127"/>
    </row>
    <row r="895" spans="2:13">
      <c r="G895" s="66" t="s">
        <v>149</v>
      </c>
      <c r="H895" s="241">
        <f>Model!AW267</f>
        <v>5.5219999999999998E-2</v>
      </c>
      <c r="J895" s="184" t="s">
        <v>8</v>
      </c>
    </row>
    <row r="896" spans="2:13">
      <c r="B896" s="391" t="s">
        <v>150</v>
      </c>
      <c r="C896" s="391"/>
      <c r="D896" s="391"/>
      <c r="E896" s="391"/>
      <c r="F896" s="391"/>
      <c r="G896" s="391"/>
      <c r="H896" s="391"/>
      <c r="I896" s="82"/>
      <c r="J896" s="392" t="s">
        <v>151</v>
      </c>
      <c r="K896" s="392"/>
      <c r="L896" s="392"/>
      <c r="M896" s="175"/>
    </row>
    <row r="897" spans="2:13" ht="25.5">
      <c r="B897" s="26" t="s">
        <v>4</v>
      </c>
      <c r="C897" s="106" t="s">
        <v>4</v>
      </c>
      <c r="D897" s="106" t="s">
        <v>5</v>
      </c>
      <c r="E897" s="166" t="s">
        <v>94</v>
      </c>
      <c r="F897" s="106" t="s">
        <v>4</v>
      </c>
      <c r="G897" s="106" t="s">
        <v>5</v>
      </c>
      <c r="H897" s="166" t="s">
        <v>95</v>
      </c>
      <c r="I897" s="27"/>
      <c r="J897" s="26"/>
      <c r="K897" s="106" t="s">
        <v>4</v>
      </c>
      <c r="L897" s="106" t="s">
        <v>5</v>
      </c>
      <c r="M897" s="106" t="s">
        <v>85</v>
      </c>
    </row>
    <row r="898" spans="2:13">
      <c r="B898" s="83" t="s">
        <v>10</v>
      </c>
      <c r="C898" s="221">
        <f>Model!AW176</f>
        <v>27634.419000000002</v>
      </c>
      <c r="D898" s="204">
        <f>C898*$H$895</f>
        <v>1525.97261718</v>
      </c>
      <c r="E898" s="205"/>
      <c r="F898" s="206">
        <f>C898</f>
        <v>27634.419000000002</v>
      </c>
      <c r="G898" s="204">
        <f>F898*$H895</f>
        <v>1525.97261718</v>
      </c>
      <c r="H898" s="205"/>
      <c r="I898" s="27"/>
      <c r="J898" s="26"/>
      <c r="K898" s="106"/>
      <c r="L898" s="106"/>
      <c r="M898" s="106"/>
    </row>
    <row r="899" spans="2:13">
      <c r="B899" s="100" t="s">
        <v>11</v>
      </c>
      <c r="C899" s="221"/>
      <c r="D899" s="204"/>
      <c r="E899" s="206"/>
      <c r="F899" s="206"/>
      <c r="G899" s="174"/>
      <c r="H899" s="206"/>
      <c r="J899" s="178" t="s">
        <v>12</v>
      </c>
      <c r="K899" s="217">
        <f>Model!AW115+Model!AW114</f>
        <v>92539.058000000005</v>
      </c>
      <c r="L899" s="217">
        <f>K899*$H895</f>
        <v>5110.0067827600005</v>
      </c>
      <c r="M899" s="180">
        <f>+K899/K904</f>
        <v>1.7009292895873542</v>
      </c>
    </row>
    <row r="900" spans="2:13">
      <c r="B900" s="83"/>
      <c r="C900" s="221"/>
      <c r="D900" s="204"/>
      <c r="E900" s="206"/>
      <c r="F900" s="206"/>
      <c r="G900" s="204"/>
      <c r="H900" s="206"/>
      <c r="J900" s="181" t="s">
        <v>13</v>
      </c>
      <c r="K900" s="218">
        <f>C922</f>
        <v>5981.1629999999996</v>
      </c>
      <c r="L900" s="217">
        <f>K900*$H895</f>
        <v>330.27982085999997</v>
      </c>
      <c r="M900" s="175"/>
    </row>
    <row r="901" spans="2:13">
      <c r="B901" s="83"/>
      <c r="C901" s="221"/>
      <c r="D901" s="204"/>
      <c r="E901" s="206"/>
      <c r="F901" s="206"/>
      <c r="G901" s="204"/>
      <c r="H901" s="206"/>
      <c r="J901" s="178" t="s">
        <v>14</v>
      </c>
      <c r="K901" s="217">
        <f>+K899-K900</f>
        <v>86557.895000000004</v>
      </c>
      <c r="L901" s="217">
        <f>K901*$H895</f>
        <v>4779.7269618999999</v>
      </c>
      <c r="M901" s="180">
        <f>+K901/K904</f>
        <v>1.5909915448947707</v>
      </c>
    </row>
    <row r="902" spans="2:13">
      <c r="B902" s="83" t="s">
        <v>17</v>
      </c>
      <c r="C902" s="221">
        <f>Model!AW120</f>
        <v>14484.16</v>
      </c>
      <c r="D902" s="204">
        <f>C902*$H$895</f>
        <v>799.81531519999999</v>
      </c>
      <c r="E902" s="206"/>
      <c r="F902" s="206">
        <f>C902</f>
        <v>14484.16</v>
      </c>
      <c r="G902" s="204">
        <f>F902*$H895</f>
        <v>799.81531519999999</v>
      </c>
      <c r="H902" s="206"/>
      <c r="J902" s="183" t="s">
        <v>16</v>
      </c>
      <c r="K902" s="219">
        <f>C924</f>
        <v>113258.447</v>
      </c>
      <c r="L902" s="275">
        <f>K902*$H895</f>
        <v>6254.1314433400003</v>
      </c>
      <c r="M902" s="175"/>
    </row>
    <row r="903" spans="2:13">
      <c r="B903" s="83" t="s">
        <v>15</v>
      </c>
      <c r="C903" s="221">
        <f>Model!AW119</f>
        <v>9007.3369999999995</v>
      </c>
      <c r="D903" s="204">
        <f>C903*$H$895</f>
        <v>497.38514913999995</v>
      </c>
      <c r="E903" s="206"/>
      <c r="F903" s="206">
        <f t="shared" ref="F903:F905" si="42">C903</f>
        <v>9007.3369999999995</v>
      </c>
      <c r="G903" s="204">
        <f>F903*$H895</f>
        <v>497.38514913999995</v>
      </c>
      <c r="H903" s="206"/>
      <c r="J903" s="183" t="s">
        <v>18</v>
      </c>
      <c r="K903" s="219">
        <f>K899+K902</f>
        <v>205797.505</v>
      </c>
      <c r="L903" s="219"/>
      <c r="M903" s="175"/>
    </row>
    <row r="904" spans="2:13">
      <c r="B904" s="83" t="s">
        <v>96</v>
      </c>
      <c r="C904" s="221">
        <f>Model!AW132</f>
        <v>11768.379000000001</v>
      </c>
      <c r="D904" s="204">
        <f>C904*$H$895</f>
        <v>649.84988838000004</v>
      </c>
      <c r="E904" s="206"/>
      <c r="F904" s="206">
        <f t="shared" si="42"/>
        <v>11768.379000000001</v>
      </c>
      <c r="G904" s="204">
        <f>F904*$H895</f>
        <v>649.84988838000004</v>
      </c>
      <c r="H904" s="206"/>
      <c r="J904" s="181" t="s">
        <v>20</v>
      </c>
      <c r="K904" s="220">
        <f>C926</f>
        <v>54405</v>
      </c>
      <c r="L904" s="220"/>
      <c r="M904" s="175"/>
    </row>
    <row r="905" spans="2:13">
      <c r="B905" s="83" t="s">
        <v>34</v>
      </c>
      <c r="C905" s="221">
        <f>Model!AW133</f>
        <v>10139.183999999999</v>
      </c>
      <c r="D905" s="204">
        <f>C905*$H$895</f>
        <v>559.88574047999998</v>
      </c>
      <c r="E905" s="206"/>
      <c r="F905" s="206">
        <f t="shared" si="42"/>
        <v>10139.183999999999</v>
      </c>
      <c r="G905" s="204">
        <f>F905*$H895</f>
        <v>559.88574047999998</v>
      </c>
      <c r="H905" s="206"/>
      <c r="J905" s="181"/>
      <c r="K905" s="220"/>
      <c r="L905" s="220"/>
      <c r="M905" s="175"/>
    </row>
    <row r="906" spans="2:13">
      <c r="B906" s="100" t="s">
        <v>97</v>
      </c>
      <c r="C906" s="221"/>
      <c r="D906" s="204"/>
      <c r="E906" s="206"/>
      <c r="F906" s="206"/>
      <c r="G906" s="204"/>
      <c r="H906" s="206"/>
    </row>
    <row r="907" spans="2:13">
      <c r="B907" s="83" t="s">
        <v>26</v>
      </c>
      <c r="C907" s="221">
        <f>Model!AW125</f>
        <v>7706.3389999999999</v>
      </c>
      <c r="D907" s="204">
        <f>C907*$H$895</f>
        <v>425.54403958</v>
      </c>
      <c r="E907" s="206"/>
      <c r="F907" s="206">
        <f>C907</f>
        <v>7706.3389999999999</v>
      </c>
      <c r="G907" s="204">
        <f>F907*$H895</f>
        <v>425.54403958</v>
      </c>
      <c r="H907" s="206"/>
      <c r="I907" s="102"/>
    </row>
    <row r="908" spans="2:13">
      <c r="B908" s="83" t="s">
        <v>30</v>
      </c>
      <c r="C908" s="221">
        <f>Model!AW129</f>
        <v>9633.1020000000008</v>
      </c>
      <c r="D908" s="204">
        <f>C908*$H$895</f>
        <v>531.93989243999999</v>
      </c>
      <c r="E908" s="206"/>
      <c r="F908" s="206">
        <f>C908</f>
        <v>9633.1020000000008</v>
      </c>
      <c r="G908" s="204">
        <f>F908*$H895</f>
        <v>531.93989243999999</v>
      </c>
      <c r="H908" s="206"/>
    </row>
    <row r="909" spans="2:13">
      <c r="B909" s="100" t="s">
        <v>98</v>
      </c>
      <c r="C909" s="221"/>
      <c r="D909" s="204"/>
      <c r="E909" s="206"/>
      <c r="F909" s="206"/>
      <c r="G909" s="204"/>
      <c r="H909" s="206"/>
    </row>
    <row r="910" spans="2:13">
      <c r="B910" s="100" t="s">
        <v>99</v>
      </c>
      <c r="C910" s="221"/>
      <c r="D910" s="204">
        <f t="shared" ref="D910:D919" si="43">C910*$H$895</f>
        <v>0</v>
      </c>
      <c r="E910" s="206"/>
      <c r="F910" s="206"/>
      <c r="G910" s="204">
        <f>F910*$H895</f>
        <v>0</v>
      </c>
      <c r="H910" s="206"/>
    </row>
    <row r="911" spans="2:13">
      <c r="B911" s="83" t="s">
        <v>99</v>
      </c>
      <c r="C911" s="221"/>
      <c r="D911" s="204">
        <f t="shared" si="43"/>
        <v>0</v>
      </c>
      <c r="E911" s="206"/>
      <c r="F911" s="206">
        <f t="shared" ref="F911:F919" si="44">C911</f>
        <v>0</v>
      </c>
      <c r="G911" s="204">
        <f>F911*$H895</f>
        <v>0</v>
      </c>
      <c r="H911" s="206"/>
    </row>
    <row r="912" spans="2:13">
      <c r="B912" s="83" t="s">
        <v>100</v>
      </c>
      <c r="C912" s="221"/>
      <c r="D912" s="204">
        <f t="shared" si="43"/>
        <v>0</v>
      </c>
      <c r="E912" s="206"/>
      <c r="F912" s="206">
        <f t="shared" si="44"/>
        <v>0</v>
      </c>
      <c r="G912" s="204">
        <f>F912*$H895</f>
        <v>0</v>
      </c>
      <c r="H912" s="206"/>
    </row>
    <row r="913" spans="2:9">
      <c r="B913" s="83" t="s">
        <v>101</v>
      </c>
      <c r="C913" s="221"/>
      <c r="D913" s="204">
        <f t="shared" si="43"/>
        <v>0</v>
      </c>
      <c r="E913" s="206"/>
      <c r="F913" s="206">
        <f t="shared" si="44"/>
        <v>0</v>
      </c>
      <c r="G913" s="204">
        <f>F913*$H895</f>
        <v>0</v>
      </c>
      <c r="H913" s="206"/>
    </row>
    <row r="914" spans="2:9">
      <c r="B914" s="83" t="s">
        <v>102</v>
      </c>
      <c r="C914" s="221"/>
      <c r="D914" s="204">
        <f t="shared" si="43"/>
        <v>0</v>
      </c>
      <c r="E914" s="206"/>
      <c r="F914" s="206">
        <f t="shared" si="44"/>
        <v>0</v>
      </c>
      <c r="G914" s="204">
        <f>F914*$H895</f>
        <v>0</v>
      </c>
      <c r="H914" s="206"/>
    </row>
    <row r="915" spans="2:9">
      <c r="B915" s="83" t="s">
        <v>103</v>
      </c>
      <c r="C915" s="221">
        <f>Model!AW140</f>
        <v>8630.0609999999997</v>
      </c>
      <c r="D915" s="204">
        <f t="shared" si="43"/>
        <v>476.55196841999998</v>
      </c>
      <c r="E915" s="206"/>
      <c r="F915" s="206"/>
      <c r="G915" s="204"/>
      <c r="H915" s="206"/>
    </row>
    <row r="916" spans="2:9">
      <c r="B916" s="83" t="s">
        <v>104</v>
      </c>
      <c r="C916" s="221">
        <f>Model!AW144</f>
        <v>2415</v>
      </c>
      <c r="D916" s="204">
        <f t="shared" si="43"/>
        <v>133.3563</v>
      </c>
      <c r="E916" s="206"/>
      <c r="F916" s="206">
        <f t="shared" si="44"/>
        <v>2415</v>
      </c>
      <c r="G916" s="204">
        <f>F916*$H895</f>
        <v>133.3563</v>
      </c>
      <c r="H916" s="206"/>
    </row>
    <row r="917" spans="2:9">
      <c r="B917" s="83" t="s">
        <v>105</v>
      </c>
      <c r="C917" s="221">
        <f>Model!AW155</f>
        <v>8875.4809999999998</v>
      </c>
      <c r="D917" s="204">
        <f t="shared" si="43"/>
        <v>490.10406081999997</v>
      </c>
      <c r="E917" s="206"/>
      <c r="F917" s="206">
        <f t="shared" si="44"/>
        <v>8875.4809999999998</v>
      </c>
      <c r="G917" s="204">
        <f>F917*$H895</f>
        <v>490.10406081999997</v>
      </c>
      <c r="H917" s="206"/>
    </row>
    <row r="918" spans="2:9">
      <c r="B918" s="83"/>
      <c r="C918" s="221">
        <f>Model!AW156</f>
        <v>10596.376</v>
      </c>
      <c r="D918" s="204">
        <f t="shared" si="43"/>
        <v>585.13188272000002</v>
      </c>
      <c r="E918" s="206"/>
      <c r="F918" s="206">
        <f t="shared" si="44"/>
        <v>10596.376</v>
      </c>
      <c r="G918" s="204">
        <f>F918*$H895</f>
        <v>585.13188272000002</v>
      </c>
      <c r="H918" s="206"/>
    </row>
    <row r="919" spans="2:9">
      <c r="B919" s="83" t="s">
        <v>58</v>
      </c>
      <c r="C919" s="221">
        <f>Model!AW157</f>
        <v>-716.36099999999999</v>
      </c>
      <c r="D919" s="204">
        <f t="shared" si="43"/>
        <v>-39.557454419999999</v>
      </c>
      <c r="E919" s="206"/>
      <c r="F919" s="206">
        <f t="shared" si="44"/>
        <v>-716.36099999999999</v>
      </c>
      <c r="G919" s="204">
        <f>F919*$H895</f>
        <v>-39.557454419999999</v>
      </c>
      <c r="H919" s="206"/>
    </row>
    <row r="920" spans="2:9">
      <c r="B920" s="161" t="s">
        <v>124</v>
      </c>
      <c r="C920" s="222">
        <f>Model!AW170</f>
        <v>8098.7240000000002</v>
      </c>
      <c r="D920" s="207"/>
      <c r="E920" s="207"/>
      <c r="F920" s="207"/>
      <c r="G920" s="207"/>
      <c r="H920" s="207"/>
    </row>
    <row r="921" spans="2:9">
      <c r="B921" s="35" t="s">
        <v>12</v>
      </c>
      <c r="C921" s="208">
        <f>SUM(C898:C920)</f>
        <v>128272.201</v>
      </c>
      <c r="D921" s="208"/>
      <c r="E921" s="36">
        <f>+C921/C926</f>
        <v>2.357728168366878</v>
      </c>
      <c r="F921" s="208">
        <f>SUM(F898:F920)</f>
        <v>111543.416</v>
      </c>
      <c r="G921" s="208">
        <f>SUM(G898:G920)</f>
        <v>6159.4274315200009</v>
      </c>
      <c r="H921" s="36">
        <f>+F921/F926</f>
        <v>2.0502419998161932</v>
      </c>
      <c r="I921" s="145"/>
    </row>
    <row r="922" spans="2:9">
      <c r="B922" s="34" t="s">
        <v>13</v>
      </c>
      <c r="C922" s="209">
        <f>Model!AW165</f>
        <v>5981.1629999999996</v>
      </c>
      <c r="D922" s="204">
        <f>C922*$H$895</f>
        <v>330.27982085999997</v>
      </c>
      <c r="E922" s="210"/>
      <c r="F922" s="209">
        <f>C922</f>
        <v>5981.1629999999996</v>
      </c>
      <c r="G922" s="204">
        <f>F922*$H895</f>
        <v>330.27982085999997</v>
      </c>
      <c r="H922" s="210"/>
    </row>
    <row r="923" spans="2:9">
      <c r="B923" s="35" t="s">
        <v>14</v>
      </c>
      <c r="C923" s="208">
        <f>+C921-C922</f>
        <v>122291.038</v>
      </c>
      <c r="D923" s="208"/>
      <c r="E923" s="36">
        <f>+C923/C926</f>
        <v>2.2477904236742945</v>
      </c>
      <c r="F923" s="208">
        <f>F921-F922</f>
        <v>105562.253</v>
      </c>
      <c r="G923" s="208">
        <f>+G921-G922</f>
        <v>5829.1476106600012</v>
      </c>
      <c r="H923" s="36">
        <f>+F923/F926</f>
        <v>1.9403042551236098</v>
      </c>
    </row>
    <row r="924" spans="2:9">
      <c r="B924" s="69" t="s">
        <v>16</v>
      </c>
      <c r="C924" s="211">
        <f>Model!AW186</f>
        <v>113258.447</v>
      </c>
      <c r="D924" s="204"/>
      <c r="E924" s="212"/>
      <c r="F924" s="211"/>
      <c r="G924" s="204"/>
      <c r="H924" s="212"/>
    </row>
    <row r="925" spans="2:9">
      <c r="B925" s="69" t="s">
        <v>18</v>
      </c>
      <c r="C925" s="211">
        <f>C921+C924</f>
        <v>241530.64799999999</v>
      </c>
      <c r="D925" s="211"/>
      <c r="E925" s="212"/>
      <c r="F925" s="211"/>
      <c r="G925" s="211"/>
      <c r="H925" s="212"/>
    </row>
    <row r="926" spans="2:9">
      <c r="B926" s="181" t="s">
        <v>20</v>
      </c>
      <c r="C926" s="213">
        <f>Model!AW92</f>
        <v>54405</v>
      </c>
      <c r="D926" s="213"/>
      <c r="E926" s="210"/>
      <c r="F926" s="210">
        <f>C926</f>
        <v>54405</v>
      </c>
      <c r="G926" s="213"/>
      <c r="H926" s="210"/>
    </row>
    <row r="928" spans="2:9">
      <c r="B928" s="101" t="s">
        <v>59</v>
      </c>
      <c r="C928" s="229">
        <f>Model!AW179-Capitalisation!C921</f>
        <v>0</v>
      </c>
    </row>
    <row r="929" spans="2:7">
      <c r="B929" s="101"/>
      <c r="C929" s="103"/>
    </row>
    <row r="930" spans="2:7">
      <c r="B930" s="35" t="s">
        <v>60</v>
      </c>
      <c r="C930" s="88">
        <f>C923+Model!AW185</f>
        <v>336691.038</v>
      </c>
    </row>
    <row r="931" spans="2:7">
      <c r="B931" s="35" t="s">
        <v>61</v>
      </c>
      <c r="C931" s="36">
        <f>C930/C926</f>
        <v>6.1886046870692031</v>
      </c>
    </row>
    <row r="933" spans="2:7" ht="13.5" thickBot="1"/>
    <row r="934" spans="2:7">
      <c r="B934" s="78" t="s">
        <v>152</v>
      </c>
      <c r="C934" s="153" t="s">
        <v>4</v>
      </c>
      <c r="D934" s="153" t="s">
        <v>5</v>
      </c>
      <c r="E934" s="104"/>
      <c r="F934" s="104"/>
    </row>
    <row r="935" spans="2:7">
      <c r="B935" s="79" t="s">
        <v>108</v>
      </c>
      <c r="C935" s="276"/>
      <c r="D935" s="202">
        <f>C935*H895</f>
        <v>0</v>
      </c>
      <c r="E935" s="105"/>
      <c r="F935" s="105"/>
    </row>
    <row r="936" spans="2:7">
      <c r="B936" s="79" t="s">
        <v>63</v>
      </c>
      <c r="C936" s="202">
        <f>C922</f>
        <v>5981.1629999999996</v>
      </c>
      <c r="D936" s="202">
        <f>C936*H895</f>
        <v>330.27982085999997</v>
      </c>
      <c r="E936" s="105"/>
      <c r="F936" s="105"/>
    </row>
    <row r="937" spans="2:7" ht="13.5" thickBot="1">
      <c r="B937" s="80" t="s">
        <v>64</v>
      </c>
      <c r="C937" s="203">
        <f>SUM(C935:C936)</f>
        <v>5981.1629999999996</v>
      </c>
      <c r="D937" s="203">
        <f>SUM(D935:D936)</f>
        <v>330.27982085999997</v>
      </c>
      <c r="E937" s="105"/>
      <c r="F937" s="105"/>
    </row>
    <row r="939" spans="2:7">
      <c r="C939" s="30"/>
    </row>
    <row r="940" spans="2:7" ht="13.5" thickBot="1"/>
    <row r="941" spans="2:7" ht="13.5" thickBot="1">
      <c r="B941" s="78" t="s">
        <v>152</v>
      </c>
      <c r="C941" s="189" t="s">
        <v>4</v>
      </c>
      <c r="D941" s="186" t="s">
        <v>5</v>
      </c>
      <c r="E941" s="66"/>
    </row>
    <row r="942" spans="2:7">
      <c r="B942" s="144">
        <v>2023</v>
      </c>
      <c r="C942" s="199">
        <v>0</v>
      </c>
      <c r="D942" s="200">
        <f>+C942*$H895</f>
        <v>0</v>
      </c>
      <c r="F942" s="271" t="s">
        <v>153</v>
      </c>
      <c r="G942" s="272"/>
    </row>
    <row r="943" spans="2:7">
      <c r="B943" s="144">
        <v>2024</v>
      </c>
      <c r="C943" s="199">
        <v>15067.989</v>
      </c>
      <c r="D943" s="200">
        <f>+C943*$H895</f>
        <v>832.05435258</v>
      </c>
      <c r="F943" s="272" t="s">
        <v>70</v>
      </c>
      <c r="G943" s="273">
        <v>0.46</v>
      </c>
    </row>
    <row r="944" spans="2:7">
      <c r="B944" s="144">
        <v>2025</v>
      </c>
      <c r="C944" s="199">
        <v>168.97</v>
      </c>
      <c r="D944" s="200">
        <f>+C944*$H895</f>
        <v>9.3305233999999988</v>
      </c>
      <c r="F944" s="272" t="s">
        <v>71</v>
      </c>
      <c r="G944" s="273">
        <v>0.05</v>
      </c>
    </row>
    <row r="945" spans="2:13">
      <c r="B945" s="144">
        <v>2026</v>
      </c>
      <c r="C945" s="199">
        <v>7805.59</v>
      </c>
      <c r="D945" s="200">
        <f>+C945*$H895</f>
        <v>431.0246798</v>
      </c>
      <c r="F945" s="272" t="s">
        <v>72</v>
      </c>
      <c r="G945" s="273">
        <v>0.42</v>
      </c>
    </row>
    <row r="946" spans="2:13">
      <c r="B946" s="144" t="s">
        <v>143</v>
      </c>
      <c r="C946" s="199">
        <v>51232.163999999997</v>
      </c>
      <c r="D946" s="200">
        <f>+C946*$H895</f>
        <v>2829.0400960799998</v>
      </c>
      <c r="F946" s="272" t="s">
        <v>73</v>
      </c>
      <c r="G946" s="273">
        <v>7.0000000000000007E-2</v>
      </c>
    </row>
    <row r="947" spans="2:13" ht="13.5" thickBot="1">
      <c r="B947" s="144" t="s">
        <v>67</v>
      </c>
      <c r="C947" s="246">
        <f>C898</f>
        <v>27634.419000000002</v>
      </c>
      <c r="D947" s="200">
        <f>+C947*$H895</f>
        <v>1525.97261718</v>
      </c>
    </row>
    <row r="948" spans="2:13" ht="13.5" thickBot="1">
      <c r="B948" s="185" t="s">
        <v>68</v>
      </c>
      <c r="C948" s="198">
        <f>SUM(C942:C947)</f>
        <v>101909.13199999998</v>
      </c>
      <c r="D948" s="201">
        <f>+C948*$H895</f>
        <v>5627.4222690399993</v>
      </c>
      <c r="G948" s="127"/>
    </row>
    <row r="949" spans="2:13">
      <c r="B949" s="66"/>
      <c r="C949" s="237"/>
      <c r="D949" s="237"/>
      <c r="G949" s="127"/>
    </row>
    <row r="955" spans="2:13">
      <c r="G955" s="66" t="s">
        <v>154</v>
      </c>
      <c r="H955" s="241">
        <f>Model!AV267</f>
        <v>5.126E-2</v>
      </c>
      <c r="J955" s="184" t="s">
        <v>8</v>
      </c>
    </row>
    <row r="956" spans="2:13">
      <c r="B956" s="391" t="s">
        <v>155</v>
      </c>
      <c r="C956" s="391"/>
      <c r="D956" s="391"/>
      <c r="E956" s="391"/>
      <c r="F956" s="391"/>
      <c r="G956" s="391"/>
      <c r="H956" s="391"/>
      <c r="I956" s="82"/>
      <c r="J956" s="392" t="s">
        <v>156</v>
      </c>
      <c r="K956" s="392"/>
      <c r="L956" s="392"/>
      <c r="M956" s="175"/>
    </row>
    <row r="957" spans="2:13" ht="25.5">
      <c r="B957" s="26" t="s">
        <v>4</v>
      </c>
      <c r="C957" s="106" t="s">
        <v>4</v>
      </c>
      <c r="D957" s="106" t="s">
        <v>5</v>
      </c>
      <c r="E957" s="166" t="s">
        <v>94</v>
      </c>
      <c r="F957" s="106" t="s">
        <v>4</v>
      </c>
      <c r="G957" s="106" t="s">
        <v>5</v>
      </c>
      <c r="H957" s="166" t="s">
        <v>95</v>
      </c>
      <c r="I957" s="27"/>
      <c r="J957" s="26"/>
      <c r="K957" s="106" t="s">
        <v>4</v>
      </c>
      <c r="L957" s="106" t="s">
        <v>5</v>
      </c>
      <c r="M957" s="106" t="s">
        <v>85</v>
      </c>
    </row>
    <row r="958" spans="2:13">
      <c r="B958" s="83" t="s">
        <v>10</v>
      </c>
      <c r="C958" s="221">
        <f>Model!AV176</f>
        <v>29185.276999999998</v>
      </c>
      <c r="D958" s="204">
        <f>C958*$H$955</f>
        <v>1496.0372990199999</v>
      </c>
      <c r="E958" s="205"/>
      <c r="F958" s="206">
        <f>C958</f>
        <v>29185.276999999998</v>
      </c>
      <c r="G958" s="204">
        <f>F958*$H955</f>
        <v>1496.0372990199999</v>
      </c>
      <c r="H958" s="205"/>
      <c r="I958" s="27"/>
      <c r="J958" s="26"/>
      <c r="K958" s="106"/>
      <c r="L958" s="106"/>
      <c r="M958" s="106"/>
    </row>
    <row r="959" spans="2:13">
      <c r="B959" s="100" t="s">
        <v>11</v>
      </c>
      <c r="C959" s="221"/>
      <c r="D959" s="204"/>
      <c r="E959" s="206"/>
      <c r="F959" s="206"/>
      <c r="G959" s="174"/>
      <c r="H959" s="206"/>
      <c r="J959" s="178" t="s">
        <v>12</v>
      </c>
      <c r="K959" s="217">
        <f>Model!AV115+Model!AV114</f>
        <v>84054.474000000002</v>
      </c>
      <c r="L959" s="217">
        <f>K959*$H955</f>
        <v>4308.6323372400002</v>
      </c>
      <c r="M959" s="180">
        <f>+K959/K964</f>
        <v>1.5727284872298626</v>
      </c>
    </row>
    <row r="960" spans="2:13">
      <c r="B960" s="83"/>
      <c r="C960" s="221"/>
      <c r="D960" s="204"/>
      <c r="E960" s="206"/>
      <c r="F960" s="206"/>
      <c r="G960" s="204"/>
      <c r="H960" s="206"/>
      <c r="J960" s="181" t="s">
        <v>13</v>
      </c>
      <c r="K960" s="218">
        <f>C981</f>
        <v>12313.138000000001</v>
      </c>
      <c r="L960" s="217">
        <f>K960*$H955</f>
        <v>631.17145388000006</v>
      </c>
      <c r="M960" s="175"/>
    </row>
    <row r="961" spans="2:13" ht="25.5" customHeight="1">
      <c r="B961" s="83"/>
      <c r="C961" s="221"/>
      <c r="D961" s="204"/>
      <c r="E961" s="206"/>
      <c r="F961" s="206"/>
      <c r="G961" s="204"/>
      <c r="H961" s="206"/>
      <c r="J961" s="178" t="s">
        <v>14</v>
      </c>
      <c r="K961" s="217">
        <f>+K959-K960</f>
        <v>71741.335999999996</v>
      </c>
      <c r="L961" s="217">
        <f>K961*$H955</f>
        <v>3677.4608833599996</v>
      </c>
      <c r="M961" s="180">
        <f>+K961/K964</f>
        <v>1.3423395266161473</v>
      </c>
    </row>
    <row r="962" spans="2:13">
      <c r="B962" s="83" t="s">
        <v>17</v>
      </c>
      <c r="C962" s="221">
        <f>Model!AV120</f>
        <v>15489.2</v>
      </c>
      <c r="D962" s="204">
        <f>C962*$H$955</f>
        <v>793.97639200000003</v>
      </c>
      <c r="E962" s="206"/>
      <c r="F962" s="206">
        <f>C962</f>
        <v>15489.2</v>
      </c>
      <c r="G962" s="204">
        <f>F962*$H955</f>
        <v>793.97639200000003</v>
      </c>
      <c r="H962" s="206"/>
      <c r="J962" s="183" t="s">
        <v>16</v>
      </c>
      <c r="K962" s="219">
        <f>C983</f>
        <v>127601.88099999999</v>
      </c>
      <c r="L962" s="275">
        <f>K962*$H955</f>
        <v>6540.87242006</v>
      </c>
      <c r="M962" s="175"/>
    </row>
    <row r="963" spans="2:13">
      <c r="B963" s="83" t="s">
        <v>15</v>
      </c>
      <c r="C963" s="221">
        <f>Model!AV119</f>
        <v>9632.3459999999995</v>
      </c>
      <c r="D963" s="204">
        <f>C963*$H$955</f>
        <v>493.75405595999996</v>
      </c>
      <c r="E963" s="206"/>
      <c r="F963" s="206">
        <f t="shared" ref="F963:F965" si="45">C963</f>
        <v>9632.3459999999995</v>
      </c>
      <c r="G963" s="204">
        <f>F963*$H955</f>
        <v>493.75405595999996</v>
      </c>
      <c r="H963" s="206"/>
      <c r="J963" s="183" t="s">
        <v>18</v>
      </c>
      <c r="K963" s="219">
        <f>K959+K962</f>
        <v>211656.35499999998</v>
      </c>
      <c r="L963" s="219"/>
      <c r="M963" s="175"/>
    </row>
    <row r="964" spans="2:13">
      <c r="B964" s="83" t="s">
        <v>96</v>
      </c>
      <c r="C964" s="221">
        <f>Model!AV132</f>
        <v>12584.975</v>
      </c>
      <c r="D964" s="204">
        <f>C964*$H$955</f>
        <v>645.10581850000005</v>
      </c>
      <c r="E964" s="206"/>
      <c r="F964" s="206">
        <f t="shared" si="45"/>
        <v>12584.975</v>
      </c>
      <c r="G964" s="204">
        <f>F964*$H955</f>
        <v>645.10581850000005</v>
      </c>
      <c r="H964" s="206"/>
      <c r="J964" s="181" t="s">
        <v>20</v>
      </c>
      <c r="K964" s="220">
        <f>C985</f>
        <v>53445</v>
      </c>
      <c r="L964" s="220"/>
      <c r="M964" s="175"/>
    </row>
    <row r="965" spans="2:13">
      <c r="B965" s="83" t="s">
        <v>34</v>
      </c>
      <c r="C965" s="221">
        <f>Model!AV133</f>
        <v>10842.73</v>
      </c>
      <c r="D965" s="204">
        <f>C965*$H$955</f>
        <v>555.79833980000001</v>
      </c>
      <c r="E965" s="206"/>
      <c r="F965" s="206">
        <f t="shared" si="45"/>
        <v>10842.73</v>
      </c>
      <c r="G965" s="204">
        <f>F965*$H955</f>
        <v>555.79833980000001</v>
      </c>
      <c r="H965" s="206"/>
      <c r="J965" s="181"/>
      <c r="K965" s="220"/>
      <c r="L965" s="220"/>
      <c r="M965" s="175"/>
    </row>
    <row r="966" spans="2:13">
      <c r="B966" s="100" t="s">
        <v>97</v>
      </c>
      <c r="C966" s="221"/>
      <c r="D966" s="204"/>
      <c r="E966" s="206"/>
      <c r="F966" s="206"/>
      <c r="G966" s="204"/>
      <c r="H966" s="206"/>
    </row>
    <row r="967" spans="2:13">
      <c r="B967" s="83" t="s">
        <v>26</v>
      </c>
      <c r="C967" s="221">
        <f>Model!AV125</f>
        <v>7706.3389999999999</v>
      </c>
      <c r="D967" s="204">
        <f>C967*$H$955</f>
        <v>395.02693713999997</v>
      </c>
      <c r="E967" s="206"/>
      <c r="F967" s="206">
        <f>C967</f>
        <v>7706.3389999999999</v>
      </c>
      <c r="G967" s="204">
        <f>F967*$H955</f>
        <v>395.02693713999997</v>
      </c>
      <c r="H967" s="206"/>
      <c r="I967" s="102"/>
    </row>
    <row r="968" spans="2:13">
      <c r="B968" s="83" t="s">
        <v>30</v>
      </c>
      <c r="C968" s="221">
        <f>Model!AV129</f>
        <v>9633.1020000000008</v>
      </c>
      <c r="D968" s="204">
        <f>C968*$H$955</f>
        <v>493.79280852000005</v>
      </c>
      <c r="E968" s="206"/>
      <c r="F968" s="206">
        <f>C968</f>
        <v>9633.1020000000008</v>
      </c>
      <c r="G968" s="204">
        <f>F968*$H955</f>
        <v>493.79280852000005</v>
      </c>
      <c r="H968" s="206"/>
    </row>
    <row r="969" spans="2:13">
      <c r="B969" s="100" t="s">
        <v>98</v>
      </c>
      <c r="C969" s="221"/>
      <c r="D969" s="204"/>
      <c r="E969" s="206"/>
      <c r="F969" s="206"/>
      <c r="G969" s="204"/>
      <c r="H969" s="206"/>
    </row>
    <row r="970" spans="2:13">
      <c r="B970" s="100" t="s">
        <v>99</v>
      </c>
      <c r="C970" s="221"/>
      <c r="D970" s="204">
        <f t="shared" ref="D970:D978" si="46">C970*$H$955</f>
        <v>0</v>
      </c>
      <c r="E970" s="206"/>
      <c r="F970" s="206"/>
      <c r="G970" s="204">
        <f>F970*$H955</f>
        <v>0</v>
      </c>
      <c r="H970" s="206"/>
    </row>
    <row r="971" spans="2:13">
      <c r="B971" s="83" t="s">
        <v>99</v>
      </c>
      <c r="C971" s="221"/>
      <c r="D971" s="204">
        <f t="shared" si="46"/>
        <v>0</v>
      </c>
      <c r="E971" s="206"/>
      <c r="F971" s="206">
        <f t="shared" ref="F971:F978" si="47">C971</f>
        <v>0</v>
      </c>
      <c r="G971" s="204">
        <f>F971*$H955</f>
        <v>0</v>
      </c>
      <c r="H971" s="206"/>
    </row>
    <row r="972" spans="2:13">
      <c r="B972" s="83" t="s">
        <v>100</v>
      </c>
      <c r="C972" s="221"/>
      <c r="D972" s="204">
        <f t="shared" si="46"/>
        <v>0</v>
      </c>
      <c r="E972" s="206"/>
      <c r="F972" s="206">
        <f t="shared" si="47"/>
        <v>0</v>
      </c>
      <c r="G972" s="204">
        <f>F972*$H955</f>
        <v>0</v>
      </c>
      <c r="H972" s="206"/>
    </row>
    <row r="973" spans="2:13">
      <c r="B973" s="83" t="s">
        <v>101</v>
      </c>
      <c r="C973" s="221"/>
      <c r="D973" s="204">
        <f t="shared" si="46"/>
        <v>0</v>
      </c>
      <c r="E973" s="206"/>
      <c r="F973" s="206">
        <f t="shared" si="47"/>
        <v>0</v>
      </c>
      <c r="G973" s="204">
        <f>F973*$H955</f>
        <v>0</v>
      </c>
      <c r="H973" s="206"/>
    </row>
    <row r="974" spans="2:13">
      <c r="B974" s="83" t="s">
        <v>102</v>
      </c>
      <c r="C974" s="221"/>
      <c r="D974" s="204">
        <f t="shared" si="46"/>
        <v>0</v>
      </c>
      <c r="E974" s="206"/>
      <c r="F974" s="206">
        <f t="shared" si="47"/>
        <v>0</v>
      </c>
      <c r="G974" s="204">
        <f>F974*$H955</f>
        <v>0</v>
      </c>
      <c r="H974" s="206"/>
    </row>
    <row r="975" spans="2:13">
      <c r="B975" s="83" t="s">
        <v>104</v>
      </c>
      <c r="C975" s="221">
        <f>Model!AV144</f>
        <v>0</v>
      </c>
      <c r="D975" s="204">
        <f t="shared" si="46"/>
        <v>0</v>
      </c>
      <c r="E975" s="206"/>
      <c r="F975" s="206">
        <f t="shared" si="47"/>
        <v>0</v>
      </c>
      <c r="G975" s="204">
        <f>F975*$H955</f>
        <v>0</v>
      </c>
      <c r="H975" s="206"/>
    </row>
    <row r="976" spans="2:13">
      <c r="B976" s="83" t="s">
        <v>105</v>
      </c>
      <c r="C976" s="221">
        <f>Model!AV155</f>
        <v>7521.8890000000001</v>
      </c>
      <c r="D976" s="204">
        <f t="shared" si="46"/>
        <v>385.57203013999998</v>
      </c>
      <c r="E976" s="206"/>
      <c r="F976" s="206">
        <f t="shared" si="47"/>
        <v>7521.8890000000001</v>
      </c>
      <c r="G976" s="204">
        <f>F976*$H955</f>
        <v>385.57203013999998</v>
      </c>
      <c r="H976" s="206"/>
    </row>
    <row r="977" spans="2:9">
      <c r="B977" s="83"/>
      <c r="C977" s="221">
        <f>Model!AV156</f>
        <v>11331.647000000001</v>
      </c>
      <c r="D977" s="204">
        <f t="shared" si="46"/>
        <v>580.86022522000007</v>
      </c>
      <c r="E977" s="206"/>
      <c r="F977" s="206">
        <f t="shared" si="47"/>
        <v>11331.647000000001</v>
      </c>
      <c r="G977" s="204">
        <f>F977*$H955</f>
        <v>580.86022522000007</v>
      </c>
      <c r="H977" s="206"/>
    </row>
    <row r="978" spans="2:9">
      <c r="B978" s="83" t="s">
        <v>58</v>
      </c>
      <c r="C978" s="221">
        <f>Model!AV157</f>
        <v>-687.75400000000002</v>
      </c>
      <c r="D978" s="204">
        <f t="shared" si="46"/>
        <v>-35.254270040000002</v>
      </c>
      <c r="E978" s="206"/>
      <c r="F978" s="206">
        <f t="shared" si="47"/>
        <v>-687.75400000000002</v>
      </c>
      <c r="G978" s="204">
        <f>F978*$H955</f>
        <v>-35.254270040000002</v>
      </c>
      <c r="H978" s="206"/>
    </row>
    <row r="979" spans="2:9">
      <c r="B979" s="161" t="s">
        <v>124</v>
      </c>
      <c r="C979" s="222">
        <f>Model!AV170</f>
        <v>8065.9269999999997</v>
      </c>
      <c r="D979" s="207"/>
      <c r="E979" s="207"/>
      <c r="F979" s="207"/>
      <c r="G979" s="207"/>
      <c r="H979" s="207"/>
    </row>
    <row r="980" spans="2:9">
      <c r="B980" s="35" t="s">
        <v>12</v>
      </c>
      <c r="C980" s="208">
        <f>SUM(C958:C979)</f>
        <v>121305.67799999999</v>
      </c>
      <c r="D980" s="208"/>
      <c r="E980" s="36">
        <f>+C980/C985</f>
        <v>2.2697292169520065</v>
      </c>
      <c r="F980" s="208">
        <f>SUM(F958:F979)</f>
        <v>113239.75099999999</v>
      </c>
      <c r="G980" s="208">
        <f>SUM(G958:G979)</f>
        <v>5804.6696362600005</v>
      </c>
      <c r="H980" s="36">
        <f>+F980/F985</f>
        <v>2.1188090747497426</v>
      </c>
      <c r="I980" s="145"/>
    </row>
    <row r="981" spans="2:9">
      <c r="B981" s="34" t="s">
        <v>13</v>
      </c>
      <c r="C981" s="209">
        <f>Model!AV165</f>
        <v>12313.138000000001</v>
      </c>
      <c r="D981" s="204">
        <f>C981*$H$955</f>
        <v>631.17145388000006</v>
      </c>
      <c r="E981" s="210"/>
      <c r="F981" s="209">
        <f>C981</f>
        <v>12313.138000000001</v>
      </c>
      <c r="G981" s="204">
        <f>F981*$H955</f>
        <v>631.17145388000006</v>
      </c>
      <c r="H981" s="210"/>
    </row>
    <row r="982" spans="2:9">
      <c r="B982" s="35" t="s">
        <v>14</v>
      </c>
      <c r="C982" s="208">
        <f>+C980-C981</f>
        <v>108992.53999999998</v>
      </c>
      <c r="D982" s="208"/>
      <c r="E982" s="36">
        <f>+C982/C985</f>
        <v>2.0393402563382912</v>
      </c>
      <c r="F982" s="208">
        <f>F980-F981</f>
        <v>100926.61299999998</v>
      </c>
      <c r="G982" s="208">
        <f>+G980-G981</f>
        <v>5173.4981823800008</v>
      </c>
      <c r="H982" s="36">
        <f>+F982/F985</f>
        <v>1.8884201141360273</v>
      </c>
    </row>
    <row r="983" spans="2:9">
      <c r="B983" s="69" t="s">
        <v>16</v>
      </c>
      <c r="C983" s="211">
        <f>Model!AV186</f>
        <v>127601.88099999999</v>
      </c>
      <c r="D983" s="204"/>
      <c r="E983" s="212"/>
      <c r="F983" s="211"/>
      <c r="G983" s="204"/>
      <c r="H983" s="212"/>
    </row>
    <row r="984" spans="2:9">
      <c r="B984" s="69" t="s">
        <v>18</v>
      </c>
      <c r="C984" s="211">
        <f>C980+C983</f>
        <v>248907.55899999998</v>
      </c>
      <c r="D984" s="211"/>
      <c r="E984" s="212"/>
      <c r="F984" s="211"/>
      <c r="G984" s="211"/>
      <c r="H984" s="212"/>
    </row>
    <row r="985" spans="2:9">
      <c r="B985" s="181" t="s">
        <v>20</v>
      </c>
      <c r="C985" s="213">
        <f>Model!AV92</f>
        <v>53445</v>
      </c>
      <c r="D985" s="213"/>
      <c r="E985" s="210"/>
      <c r="F985" s="210">
        <f>C985</f>
        <v>53445</v>
      </c>
      <c r="G985" s="213"/>
      <c r="H985" s="210"/>
    </row>
    <row r="987" spans="2:9">
      <c r="B987" s="101" t="s">
        <v>59</v>
      </c>
      <c r="C987" s="229">
        <f>Model!AV179-Capitalisation!C980</f>
        <v>0</v>
      </c>
    </row>
    <row r="988" spans="2:9">
      <c r="B988" s="101"/>
      <c r="C988" s="103"/>
    </row>
    <row r="989" spans="2:9">
      <c r="B989" s="35" t="s">
        <v>60</v>
      </c>
      <c r="C989" s="88">
        <f>C982+Model!AV185</f>
        <v>493942.54</v>
      </c>
    </row>
    <row r="990" spans="2:9">
      <c r="B990" s="35" t="s">
        <v>61</v>
      </c>
      <c r="C990" s="36">
        <f>C989/C985</f>
        <v>9.2420720366732159</v>
      </c>
    </row>
    <row r="992" spans="2:9" ht="13.5" thickBot="1"/>
    <row r="993" spans="2:7">
      <c r="B993" s="78" t="s">
        <v>157</v>
      </c>
      <c r="C993" s="153" t="s">
        <v>4</v>
      </c>
      <c r="D993" s="153" t="s">
        <v>5</v>
      </c>
      <c r="E993" s="104"/>
      <c r="F993" s="104"/>
    </row>
    <row r="994" spans="2:7">
      <c r="B994" s="79" t="s">
        <v>108</v>
      </c>
      <c r="C994" s="276"/>
      <c r="D994" s="202">
        <f>C994*H955</f>
        <v>0</v>
      </c>
      <c r="E994" s="105"/>
      <c r="F994" s="105"/>
    </row>
    <row r="995" spans="2:7">
      <c r="B995" s="79" t="s">
        <v>63</v>
      </c>
      <c r="C995" s="202">
        <f>C981</f>
        <v>12313.138000000001</v>
      </c>
      <c r="D995" s="202">
        <f>C995*H955</f>
        <v>631.17145388000006</v>
      </c>
      <c r="E995" s="105"/>
      <c r="F995" s="105"/>
    </row>
    <row r="996" spans="2:7" ht="13.5" thickBot="1">
      <c r="B996" s="80" t="s">
        <v>64</v>
      </c>
      <c r="C996" s="203">
        <f>SUM(C994:C995)</f>
        <v>12313.138000000001</v>
      </c>
      <c r="D996" s="203">
        <f>SUM(D994:D995)</f>
        <v>631.17145388000006</v>
      </c>
      <c r="E996" s="105"/>
      <c r="F996" s="105"/>
    </row>
    <row r="998" spans="2:7">
      <c r="C998" s="30"/>
    </row>
    <row r="999" spans="2:7" ht="13.5" thickBot="1"/>
    <row r="1000" spans="2:7" ht="13.5" thickBot="1">
      <c r="B1000" s="78" t="s">
        <v>157</v>
      </c>
      <c r="C1000" s="189" t="s">
        <v>4</v>
      </c>
      <c r="D1000" s="186" t="s">
        <v>5</v>
      </c>
      <c r="E1000" s="66"/>
    </row>
    <row r="1001" spans="2:7">
      <c r="B1001" s="144">
        <v>2023</v>
      </c>
      <c r="C1001" s="199">
        <v>6435.31</v>
      </c>
      <c r="D1001" s="200">
        <f>+C1001*$H955</f>
        <v>329.87399060000001</v>
      </c>
      <c r="F1001" s="271" t="s">
        <v>158</v>
      </c>
      <c r="G1001" s="272"/>
    </row>
    <row r="1002" spans="2:7">
      <c r="B1002" s="144">
        <v>2024</v>
      </c>
      <c r="C1002" s="199">
        <v>16119.605</v>
      </c>
      <c r="D1002" s="200">
        <f>+C1002*$H955</f>
        <v>826.29095229999996</v>
      </c>
      <c r="F1002" s="272" t="s">
        <v>70</v>
      </c>
      <c r="G1002" s="273">
        <v>0.45</v>
      </c>
    </row>
    <row r="1003" spans="2:7">
      <c r="B1003" s="144">
        <v>2025</v>
      </c>
      <c r="C1003" s="199">
        <v>114.979</v>
      </c>
      <c r="D1003" s="200">
        <f>+C1003*$H955</f>
        <v>5.8938235399999996</v>
      </c>
      <c r="F1003" s="272" t="s">
        <v>71</v>
      </c>
      <c r="G1003" s="273">
        <v>0.06</v>
      </c>
    </row>
    <row r="1004" spans="2:7">
      <c r="B1004" s="144">
        <v>2026</v>
      </c>
      <c r="C1004" s="199">
        <v>7742.5739999999996</v>
      </c>
      <c r="D1004" s="200">
        <f>+C1004*$H955</f>
        <v>396.88434323999996</v>
      </c>
      <c r="F1004" s="272" t="s">
        <v>72</v>
      </c>
      <c r="G1004" s="273">
        <v>0.41</v>
      </c>
    </row>
    <row r="1005" spans="2:7">
      <c r="B1005" s="144" t="s">
        <v>143</v>
      </c>
      <c r="C1005" s="199">
        <v>53642.006000000001</v>
      </c>
      <c r="D1005" s="200">
        <f>+C1005*$H955</f>
        <v>2749.6892275600003</v>
      </c>
      <c r="F1005" s="272" t="s">
        <v>73</v>
      </c>
      <c r="G1005" s="273">
        <v>0.08</v>
      </c>
    </row>
    <row r="1006" spans="2:7" ht="13.5" thickBot="1">
      <c r="B1006" s="144" t="s">
        <v>67</v>
      </c>
      <c r="C1006" s="246">
        <f>C958</f>
        <v>29185.276999999998</v>
      </c>
      <c r="D1006" s="200">
        <f>+C1006*$H955</f>
        <v>1496.0372990199999</v>
      </c>
    </row>
    <row r="1007" spans="2:7" ht="13.5" thickBot="1">
      <c r="B1007" s="185" t="s">
        <v>68</v>
      </c>
      <c r="C1007" s="198">
        <f>SUM(C1001:C1006)</f>
        <v>113239.751</v>
      </c>
      <c r="D1007" s="201">
        <f>+C1007*$H955</f>
        <v>5804.6696362600005</v>
      </c>
      <c r="G1007" s="127"/>
    </row>
    <row r="1008" spans="2:7">
      <c r="B1008" s="66"/>
      <c r="C1008" s="237"/>
      <c r="D1008" s="237"/>
      <c r="G1008" s="127"/>
    </row>
    <row r="1014" spans="2:13">
      <c r="G1014" s="66" t="s">
        <v>159</v>
      </c>
      <c r="H1014" s="241">
        <f>Model!AU267</f>
        <v>4.9549999999999997E-2</v>
      </c>
      <c r="J1014" s="184" t="s">
        <v>8</v>
      </c>
    </row>
    <row r="1015" spans="2:13">
      <c r="B1015" s="391" t="s">
        <v>160</v>
      </c>
      <c r="C1015" s="391"/>
      <c r="D1015" s="391"/>
      <c r="E1015" s="391"/>
      <c r="F1015" s="391"/>
      <c r="G1015" s="391"/>
      <c r="H1015" s="391"/>
      <c r="I1015" s="82"/>
      <c r="J1015" s="392" t="s">
        <v>161</v>
      </c>
      <c r="K1015" s="392"/>
      <c r="L1015" s="392"/>
      <c r="M1015" s="175"/>
    </row>
    <row r="1016" spans="2:13" ht="25.5">
      <c r="B1016" s="26" t="s">
        <v>4</v>
      </c>
      <c r="C1016" s="106" t="s">
        <v>4</v>
      </c>
      <c r="D1016" s="106" t="s">
        <v>5</v>
      </c>
      <c r="E1016" s="166" t="s">
        <v>94</v>
      </c>
      <c r="F1016" s="106" t="s">
        <v>4</v>
      </c>
      <c r="G1016" s="106" t="s">
        <v>5</v>
      </c>
      <c r="H1016" s="166" t="s">
        <v>95</v>
      </c>
      <c r="I1016" s="27"/>
      <c r="J1016" s="26"/>
      <c r="K1016" s="106" t="s">
        <v>4</v>
      </c>
      <c r="L1016" s="106" t="s">
        <v>5</v>
      </c>
      <c r="M1016" s="106" t="s">
        <v>85</v>
      </c>
    </row>
    <row r="1017" spans="2:13">
      <c r="B1017" s="83" t="s">
        <v>10</v>
      </c>
      <c r="C1017" s="221">
        <f>Model!AU176</f>
        <v>30516.573</v>
      </c>
      <c r="D1017" s="204">
        <f>C1017*$H$1014</f>
        <v>1512.09619215</v>
      </c>
      <c r="E1017" s="205"/>
      <c r="F1017" s="206">
        <f>C1017</f>
        <v>30516.573</v>
      </c>
      <c r="G1017" s="204">
        <f>F1017*$H$1014</f>
        <v>1512.09619215</v>
      </c>
      <c r="H1017" s="205"/>
      <c r="I1017" s="27"/>
      <c r="J1017" s="26"/>
      <c r="K1017" s="106"/>
      <c r="L1017" s="106"/>
      <c r="M1017" s="106"/>
    </row>
    <row r="1018" spans="2:13">
      <c r="B1018" s="100" t="s">
        <v>11</v>
      </c>
      <c r="C1018" s="221"/>
      <c r="D1018" s="204"/>
      <c r="E1018" s="206"/>
      <c r="F1018" s="206"/>
      <c r="G1018" s="174"/>
      <c r="H1018" s="206"/>
      <c r="J1018" s="178" t="s">
        <v>12</v>
      </c>
      <c r="K1018" s="217">
        <f>Model!AU115+Model!AU114</f>
        <v>99718.322</v>
      </c>
      <c r="L1018" s="217">
        <f>K1018*$H$1014</f>
        <v>4941.0428550999995</v>
      </c>
      <c r="M1018" s="180">
        <f>+K1018/K1023</f>
        <v>1.9516640310016831</v>
      </c>
    </row>
    <row r="1019" spans="2:13">
      <c r="B1019" s="83" t="s">
        <v>21</v>
      </c>
      <c r="C1019" s="221"/>
      <c r="D1019" s="204">
        <f>C1019*$H$1014</f>
        <v>0</v>
      </c>
      <c r="E1019" s="206"/>
      <c r="F1019" s="206">
        <f t="shared" ref="F1019" si="48">C1019</f>
        <v>0</v>
      </c>
      <c r="G1019" s="204">
        <f t="shared" ref="G1019:G1024" si="49">F1019*$H$1014</f>
        <v>0</v>
      </c>
      <c r="H1019" s="206"/>
      <c r="J1019" s="181" t="s">
        <v>13</v>
      </c>
      <c r="K1019" s="218">
        <f>C1040</f>
        <v>7327.0379999999996</v>
      </c>
      <c r="L1019" s="217">
        <f>K1019*$H$1014</f>
        <v>363.05473289999998</v>
      </c>
      <c r="M1019" s="175"/>
    </row>
    <row r="1020" spans="2:13">
      <c r="B1020" s="83" t="s">
        <v>162</v>
      </c>
      <c r="C1020" s="221">
        <f>Model!AU121</f>
        <v>0</v>
      </c>
      <c r="D1020" s="204">
        <f t="shared" ref="D1020:D1024" si="50">C1020*$H$1014</f>
        <v>0</v>
      </c>
      <c r="E1020" s="206"/>
      <c r="F1020" s="206">
        <f>C1020</f>
        <v>0</v>
      </c>
      <c r="G1020" s="204">
        <f t="shared" si="49"/>
        <v>0</v>
      </c>
      <c r="H1020" s="206"/>
      <c r="J1020" s="178" t="s">
        <v>14</v>
      </c>
      <c r="K1020" s="217">
        <f>+K1018-K1019</f>
        <v>92391.284</v>
      </c>
      <c r="L1020" s="217">
        <f>K1020*$H$1014</f>
        <v>4577.9881221999995</v>
      </c>
      <c r="M1020" s="180">
        <f>+K1020/K1023</f>
        <v>1.8082609308333659</v>
      </c>
    </row>
    <row r="1021" spans="2:13">
      <c r="B1021" s="83" t="s">
        <v>17</v>
      </c>
      <c r="C1021" s="221">
        <f>Model!AU120</f>
        <v>16244.64</v>
      </c>
      <c r="D1021" s="204">
        <f t="shared" si="50"/>
        <v>804.92191199999991</v>
      </c>
      <c r="E1021" s="206"/>
      <c r="F1021" s="206">
        <f>C1021</f>
        <v>16244.64</v>
      </c>
      <c r="G1021" s="204">
        <f t="shared" si="49"/>
        <v>804.92191199999991</v>
      </c>
      <c r="H1021" s="206"/>
      <c r="J1021" s="183" t="s">
        <v>16</v>
      </c>
      <c r="K1021" s="219">
        <f>C1042</f>
        <v>106303.413</v>
      </c>
      <c r="L1021" s="275">
        <f>K1021*$H$1014</f>
        <v>5267.3341141499996</v>
      </c>
      <c r="M1021" s="175"/>
    </row>
    <row r="1022" spans="2:13">
      <c r="B1022" s="83" t="s">
        <v>15</v>
      </c>
      <c r="C1022" s="221">
        <f>Model!AU119</f>
        <v>10102.136</v>
      </c>
      <c r="D1022" s="204">
        <f t="shared" si="50"/>
        <v>500.5608388</v>
      </c>
      <c r="E1022" s="206"/>
      <c r="F1022" s="206">
        <f t="shared" ref="F1022:F1024" si="51">C1022</f>
        <v>10102.136</v>
      </c>
      <c r="G1022" s="204">
        <f t="shared" si="49"/>
        <v>500.5608388</v>
      </c>
      <c r="H1022" s="206"/>
      <c r="J1022" s="183" t="s">
        <v>18</v>
      </c>
      <c r="K1022" s="219">
        <f>K1018+K1021</f>
        <v>206021.73499999999</v>
      </c>
      <c r="L1022" s="219"/>
      <c r="M1022" s="175"/>
    </row>
    <row r="1023" spans="2:13">
      <c r="B1023" s="83" t="s">
        <v>96</v>
      </c>
      <c r="C1023" s="221">
        <f>Model!AU132</f>
        <v>13198.77</v>
      </c>
      <c r="D1023" s="204">
        <f t="shared" si="50"/>
        <v>653.99905349999995</v>
      </c>
      <c r="E1023" s="206"/>
      <c r="F1023" s="206">
        <f t="shared" si="51"/>
        <v>13198.77</v>
      </c>
      <c r="G1023" s="204">
        <f t="shared" si="49"/>
        <v>653.99905349999995</v>
      </c>
      <c r="H1023" s="206"/>
      <c r="J1023" s="181" t="s">
        <v>20</v>
      </c>
      <c r="K1023" s="220">
        <f>C1044</f>
        <v>51094</v>
      </c>
      <c r="L1023" s="220"/>
      <c r="M1023" s="175"/>
    </row>
    <row r="1024" spans="2:13">
      <c r="B1024" s="83" t="s">
        <v>34</v>
      </c>
      <c r="C1024" s="221">
        <f>Model!AU133</f>
        <v>11412.164000000001</v>
      </c>
      <c r="D1024" s="204">
        <f t="shared" si="50"/>
        <v>565.47272620000001</v>
      </c>
      <c r="E1024" s="206"/>
      <c r="F1024" s="206">
        <f t="shared" si="51"/>
        <v>11412.164000000001</v>
      </c>
      <c r="G1024" s="204">
        <f t="shared" si="49"/>
        <v>565.47272620000001</v>
      </c>
      <c r="H1024" s="206"/>
      <c r="J1024" s="181"/>
      <c r="K1024" s="220"/>
      <c r="L1024" s="220"/>
      <c r="M1024" s="175"/>
    </row>
    <row r="1025" spans="2:9">
      <c r="B1025" s="100" t="s">
        <v>97</v>
      </c>
      <c r="C1025" s="221"/>
      <c r="D1025" s="204"/>
      <c r="E1025" s="206"/>
      <c r="F1025" s="206"/>
      <c r="G1025" s="204"/>
      <c r="H1025" s="206"/>
    </row>
    <row r="1026" spans="2:9">
      <c r="B1026" s="83" t="s">
        <v>26</v>
      </c>
      <c r="C1026" s="221">
        <f>Model!AU125</f>
        <v>7706.3389999999999</v>
      </c>
      <c r="D1026" s="204">
        <f>C1026*$H$1014</f>
        <v>381.84909744999999</v>
      </c>
      <c r="E1026" s="206"/>
      <c r="F1026" s="206">
        <f>C1026</f>
        <v>7706.3389999999999</v>
      </c>
      <c r="G1026" s="204">
        <f t="shared" ref="G1026:G1027" si="52">F1026*$H$1014</f>
        <v>381.84909744999999</v>
      </c>
      <c r="H1026" s="206"/>
      <c r="I1026" s="102"/>
    </row>
    <row r="1027" spans="2:9">
      <c r="B1027" s="83" t="s">
        <v>30</v>
      </c>
      <c r="C1027" s="221">
        <f>Model!AU129</f>
        <v>9633.1020000000008</v>
      </c>
      <c r="D1027" s="204">
        <f>C1027*$H$1014</f>
        <v>477.32020410000001</v>
      </c>
      <c r="E1027" s="206"/>
      <c r="F1027" s="206">
        <f>C1027</f>
        <v>9633.1020000000008</v>
      </c>
      <c r="G1027" s="204">
        <f t="shared" si="52"/>
        <v>477.32020410000001</v>
      </c>
      <c r="H1027" s="206"/>
    </row>
    <row r="1028" spans="2:9">
      <c r="B1028" s="100" t="s">
        <v>98</v>
      </c>
      <c r="C1028" s="221"/>
      <c r="D1028" s="204"/>
      <c r="E1028" s="206"/>
      <c r="F1028" s="206"/>
      <c r="G1028" s="204"/>
      <c r="H1028" s="206"/>
    </row>
    <row r="1029" spans="2:9">
      <c r="B1029" s="100" t="s">
        <v>99</v>
      </c>
      <c r="C1029" s="221"/>
      <c r="D1029" s="204">
        <f t="shared" ref="D1029:D1037" si="53">C1029*$H$1014</f>
        <v>0</v>
      </c>
      <c r="E1029" s="206"/>
      <c r="F1029" s="206"/>
      <c r="G1029" s="204">
        <f t="shared" ref="G1029:G1037" si="54">F1029*$H$1014</f>
        <v>0</v>
      </c>
      <c r="H1029" s="206"/>
    </row>
    <row r="1030" spans="2:9">
      <c r="B1030" s="83" t="s">
        <v>99</v>
      </c>
      <c r="C1030" s="221"/>
      <c r="D1030" s="204">
        <f t="shared" si="53"/>
        <v>0</v>
      </c>
      <c r="E1030" s="206"/>
      <c r="F1030" s="206">
        <f t="shared" ref="F1030:F1037" si="55">C1030</f>
        <v>0</v>
      </c>
      <c r="G1030" s="204">
        <f t="shared" si="54"/>
        <v>0</v>
      </c>
      <c r="H1030" s="206"/>
    </row>
    <row r="1031" spans="2:9">
      <c r="B1031" s="83" t="s">
        <v>100</v>
      </c>
      <c r="C1031" s="221"/>
      <c r="D1031" s="204">
        <f t="shared" si="53"/>
        <v>0</v>
      </c>
      <c r="E1031" s="206"/>
      <c r="F1031" s="206">
        <f t="shared" si="55"/>
        <v>0</v>
      </c>
      <c r="G1031" s="204">
        <f t="shared" si="54"/>
        <v>0</v>
      </c>
      <c r="H1031" s="206"/>
    </row>
    <row r="1032" spans="2:9">
      <c r="B1032" s="83" t="s">
        <v>101</v>
      </c>
      <c r="C1032" s="221"/>
      <c r="D1032" s="204">
        <f t="shared" si="53"/>
        <v>0</v>
      </c>
      <c r="E1032" s="206"/>
      <c r="F1032" s="206">
        <f t="shared" si="55"/>
        <v>0</v>
      </c>
      <c r="G1032" s="204">
        <f t="shared" si="54"/>
        <v>0</v>
      </c>
      <c r="H1032" s="206"/>
    </row>
    <row r="1033" spans="2:9">
      <c r="B1033" s="83" t="s">
        <v>102</v>
      </c>
      <c r="C1033" s="221"/>
      <c r="D1033" s="204">
        <f t="shared" si="53"/>
        <v>0</v>
      </c>
      <c r="E1033" s="206"/>
      <c r="F1033" s="206">
        <f t="shared" si="55"/>
        <v>0</v>
      </c>
      <c r="G1033" s="204">
        <f t="shared" si="54"/>
        <v>0</v>
      </c>
      <c r="H1033" s="206"/>
    </row>
    <row r="1034" spans="2:9">
      <c r="B1034" s="83" t="s">
        <v>104</v>
      </c>
      <c r="C1034" s="221">
        <f>Model!AU144</f>
        <v>12868.178</v>
      </c>
      <c r="D1034" s="204">
        <f t="shared" si="53"/>
        <v>637.61821989999999</v>
      </c>
      <c r="E1034" s="206"/>
      <c r="F1034" s="206">
        <f t="shared" si="55"/>
        <v>12868.178</v>
      </c>
      <c r="G1034" s="204">
        <f t="shared" si="54"/>
        <v>637.61821989999999</v>
      </c>
      <c r="H1034" s="206"/>
    </row>
    <row r="1035" spans="2:9">
      <c r="B1035" s="83" t="s">
        <v>105</v>
      </c>
      <c r="C1035" s="221">
        <f>Model!AU155</f>
        <v>7380.1559999999999</v>
      </c>
      <c r="D1035" s="204">
        <f t="shared" si="53"/>
        <v>365.68672979999997</v>
      </c>
      <c r="E1035" s="206"/>
      <c r="F1035" s="206">
        <f t="shared" si="55"/>
        <v>7380.1559999999999</v>
      </c>
      <c r="G1035" s="204">
        <f t="shared" si="54"/>
        <v>365.68672979999997</v>
      </c>
      <c r="H1035" s="206"/>
    </row>
    <row r="1036" spans="2:9">
      <c r="B1036" s="83"/>
      <c r="C1036" s="221">
        <f>Model!AU156</f>
        <v>11884.314</v>
      </c>
      <c r="D1036" s="204">
        <f t="shared" si="53"/>
        <v>588.86775869999997</v>
      </c>
      <c r="E1036" s="206"/>
      <c r="F1036" s="206">
        <f t="shared" si="55"/>
        <v>11884.314</v>
      </c>
      <c r="G1036" s="204">
        <f t="shared" si="54"/>
        <v>588.86775869999997</v>
      </c>
      <c r="H1036" s="206"/>
    </row>
    <row r="1037" spans="2:9">
      <c r="B1037" s="83" t="s">
        <v>58</v>
      </c>
      <c r="C1037" s="221">
        <f>Model!AU157</f>
        <v>-711.47699999999998</v>
      </c>
      <c r="D1037" s="204">
        <f t="shared" si="53"/>
        <v>-35.253685349999998</v>
      </c>
      <c r="E1037" s="206"/>
      <c r="F1037" s="206">
        <f t="shared" si="55"/>
        <v>-711.47699999999998</v>
      </c>
      <c r="G1037" s="204">
        <f t="shared" si="54"/>
        <v>-35.253685349999998</v>
      </c>
      <c r="H1037" s="206"/>
    </row>
    <row r="1038" spans="2:9">
      <c r="B1038" s="161" t="s">
        <v>124</v>
      </c>
      <c r="C1038" s="222">
        <f>Model!AU170</f>
        <v>8424.1560000000009</v>
      </c>
      <c r="D1038" s="207"/>
      <c r="E1038" s="207"/>
      <c r="F1038" s="207"/>
      <c r="G1038" s="207"/>
      <c r="H1038" s="207"/>
    </row>
    <row r="1039" spans="2:9">
      <c r="B1039" s="35" t="s">
        <v>12</v>
      </c>
      <c r="C1039" s="208">
        <f>SUM(C1017:C1038)</f>
        <v>138659.05100000001</v>
      </c>
      <c r="D1039" s="208"/>
      <c r="E1039" s="36">
        <f>+C1039/C1044</f>
        <v>2.7138030101381769</v>
      </c>
      <c r="F1039" s="208">
        <f>SUM(F1017:F1038)</f>
        <v>130234.895</v>
      </c>
      <c r="G1039" s="208">
        <f>SUM(G1017:G1038)</f>
        <v>6453.1390472499997</v>
      </c>
      <c r="H1039" s="36">
        <f>+F1039/F1044</f>
        <v>2.5489273691627199</v>
      </c>
      <c r="I1039" s="145"/>
    </row>
    <row r="1040" spans="2:9">
      <c r="B1040" s="34" t="s">
        <v>13</v>
      </c>
      <c r="C1040" s="209">
        <f>Model!AU165</f>
        <v>7327.0379999999996</v>
      </c>
      <c r="D1040" s="204">
        <f>C1040*$H$1014</f>
        <v>363.05473289999998</v>
      </c>
      <c r="E1040" s="210"/>
      <c r="F1040" s="209">
        <f>C1040</f>
        <v>7327.0379999999996</v>
      </c>
      <c r="G1040" s="204">
        <f>F1040*$H$1014</f>
        <v>363.05473289999998</v>
      </c>
      <c r="H1040" s="210"/>
    </row>
    <row r="1041" spans="2:8">
      <c r="B1041" s="35" t="s">
        <v>14</v>
      </c>
      <c r="C1041" s="208">
        <f>+C1039-C1040</f>
        <v>131332.01300000001</v>
      </c>
      <c r="D1041" s="208"/>
      <c r="E1041" s="36">
        <f>+C1041/C1044</f>
        <v>2.5703999099698596</v>
      </c>
      <c r="F1041" s="208">
        <f>F1039-F1040</f>
        <v>122907.857</v>
      </c>
      <c r="G1041" s="208">
        <f>+G1039-G1040</f>
        <v>6090.0843143499997</v>
      </c>
      <c r="H1041" s="36">
        <f>+F1041/F1044</f>
        <v>2.4055242689944025</v>
      </c>
    </row>
    <row r="1042" spans="2:8">
      <c r="B1042" s="69" t="s">
        <v>16</v>
      </c>
      <c r="C1042" s="211">
        <f>Model!AU186</f>
        <v>106303.413</v>
      </c>
      <c r="D1042" s="204"/>
      <c r="E1042" s="212"/>
      <c r="F1042" s="211"/>
      <c r="G1042" s="204"/>
      <c r="H1042" s="212"/>
    </row>
    <row r="1043" spans="2:8">
      <c r="B1043" s="69" t="s">
        <v>18</v>
      </c>
      <c r="C1043" s="211">
        <f>C1039+C1042</f>
        <v>244962.46400000001</v>
      </c>
      <c r="D1043" s="211"/>
      <c r="E1043" s="212"/>
      <c r="F1043" s="211"/>
      <c r="G1043" s="211"/>
      <c r="H1043" s="212"/>
    </row>
    <row r="1044" spans="2:8">
      <c r="B1044" s="181" t="s">
        <v>20</v>
      </c>
      <c r="C1044" s="213">
        <f>Model!AU92</f>
        <v>51094</v>
      </c>
      <c r="D1044" s="213"/>
      <c r="E1044" s="210"/>
      <c r="F1044" s="210">
        <f>C1044</f>
        <v>51094</v>
      </c>
      <c r="G1044" s="213"/>
      <c r="H1044" s="210"/>
    </row>
    <row r="1046" spans="2:8">
      <c r="B1046" s="101" t="s">
        <v>59</v>
      </c>
      <c r="C1046" s="229">
        <f>Model!AU179-Capitalisation!C1039</f>
        <v>0</v>
      </c>
    </row>
    <row r="1047" spans="2:8">
      <c r="B1047" s="101"/>
      <c r="C1047" s="103"/>
    </row>
    <row r="1048" spans="2:8">
      <c r="B1048" s="35" t="s">
        <v>60</v>
      </c>
      <c r="C1048" s="88">
        <f>C1041+Model!AU185</f>
        <v>461684.61300000001</v>
      </c>
    </row>
    <row r="1049" spans="2:8">
      <c r="B1049" s="35" t="s">
        <v>61</v>
      </c>
      <c r="C1049" s="36">
        <f>C1048/C1044</f>
        <v>9.0359849101655776</v>
      </c>
    </row>
    <row r="1051" spans="2:8" ht="13.5" thickBot="1"/>
    <row r="1052" spans="2:8">
      <c r="B1052" s="78" t="s">
        <v>163</v>
      </c>
      <c r="C1052" s="153" t="s">
        <v>4</v>
      </c>
      <c r="D1052" s="153" t="s">
        <v>5</v>
      </c>
      <c r="E1052" s="104"/>
      <c r="F1052" s="104"/>
    </row>
    <row r="1053" spans="2:8">
      <c r="B1053" s="79" t="s">
        <v>108</v>
      </c>
      <c r="C1053" s="270">
        <f>634/H1014</f>
        <v>12795.156407669023</v>
      </c>
      <c r="D1053" s="202">
        <f>C1053*H1014</f>
        <v>634</v>
      </c>
      <c r="E1053" s="105"/>
      <c r="F1053" s="105"/>
    </row>
    <row r="1054" spans="2:8">
      <c r="B1054" s="79" t="s">
        <v>63</v>
      </c>
      <c r="C1054" s="202">
        <f>C1040</f>
        <v>7327.0379999999996</v>
      </c>
      <c r="D1054" s="202">
        <f>C1054*H1014</f>
        <v>363.05473289999998</v>
      </c>
      <c r="E1054" s="105"/>
      <c r="F1054" s="105"/>
    </row>
    <row r="1055" spans="2:8" ht="13.5" thickBot="1">
      <c r="B1055" s="80" t="s">
        <v>64</v>
      </c>
      <c r="C1055" s="203">
        <f>SUM(C1053:C1054)</f>
        <v>20122.194407669023</v>
      </c>
      <c r="D1055" s="203">
        <f>SUM(D1053:D1054)</f>
        <v>997.05473289999998</v>
      </c>
      <c r="E1055" s="105"/>
      <c r="F1055" s="105"/>
    </row>
    <row r="1057" spans="2:7">
      <c r="C1057" s="30"/>
    </row>
    <row r="1058" spans="2:7" ht="13.5" thickBot="1"/>
    <row r="1059" spans="2:7" ht="13.5" thickBot="1">
      <c r="B1059" s="78" t="s">
        <v>163</v>
      </c>
      <c r="C1059" s="189" t="s">
        <v>4</v>
      </c>
      <c r="D1059" s="186" t="s">
        <v>5</v>
      </c>
      <c r="E1059" s="66"/>
    </row>
    <row r="1060" spans="2:7">
      <c r="B1060" s="144">
        <v>2022</v>
      </c>
      <c r="C1060" s="246">
        <f>Model!AU114</f>
        <v>6293.0190000000002</v>
      </c>
      <c r="D1060" s="200">
        <f>+C1060*$H$1014</f>
        <v>311.81909144999997</v>
      </c>
    </row>
    <row r="1061" spans="2:7">
      <c r="B1061" s="144">
        <v>2023</v>
      </c>
      <c r="C1061" s="199">
        <v>502.44499999999999</v>
      </c>
      <c r="D1061" s="200">
        <f t="shared" ref="D1061:D1066" si="56">+C1061*$H$1014</f>
        <v>24.896149749999999</v>
      </c>
      <c r="F1061" s="271" t="s">
        <v>164</v>
      </c>
      <c r="G1061" s="272"/>
    </row>
    <row r="1062" spans="2:7">
      <c r="B1062" s="144">
        <v>2024</v>
      </c>
      <c r="C1062" s="199">
        <v>16360.589</v>
      </c>
      <c r="D1062" s="200">
        <f t="shared" si="56"/>
        <v>810.66718494999998</v>
      </c>
      <c r="F1062" s="272" t="s">
        <v>70</v>
      </c>
      <c r="G1062" s="273">
        <v>0.45</v>
      </c>
    </row>
    <row r="1063" spans="2:7">
      <c r="B1063" s="144">
        <v>2025</v>
      </c>
      <c r="C1063" s="199">
        <v>108.55</v>
      </c>
      <c r="D1063" s="200">
        <f t="shared" si="56"/>
        <v>5.3786524999999994</v>
      </c>
      <c r="F1063" s="272" t="s">
        <v>71</v>
      </c>
      <c r="G1063" s="273">
        <v>0.06</v>
      </c>
    </row>
    <row r="1064" spans="2:7">
      <c r="B1064" s="144">
        <v>2026</v>
      </c>
      <c r="C1064" s="199">
        <v>20611.688999999998</v>
      </c>
      <c r="D1064" s="200">
        <f t="shared" si="56"/>
        <v>1021.3091899499999</v>
      </c>
      <c r="F1064" s="272" t="s">
        <v>72</v>
      </c>
      <c r="G1064" s="273">
        <v>0.37</v>
      </c>
    </row>
    <row r="1065" spans="2:7">
      <c r="B1065" s="144" t="s">
        <v>143</v>
      </c>
      <c r="C1065" s="199">
        <v>55842.03</v>
      </c>
      <c r="D1065" s="200">
        <f t="shared" si="56"/>
        <v>2766.9725864999996</v>
      </c>
      <c r="F1065" s="272" t="s">
        <v>73</v>
      </c>
      <c r="G1065" s="273">
        <v>0.12</v>
      </c>
    </row>
    <row r="1066" spans="2:7" ht="13.5" thickBot="1">
      <c r="B1066" s="144" t="s">
        <v>67</v>
      </c>
      <c r="C1066" s="246">
        <f>C1017</f>
        <v>30516.573</v>
      </c>
      <c r="D1066" s="200">
        <f t="shared" si="56"/>
        <v>1512.09619215</v>
      </c>
    </row>
    <row r="1067" spans="2:7" ht="13.5" thickBot="1">
      <c r="B1067" s="185" t="s">
        <v>68</v>
      </c>
      <c r="C1067" s="198">
        <f>SUM(C1060:C1066)</f>
        <v>130234.895</v>
      </c>
      <c r="D1067" s="201">
        <f>+C1067*$H$1014</f>
        <v>6453.1390472499997</v>
      </c>
      <c r="G1067" s="127"/>
    </row>
    <row r="1068" spans="2:7">
      <c r="B1068" s="66"/>
      <c r="C1068" s="237"/>
      <c r="D1068" s="237"/>
      <c r="G1068" s="127"/>
    </row>
    <row r="1073" spans="2:13">
      <c r="G1073" s="66" t="s">
        <v>165</v>
      </c>
      <c r="H1073" s="241">
        <f>Model!AT267</f>
        <v>4.9778485738463836E-2</v>
      </c>
      <c r="J1073" s="184" t="s">
        <v>8</v>
      </c>
    </row>
    <row r="1074" spans="2:13">
      <c r="B1074" s="391" t="s">
        <v>166</v>
      </c>
      <c r="C1074" s="391"/>
      <c r="D1074" s="391"/>
      <c r="E1074" s="391"/>
      <c r="F1074" s="391"/>
      <c r="G1074" s="391"/>
      <c r="H1074" s="391"/>
      <c r="I1074" s="82"/>
      <c r="J1074" s="392" t="s">
        <v>167</v>
      </c>
      <c r="K1074" s="392"/>
      <c r="L1074" s="392"/>
      <c r="M1074" s="175"/>
    </row>
    <row r="1075" spans="2:13" ht="25.5">
      <c r="B1075" s="26" t="s">
        <v>4</v>
      </c>
      <c r="C1075" s="106" t="s">
        <v>4</v>
      </c>
      <c r="D1075" s="106" t="s">
        <v>5</v>
      </c>
      <c r="E1075" s="166" t="s">
        <v>94</v>
      </c>
      <c r="F1075" s="106" t="s">
        <v>4</v>
      </c>
      <c r="G1075" s="106" t="s">
        <v>5</v>
      </c>
      <c r="H1075" s="166" t="s">
        <v>95</v>
      </c>
      <c r="I1075" s="27"/>
      <c r="J1075" s="26"/>
      <c r="K1075" s="106" t="s">
        <v>4</v>
      </c>
      <c r="L1075" s="106" t="s">
        <v>5</v>
      </c>
      <c r="M1075" s="106" t="s">
        <v>85</v>
      </c>
    </row>
    <row r="1076" spans="2:13">
      <c r="B1076" s="83" t="s">
        <v>10</v>
      </c>
      <c r="C1076" s="221">
        <f>Model!AT176</f>
        <v>30267.366999999998</v>
      </c>
      <c r="D1076" s="204">
        <f>C1076*$H$1073</f>
        <v>1506.6636965503508</v>
      </c>
      <c r="E1076" s="205"/>
      <c r="F1076" s="206">
        <f>C1076</f>
        <v>30267.366999999998</v>
      </c>
      <c r="G1076" s="204">
        <f>F1076*$H$1073</f>
        <v>1506.6636965503508</v>
      </c>
      <c r="H1076" s="205"/>
      <c r="I1076" s="27"/>
      <c r="J1076" s="26"/>
      <c r="K1076" s="106"/>
      <c r="L1076" s="106"/>
      <c r="M1076" s="106"/>
    </row>
    <row r="1077" spans="2:13">
      <c r="B1077" s="100" t="s">
        <v>11</v>
      </c>
      <c r="C1077" s="221"/>
      <c r="D1077" s="204"/>
      <c r="E1077" s="206"/>
      <c r="F1077" s="206"/>
      <c r="G1077" s="174"/>
      <c r="H1077" s="206"/>
      <c r="J1077" s="178" t="s">
        <v>12</v>
      </c>
      <c r="K1077" s="217">
        <f>Model!AT115+Model!AT114</f>
        <v>93672.983000000007</v>
      </c>
      <c r="L1077" s="217">
        <f>K1077*$H$1073</f>
        <v>4662.8992483448656</v>
      </c>
      <c r="M1077" s="180">
        <f>+K1077/K1082</f>
        <v>1.8903976226993866</v>
      </c>
    </row>
    <row r="1078" spans="2:13">
      <c r="B1078" s="83" t="s">
        <v>21</v>
      </c>
      <c r="C1078" s="221"/>
      <c r="D1078" s="204">
        <f t="shared" ref="D1078:D1083" si="57">C1078*$H$1073</f>
        <v>0</v>
      </c>
      <c r="E1078" s="206"/>
      <c r="F1078" s="206">
        <f t="shared" ref="F1078" si="58">C1078</f>
        <v>0</v>
      </c>
      <c r="G1078" s="204">
        <f t="shared" ref="G1078:G1083" si="59">F1078*$H$1073</f>
        <v>0</v>
      </c>
      <c r="H1078" s="206"/>
      <c r="J1078" s="181" t="s">
        <v>13</v>
      </c>
      <c r="K1078" s="218">
        <f>C1099</f>
        <v>6772.6760000000004</v>
      </c>
      <c r="L1078" s="217">
        <f>K1078*$H$1073</f>
        <v>337.1335556772363</v>
      </c>
      <c r="M1078" s="175"/>
    </row>
    <row r="1079" spans="2:13">
      <c r="B1079" s="83" t="s">
        <v>162</v>
      </c>
      <c r="C1079" s="221">
        <f>Model!AT121</f>
        <v>0</v>
      </c>
      <c r="D1079" s="204">
        <f t="shared" si="57"/>
        <v>0</v>
      </c>
      <c r="E1079" s="206"/>
      <c r="F1079" s="206">
        <f>C1079</f>
        <v>0</v>
      </c>
      <c r="G1079" s="204">
        <f t="shared" si="59"/>
        <v>0</v>
      </c>
      <c r="H1079" s="206"/>
      <c r="J1079" s="178" t="s">
        <v>14</v>
      </c>
      <c r="K1079" s="217">
        <f>+K1077-K1078</f>
        <v>86900.307000000001</v>
      </c>
      <c r="L1079" s="217">
        <f>K1079*$H$1073</f>
        <v>4325.7656926676291</v>
      </c>
      <c r="M1079" s="180">
        <f>+K1079/K1082</f>
        <v>1.7537194664191154</v>
      </c>
    </row>
    <row r="1080" spans="2:13" ht="25.5" customHeight="1">
      <c r="B1080" s="83" t="s">
        <v>17</v>
      </c>
      <c r="C1080" s="221">
        <f>Model!AT120</f>
        <v>15987.76</v>
      </c>
      <c r="D1080" s="204">
        <f t="shared" si="57"/>
        <v>795.84648314998265</v>
      </c>
      <c r="E1080" s="206"/>
      <c r="F1080" s="206">
        <f>C1080</f>
        <v>15987.76</v>
      </c>
      <c r="G1080" s="204">
        <f t="shared" si="59"/>
        <v>795.84648314998265</v>
      </c>
      <c r="H1080" s="206"/>
      <c r="J1080" s="183" t="s">
        <v>16</v>
      </c>
      <c r="K1080" s="219">
        <f>C1101</f>
        <v>103508.906</v>
      </c>
      <c r="L1080" s="217">
        <f>K1080*$H$1073</f>
        <v>5152.5166011249939</v>
      </c>
      <c r="M1080" s="175"/>
    </row>
    <row r="1081" spans="2:13">
      <c r="B1081" s="83" t="s">
        <v>15</v>
      </c>
      <c r="C1081" s="221">
        <f>Model!AT119</f>
        <v>9942.3880000000008</v>
      </c>
      <c r="D1081" s="204">
        <f t="shared" si="57"/>
        <v>494.91701926427402</v>
      </c>
      <c r="E1081" s="206"/>
      <c r="F1081" s="206">
        <f t="shared" ref="F1081:F1083" si="60">C1081</f>
        <v>9942.3880000000008</v>
      </c>
      <c r="G1081" s="204">
        <f t="shared" si="59"/>
        <v>494.91701926427402</v>
      </c>
      <c r="H1081" s="206"/>
      <c r="J1081" s="183" t="s">
        <v>18</v>
      </c>
      <c r="K1081" s="219">
        <f>K1077+K1080</f>
        <v>197181.88900000002</v>
      </c>
      <c r="L1081" s="219"/>
      <c r="M1081" s="175"/>
    </row>
    <row r="1082" spans="2:13">
      <c r="B1082" s="83" t="s">
        <v>96</v>
      </c>
      <c r="C1082" s="221">
        <f>Model!AT132</f>
        <v>12990.055</v>
      </c>
      <c r="D1082" s="204">
        <f t="shared" si="57"/>
        <v>646.62526755936085</v>
      </c>
      <c r="E1082" s="206"/>
      <c r="F1082" s="206">
        <f t="shared" si="60"/>
        <v>12990.055</v>
      </c>
      <c r="G1082" s="204">
        <f t="shared" si="59"/>
        <v>646.62526755936085</v>
      </c>
      <c r="H1082" s="206"/>
      <c r="J1082" s="181" t="s">
        <v>20</v>
      </c>
      <c r="K1082" s="220">
        <f>C1103</f>
        <v>49552</v>
      </c>
      <c r="L1082" s="220"/>
      <c r="M1082" s="175"/>
    </row>
    <row r="1083" spans="2:13">
      <c r="B1083" s="83" t="s">
        <v>34</v>
      </c>
      <c r="C1083" s="221">
        <f>Model!AT133</f>
        <v>11291.665000000001</v>
      </c>
      <c r="D1083" s="204">
        <f t="shared" si="57"/>
        <v>562.08198516601135</v>
      </c>
      <c r="E1083" s="206"/>
      <c r="F1083" s="206">
        <f t="shared" si="60"/>
        <v>11291.665000000001</v>
      </c>
      <c r="G1083" s="204">
        <f t="shared" si="59"/>
        <v>562.08198516601135</v>
      </c>
      <c r="H1083" s="206"/>
      <c r="J1083" s="181"/>
      <c r="K1083" s="220"/>
      <c r="L1083" s="220"/>
      <c r="M1083" s="175"/>
    </row>
    <row r="1084" spans="2:13">
      <c r="B1084" s="100" t="s">
        <v>97</v>
      </c>
      <c r="C1084" s="221"/>
      <c r="D1084" s="204"/>
      <c r="E1084" s="206"/>
      <c r="F1084" s="206"/>
      <c r="G1084" s="204"/>
      <c r="H1084" s="206"/>
    </row>
    <row r="1085" spans="2:13">
      <c r="B1085" s="83" t="s">
        <v>26</v>
      </c>
      <c r="C1085" s="221">
        <f>Model!AT125</f>
        <v>7706.3389999999999</v>
      </c>
      <c r="D1085" s="204">
        <f>C1085*$H$1073</f>
        <v>383.60988600726768</v>
      </c>
      <c r="E1085" s="206"/>
      <c r="F1085" s="206">
        <f>C1085</f>
        <v>7706.3389999999999</v>
      </c>
      <c r="G1085" s="204">
        <f t="shared" ref="G1085:G1086" si="61">F1085*$H$1073</f>
        <v>383.60988600726768</v>
      </c>
      <c r="H1085" s="206"/>
      <c r="I1085" s="102"/>
    </row>
    <row r="1086" spans="2:13">
      <c r="B1086" s="83" t="s">
        <v>30</v>
      </c>
      <c r="C1086" s="221">
        <f>Model!AT129</f>
        <v>9633.1020000000008</v>
      </c>
      <c r="D1086" s="204">
        <f>C1086*$H$1073</f>
        <v>479.52123052416749</v>
      </c>
      <c r="E1086" s="206"/>
      <c r="F1086" s="206">
        <f>C1086</f>
        <v>9633.1020000000008</v>
      </c>
      <c r="G1086" s="204">
        <f t="shared" si="61"/>
        <v>479.52123052416749</v>
      </c>
      <c r="H1086" s="206"/>
    </row>
    <row r="1087" spans="2:13">
      <c r="B1087" s="100" t="s">
        <v>98</v>
      </c>
      <c r="C1087" s="221"/>
      <c r="D1087" s="204"/>
      <c r="E1087" s="206"/>
      <c r="F1087" s="206"/>
      <c r="G1087" s="204"/>
      <c r="H1087" s="206"/>
    </row>
    <row r="1088" spans="2:13">
      <c r="B1088" s="100" t="s">
        <v>99</v>
      </c>
      <c r="C1088" s="221"/>
      <c r="D1088" s="204">
        <f t="shared" ref="D1088:D1096" si="62">C1088*$H$1073</f>
        <v>0</v>
      </c>
      <c r="E1088" s="206"/>
      <c r="F1088" s="206"/>
      <c r="G1088" s="204">
        <f t="shared" ref="G1088:G1096" si="63">F1088*$H$1073</f>
        <v>0</v>
      </c>
      <c r="H1088" s="206"/>
    </row>
    <row r="1089" spans="2:9">
      <c r="B1089" s="83" t="s">
        <v>99</v>
      </c>
      <c r="C1089" s="221"/>
      <c r="D1089" s="204">
        <f t="shared" si="62"/>
        <v>0</v>
      </c>
      <c r="E1089" s="206"/>
      <c r="F1089" s="206">
        <f t="shared" ref="F1089:F1096" si="64">C1089</f>
        <v>0</v>
      </c>
      <c r="G1089" s="204">
        <f t="shared" si="63"/>
        <v>0</v>
      </c>
      <c r="H1089" s="206"/>
    </row>
    <row r="1090" spans="2:9">
      <c r="B1090" s="83" t="s">
        <v>100</v>
      </c>
      <c r="C1090" s="221"/>
      <c r="D1090" s="204">
        <f t="shared" si="62"/>
        <v>0</v>
      </c>
      <c r="E1090" s="206"/>
      <c r="F1090" s="206">
        <f t="shared" si="64"/>
        <v>0</v>
      </c>
      <c r="G1090" s="204">
        <f t="shared" si="63"/>
        <v>0</v>
      </c>
      <c r="H1090" s="206"/>
    </row>
    <row r="1091" spans="2:9">
      <c r="B1091" s="83" t="s">
        <v>101</v>
      </c>
      <c r="C1091" s="221"/>
      <c r="D1091" s="204">
        <f t="shared" si="62"/>
        <v>0</v>
      </c>
      <c r="E1091" s="206"/>
      <c r="F1091" s="206">
        <f t="shared" si="64"/>
        <v>0</v>
      </c>
      <c r="G1091" s="204">
        <f t="shared" si="63"/>
        <v>0</v>
      </c>
      <c r="H1091" s="206"/>
    </row>
    <row r="1092" spans="2:9">
      <c r="B1092" s="83" t="s">
        <v>102</v>
      </c>
      <c r="C1092" s="221"/>
      <c r="D1092" s="204">
        <f t="shared" si="62"/>
        <v>0</v>
      </c>
      <c r="E1092" s="206"/>
      <c r="F1092" s="206">
        <f t="shared" si="64"/>
        <v>0</v>
      </c>
      <c r="G1092" s="204">
        <f t="shared" si="63"/>
        <v>0</v>
      </c>
      <c r="H1092" s="206"/>
    </row>
    <row r="1093" spans="2:9">
      <c r="B1093" s="83" t="s">
        <v>104</v>
      </c>
      <c r="C1093" s="221">
        <f>Model!AT144</f>
        <v>3996.94</v>
      </c>
      <c r="D1093" s="204">
        <f t="shared" si="62"/>
        <v>198.96162078749566</v>
      </c>
      <c r="E1093" s="206"/>
      <c r="F1093" s="206">
        <f t="shared" si="64"/>
        <v>3996.94</v>
      </c>
      <c r="G1093" s="204">
        <f t="shared" si="63"/>
        <v>198.96162078749566</v>
      </c>
      <c r="H1093" s="206"/>
    </row>
    <row r="1094" spans="2:9">
      <c r="B1094" s="83" t="s">
        <v>105</v>
      </c>
      <c r="C1094" s="221">
        <f>Model!AT155</f>
        <v>11149.695</v>
      </c>
      <c r="D1094" s="204">
        <f t="shared" si="62"/>
        <v>555.01493354572153</v>
      </c>
      <c r="E1094" s="206"/>
      <c r="F1094" s="206">
        <f t="shared" si="64"/>
        <v>11149.695</v>
      </c>
      <c r="G1094" s="204">
        <f t="shared" si="63"/>
        <v>555.01493354572153</v>
      </c>
      <c r="H1094" s="206"/>
    </row>
    <row r="1095" spans="2:9">
      <c r="B1095" s="83"/>
      <c r="C1095" s="221">
        <f>Model!AT156</f>
        <v>11696.385</v>
      </c>
      <c r="D1095" s="204">
        <f t="shared" si="62"/>
        <v>582.22833391408233</v>
      </c>
      <c r="E1095" s="206"/>
      <c r="F1095" s="206">
        <f t="shared" si="64"/>
        <v>11696.385</v>
      </c>
      <c r="G1095" s="204">
        <f t="shared" si="63"/>
        <v>582.22833391408233</v>
      </c>
      <c r="H1095" s="206"/>
    </row>
    <row r="1096" spans="2:9">
      <c r="B1096" s="83" t="s">
        <v>58</v>
      </c>
      <c r="C1096" s="221">
        <f>Model!AT157</f>
        <v>-721.33600000000001</v>
      </c>
      <c r="D1096" s="204">
        <f t="shared" si="62"/>
        <v>-35.907013788640548</v>
      </c>
      <c r="E1096" s="206"/>
      <c r="F1096" s="206">
        <f t="shared" si="64"/>
        <v>-721.33600000000001</v>
      </c>
      <c r="G1096" s="204">
        <f t="shared" si="63"/>
        <v>-35.907013788640548</v>
      </c>
      <c r="H1096" s="206"/>
    </row>
    <row r="1097" spans="2:9">
      <c r="B1097" s="161" t="s">
        <v>124</v>
      </c>
      <c r="C1097" s="222">
        <f>Model!AT170</f>
        <v>8640.3140000000003</v>
      </c>
      <c r="D1097" s="207"/>
      <c r="E1097" s="207"/>
      <c r="F1097" s="207"/>
      <c r="G1097" s="207"/>
      <c r="H1097" s="207"/>
    </row>
    <row r="1098" spans="2:9">
      <c r="B1098" s="35" t="s">
        <v>12</v>
      </c>
      <c r="C1098" s="208">
        <f>SUM(C1076:C1097)</f>
        <v>132580.67400000003</v>
      </c>
      <c r="D1098" s="208"/>
      <c r="E1098" s="36">
        <f>+C1098/C1103</f>
        <v>2.6755867371649988</v>
      </c>
      <c r="F1098" s="208">
        <f>SUM(F1076:F1097)</f>
        <v>123940.36000000002</v>
      </c>
      <c r="G1098" s="208">
        <f>SUM(G1076:G1097)</f>
        <v>6169.5634426800752</v>
      </c>
      <c r="H1098" s="36">
        <f>+F1098/F1103</f>
        <v>2.5012181143041654</v>
      </c>
      <c r="I1098" s="145"/>
    </row>
    <row r="1099" spans="2:9">
      <c r="B1099" s="34" t="s">
        <v>13</v>
      </c>
      <c r="C1099" s="209">
        <f>Model!AT165</f>
        <v>6772.6760000000004</v>
      </c>
      <c r="D1099" s="204">
        <f t="shared" ref="D1099" si="65">C1099*$H$1073</f>
        <v>337.1335556772363</v>
      </c>
      <c r="E1099" s="210"/>
      <c r="F1099" s="209">
        <f>C1099</f>
        <v>6772.6760000000004</v>
      </c>
      <c r="G1099" s="204">
        <f>F1099*$H$1073</f>
        <v>337.1335556772363</v>
      </c>
      <c r="H1099" s="210"/>
    </row>
    <row r="1100" spans="2:9">
      <c r="B1100" s="35" t="s">
        <v>14</v>
      </c>
      <c r="C1100" s="208">
        <f>+C1098-C1099</f>
        <v>125807.99800000002</v>
      </c>
      <c r="D1100" s="208"/>
      <c r="E1100" s="36">
        <f>+C1100/C1103</f>
        <v>2.5389085808847276</v>
      </c>
      <c r="F1100" s="208">
        <f>F1098-F1099</f>
        <v>117167.68400000001</v>
      </c>
      <c r="G1100" s="208">
        <f>+G1098-G1099</f>
        <v>5832.4298870028388</v>
      </c>
      <c r="H1100" s="36">
        <f>+F1100/F1103</f>
        <v>2.3645399580238942</v>
      </c>
    </row>
    <row r="1101" spans="2:9">
      <c r="B1101" s="69" t="s">
        <v>16</v>
      </c>
      <c r="C1101" s="211">
        <f>Model!AT186</f>
        <v>103508.906</v>
      </c>
      <c r="D1101" s="204"/>
      <c r="E1101" s="212"/>
      <c r="F1101" s="211"/>
      <c r="G1101" s="204"/>
      <c r="H1101" s="212"/>
    </row>
    <row r="1102" spans="2:9">
      <c r="B1102" s="69" t="s">
        <v>18</v>
      </c>
      <c r="C1102" s="211">
        <f>C1098+C1101</f>
        <v>236089.58000000002</v>
      </c>
      <c r="D1102" s="211"/>
      <c r="E1102" s="212"/>
      <c r="F1102" s="211"/>
      <c r="G1102" s="211"/>
      <c r="H1102" s="212"/>
    </row>
    <row r="1103" spans="2:9">
      <c r="B1103" s="181" t="s">
        <v>20</v>
      </c>
      <c r="C1103" s="213">
        <f>Model!AT92</f>
        <v>49552</v>
      </c>
      <c r="D1103" s="213"/>
      <c r="E1103" s="210"/>
      <c r="F1103" s="210">
        <f>C1103</f>
        <v>49552</v>
      </c>
      <c r="G1103" s="213"/>
      <c r="H1103" s="210"/>
    </row>
    <row r="1105" spans="2:7">
      <c r="B1105" s="101" t="s">
        <v>59</v>
      </c>
      <c r="C1105" s="229">
        <f>Model!AT179-Capitalisation!C1098</f>
        <v>-1.0000000038417056E-2</v>
      </c>
    </row>
    <row r="1106" spans="2:7">
      <c r="B1106" s="101"/>
      <c r="C1106" s="103"/>
    </row>
    <row r="1107" spans="2:7">
      <c r="B1107" s="35" t="s">
        <v>60</v>
      </c>
      <c r="C1107" s="88">
        <f>C1100+Model!AT185</f>
        <v>455207.99800000002</v>
      </c>
    </row>
    <row r="1108" spans="2:7">
      <c r="B1108" s="35" t="s">
        <v>61</v>
      </c>
      <c r="C1108" s="36">
        <f>C1107/C1103</f>
        <v>9.1864707378107848</v>
      </c>
    </row>
    <row r="1110" spans="2:7" ht="13.5" thickBot="1"/>
    <row r="1111" spans="2:7">
      <c r="B1111" s="78" t="s">
        <v>168</v>
      </c>
      <c r="C1111" s="153" t="s">
        <v>4</v>
      </c>
      <c r="D1111" s="153" t="s">
        <v>5</v>
      </c>
      <c r="E1111" s="104"/>
      <c r="F1111" s="104"/>
    </row>
    <row r="1112" spans="2:7">
      <c r="B1112" s="79" t="s">
        <v>108</v>
      </c>
      <c r="C1112" s="270">
        <f>1550/H1073</f>
        <v>31137.95</v>
      </c>
      <c r="D1112" s="202">
        <f>C1112*H1073</f>
        <v>1550</v>
      </c>
      <c r="E1112" s="105"/>
      <c r="F1112" s="105"/>
    </row>
    <row r="1113" spans="2:7">
      <c r="B1113" s="79" t="s">
        <v>63</v>
      </c>
      <c r="C1113" s="202">
        <f>C1099</f>
        <v>6772.6760000000004</v>
      </c>
      <c r="D1113" s="202">
        <f>C1113*H1073</f>
        <v>337.1335556772363</v>
      </c>
      <c r="E1113" s="105"/>
      <c r="F1113" s="105"/>
    </row>
    <row r="1114" spans="2:7" ht="13.5" thickBot="1">
      <c r="B1114" s="80" t="s">
        <v>64</v>
      </c>
      <c r="C1114" s="203">
        <f>SUM(C1112:C1113)</f>
        <v>37910.626000000004</v>
      </c>
      <c r="D1114" s="203">
        <f>SUM(D1112:D1113)</f>
        <v>1887.1335556772362</v>
      </c>
      <c r="E1114" s="105"/>
      <c r="F1114" s="105"/>
    </row>
    <row r="1116" spans="2:7">
      <c r="C1116" s="30"/>
    </row>
    <row r="1117" spans="2:7" ht="13.5" thickBot="1"/>
    <row r="1118" spans="2:7" ht="13.5" thickBot="1">
      <c r="B1118" s="78" t="s">
        <v>168</v>
      </c>
      <c r="C1118" s="189" t="s">
        <v>4</v>
      </c>
      <c r="D1118" s="186" t="s">
        <v>5</v>
      </c>
      <c r="E1118" s="66"/>
    </row>
    <row r="1119" spans="2:7">
      <c r="B1119" s="144">
        <v>2022</v>
      </c>
      <c r="C1119" s="246">
        <f>Model!AT114</f>
        <v>10107.414999999999</v>
      </c>
      <c r="D1119" s="200">
        <f>+C1119*$H$1073</f>
        <v>503.13181343023541</v>
      </c>
    </row>
    <row r="1120" spans="2:7">
      <c r="B1120" s="144">
        <v>2023</v>
      </c>
      <c r="C1120" s="199">
        <v>532.25199999999995</v>
      </c>
      <c r="D1120" s="200">
        <f t="shared" ref="D1120:D1125" si="66">+C1120*$H$1073</f>
        <v>26.49469859126885</v>
      </c>
      <c r="F1120" s="271" t="s">
        <v>169</v>
      </c>
      <c r="G1120" s="272"/>
    </row>
    <row r="1121" spans="2:13">
      <c r="B1121" s="144">
        <v>2024</v>
      </c>
      <c r="C1121" s="199">
        <v>16109.130999999999</v>
      </c>
      <c r="D1121" s="200">
        <f t="shared" si="66"/>
        <v>801.8881477425457</v>
      </c>
      <c r="F1121" s="272" t="s">
        <v>70</v>
      </c>
      <c r="G1121" s="273">
        <v>0.53</v>
      </c>
    </row>
    <row r="1122" spans="2:13">
      <c r="B1122" s="144">
        <v>2025</v>
      </c>
      <c r="C1122" s="199">
        <v>110.57</v>
      </c>
      <c r="D1122" s="200">
        <f t="shared" si="66"/>
        <v>5.5040071681019462</v>
      </c>
      <c r="F1122" s="272" t="s">
        <v>71</v>
      </c>
      <c r="G1122" s="273">
        <v>0.06</v>
      </c>
    </row>
    <row r="1123" spans="2:13">
      <c r="B1123" s="144">
        <v>2026</v>
      </c>
      <c r="C1123" s="199">
        <v>11736.74</v>
      </c>
      <c r="D1123" s="200">
        <f t="shared" si="66"/>
        <v>584.23714470605807</v>
      </c>
      <c r="F1123" s="272" t="s">
        <v>72</v>
      </c>
      <c r="G1123" s="273">
        <v>0.38</v>
      </c>
    </row>
    <row r="1124" spans="2:13">
      <c r="B1124" s="144" t="s">
        <v>143</v>
      </c>
      <c r="C1124" s="199">
        <v>55076.875</v>
      </c>
      <c r="D1124" s="200">
        <f t="shared" si="66"/>
        <v>2741.6434367066554</v>
      </c>
      <c r="F1124" s="272" t="s">
        <v>73</v>
      </c>
      <c r="G1124" s="273">
        <v>0.03</v>
      </c>
    </row>
    <row r="1125" spans="2:13" ht="13.5" thickBot="1">
      <c r="B1125" s="144" t="s">
        <v>67</v>
      </c>
      <c r="C1125" s="246">
        <f>C1076</f>
        <v>30267.366999999998</v>
      </c>
      <c r="D1125" s="200">
        <f t="shared" si="66"/>
        <v>1506.6636965503508</v>
      </c>
    </row>
    <row r="1126" spans="2:13" ht="13.5" thickBot="1">
      <c r="B1126" s="185" t="s">
        <v>68</v>
      </c>
      <c r="C1126" s="198">
        <f>SUM(C1119:C1125)</f>
        <v>123940.35</v>
      </c>
      <c r="D1126" s="201">
        <f>+C1126*$H$1073</f>
        <v>6169.5629448952168</v>
      </c>
      <c r="G1126" s="127"/>
    </row>
    <row r="1127" spans="2:13">
      <c r="B1127" s="66"/>
      <c r="C1127" s="237"/>
      <c r="D1127" s="237"/>
      <c r="G1127" s="127"/>
    </row>
    <row r="1128" spans="2:13">
      <c r="B1128" s="66"/>
      <c r="C1128" s="237"/>
      <c r="D1128" s="237"/>
      <c r="G1128" s="127"/>
    </row>
    <row r="1130" spans="2:13">
      <c r="G1130" s="66" t="s">
        <v>170</v>
      </c>
      <c r="H1130" s="241">
        <f>Model!AS267</f>
        <v>5.0250000000000003E-2</v>
      </c>
      <c r="J1130" s="184" t="s">
        <v>8</v>
      </c>
    </row>
    <row r="1131" spans="2:13">
      <c r="B1131" s="391" t="s">
        <v>171</v>
      </c>
      <c r="C1131" s="391"/>
      <c r="D1131" s="391"/>
      <c r="E1131" s="391"/>
      <c r="F1131" s="391"/>
      <c r="G1131" s="391"/>
      <c r="H1131" s="391"/>
      <c r="I1131" s="82"/>
      <c r="J1131" s="392" t="s">
        <v>172</v>
      </c>
      <c r="K1131" s="392"/>
      <c r="L1131" s="392"/>
      <c r="M1131" s="175"/>
    </row>
    <row r="1132" spans="2:13" ht="25.5">
      <c r="B1132" s="26" t="s">
        <v>4</v>
      </c>
      <c r="C1132" s="106" t="s">
        <v>4</v>
      </c>
      <c r="D1132" s="106" t="s">
        <v>5</v>
      </c>
      <c r="E1132" s="166" t="s">
        <v>94</v>
      </c>
      <c r="F1132" s="106" t="s">
        <v>4</v>
      </c>
      <c r="G1132" s="106" t="s">
        <v>5</v>
      </c>
      <c r="H1132" s="166" t="s">
        <v>95</v>
      </c>
      <c r="I1132" s="27"/>
      <c r="J1132" s="26"/>
      <c r="K1132" s="106" t="s">
        <v>4</v>
      </c>
      <c r="L1132" s="106" t="s">
        <v>5</v>
      </c>
      <c r="M1132" s="106" t="s">
        <v>85</v>
      </c>
    </row>
    <row r="1133" spans="2:13">
      <c r="B1133" s="83" t="s">
        <v>10</v>
      </c>
      <c r="C1133" s="221">
        <f>Model!AS176</f>
        <v>30686.784</v>
      </c>
      <c r="D1133" s="204">
        <f>C1133*$H$1130</f>
        <v>1542.010896</v>
      </c>
      <c r="E1133" s="205"/>
      <c r="F1133" s="206">
        <f>C1133</f>
        <v>30686.784</v>
      </c>
      <c r="G1133" s="204">
        <f>F1133*$H$1130</f>
        <v>1542.010896</v>
      </c>
      <c r="H1133" s="205"/>
      <c r="I1133" s="27"/>
      <c r="J1133" s="26"/>
      <c r="K1133" s="106"/>
      <c r="L1133" s="106"/>
      <c r="M1133" s="106"/>
    </row>
    <row r="1134" spans="2:13">
      <c r="B1134" s="100" t="s">
        <v>11</v>
      </c>
      <c r="C1134" s="221"/>
      <c r="D1134" s="204"/>
      <c r="E1134" s="206"/>
      <c r="F1134" s="206"/>
      <c r="G1134" s="174"/>
      <c r="H1134" s="206"/>
      <c r="J1134" s="178" t="s">
        <v>12</v>
      </c>
      <c r="K1134" s="217">
        <f>Model!AS115+Model!AS114</f>
        <v>91021.782999999996</v>
      </c>
      <c r="L1134" s="217">
        <f>K1134*$H$1130</f>
        <v>4573.8445957499998</v>
      </c>
      <c r="M1134" s="180">
        <f>+K1134/K1139</f>
        <v>1.8722598115846634</v>
      </c>
    </row>
    <row r="1135" spans="2:13">
      <c r="B1135" s="83" t="s">
        <v>21</v>
      </c>
      <c r="C1135" s="221"/>
      <c r="D1135" s="204">
        <f t="shared" ref="D1135:D1140" si="67">C1135*$H$1130</f>
        <v>0</v>
      </c>
      <c r="E1135" s="206"/>
      <c r="F1135" s="206">
        <f t="shared" ref="F1135" si="68">C1135</f>
        <v>0</v>
      </c>
      <c r="G1135" s="204">
        <f t="shared" ref="G1135:G1153" si="69">F1135*$H$1130</f>
        <v>0</v>
      </c>
      <c r="H1135" s="206"/>
      <c r="J1135" s="181" t="s">
        <v>13</v>
      </c>
      <c r="K1135" s="218">
        <f>C1156</f>
        <v>9098.8719999999994</v>
      </c>
      <c r="L1135" s="217">
        <f>K1135*$H$1130</f>
        <v>457.21831800000001</v>
      </c>
      <c r="M1135" s="175"/>
    </row>
    <row r="1136" spans="2:13" ht="25.5" customHeight="1">
      <c r="B1136" s="83" t="s">
        <v>162</v>
      </c>
      <c r="C1136" s="221">
        <f>Model!AS121</f>
        <v>0</v>
      </c>
      <c r="D1136" s="204">
        <f t="shared" si="67"/>
        <v>0</v>
      </c>
      <c r="E1136" s="206"/>
      <c r="F1136" s="206">
        <f>C1136</f>
        <v>0</v>
      </c>
      <c r="G1136" s="204">
        <f t="shared" si="69"/>
        <v>0</v>
      </c>
      <c r="H1136" s="206"/>
      <c r="J1136" s="178" t="s">
        <v>14</v>
      </c>
      <c r="K1136" s="217">
        <f>+K1134-K1135</f>
        <v>81922.910999999993</v>
      </c>
      <c r="L1136" s="217">
        <f>K1136*$H$1130</f>
        <v>4116.6262777499996</v>
      </c>
      <c r="M1136" s="180">
        <f>+K1136/K1139</f>
        <v>1.6851018389007733</v>
      </c>
    </row>
    <row r="1137" spans="2:13">
      <c r="B1137" s="83" t="s">
        <v>17</v>
      </c>
      <c r="C1137" s="221">
        <f>Model!AS120</f>
        <v>15995.36</v>
      </c>
      <c r="D1137" s="204">
        <f t="shared" si="67"/>
        <v>803.76684000000012</v>
      </c>
      <c r="E1137" s="206"/>
      <c r="F1137" s="206">
        <f>C1137</f>
        <v>15995.36</v>
      </c>
      <c r="G1137" s="204">
        <f t="shared" si="69"/>
        <v>803.76684000000012</v>
      </c>
      <c r="H1137" s="206"/>
      <c r="J1137" s="183" t="s">
        <v>16</v>
      </c>
      <c r="K1137" s="219">
        <f>C1158</f>
        <v>105013.42200000001</v>
      </c>
      <c r="L1137" s="217">
        <f>K1137*$H$1130</f>
        <v>5276.9244555000005</v>
      </c>
      <c r="M1137" s="175"/>
    </row>
    <row r="1138" spans="2:13">
      <c r="B1138" s="83" t="s">
        <v>15</v>
      </c>
      <c r="C1138" s="221">
        <f>Model!AS119</f>
        <v>9997.1</v>
      </c>
      <c r="D1138" s="204">
        <f t="shared" si="67"/>
        <v>502.35427500000003</v>
      </c>
      <c r="E1138" s="206"/>
      <c r="F1138" s="206">
        <f t="shared" ref="F1138:F1140" si="70">C1138</f>
        <v>9997.1</v>
      </c>
      <c r="G1138" s="204">
        <f t="shared" si="69"/>
        <v>502.35427500000003</v>
      </c>
      <c r="H1138" s="206"/>
      <c r="J1138" s="183" t="s">
        <v>18</v>
      </c>
      <c r="K1138" s="219">
        <f>K1134+K1137</f>
        <v>196035.20500000002</v>
      </c>
      <c r="L1138" s="219"/>
      <c r="M1138" s="175"/>
    </row>
    <row r="1139" spans="2:13">
      <c r="B1139" s="83" t="s">
        <v>96</v>
      </c>
      <c r="C1139" s="221">
        <f>Model!AS132</f>
        <v>12996.23</v>
      </c>
      <c r="D1139" s="204">
        <f t="shared" si="67"/>
        <v>653.06055750000007</v>
      </c>
      <c r="E1139" s="206"/>
      <c r="F1139" s="206">
        <f t="shared" si="70"/>
        <v>12996.23</v>
      </c>
      <c r="G1139" s="204">
        <f t="shared" si="69"/>
        <v>653.06055750000007</v>
      </c>
      <c r="H1139" s="206"/>
      <c r="J1139" s="181" t="s">
        <v>20</v>
      </c>
      <c r="K1139" s="220">
        <f>C1160</f>
        <v>48616</v>
      </c>
      <c r="L1139" s="220"/>
      <c r="M1139" s="175"/>
    </row>
    <row r="1140" spans="2:13">
      <c r="B1140" s="83" t="s">
        <v>34</v>
      </c>
      <c r="C1140" s="221">
        <f>Model!AS133</f>
        <v>11894.55</v>
      </c>
      <c r="D1140" s="204">
        <f t="shared" si="67"/>
        <v>597.70113749999996</v>
      </c>
      <c r="E1140" s="206"/>
      <c r="F1140" s="206">
        <f t="shared" si="70"/>
        <v>11894.55</v>
      </c>
      <c r="G1140" s="204">
        <f t="shared" si="69"/>
        <v>597.70113749999996</v>
      </c>
      <c r="H1140" s="206"/>
      <c r="J1140" s="181"/>
      <c r="K1140" s="220"/>
      <c r="L1140" s="220"/>
      <c r="M1140" s="175"/>
    </row>
    <row r="1141" spans="2:13">
      <c r="B1141" s="100" t="s">
        <v>97</v>
      </c>
      <c r="C1141" s="221"/>
      <c r="D1141" s="204"/>
      <c r="E1141" s="206"/>
      <c r="F1141" s="206"/>
      <c r="G1141" s="204"/>
      <c r="H1141" s="206"/>
    </row>
    <row r="1142" spans="2:13">
      <c r="B1142" s="83" t="s">
        <v>26</v>
      </c>
      <c r="C1142" s="221">
        <f>Model!AS125</f>
        <v>7706.3389999999999</v>
      </c>
      <c r="D1142" s="204">
        <f t="shared" ref="D1142:D1143" si="71">C1142*$H$1130</f>
        <v>387.24353475000004</v>
      </c>
      <c r="E1142" s="206"/>
      <c r="F1142" s="206">
        <f>C1142</f>
        <v>7706.3389999999999</v>
      </c>
      <c r="G1142" s="204">
        <f t="shared" si="69"/>
        <v>387.24353475000004</v>
      </c>
      <c r="H1142" s="206"/>
      <c r="I1142" s="102"/>
    </row>
    <row r="1143" spans="2:13">
      <c r="B1143" s="83" t="s">
        <v>30</v>
      </c>
      <c r="C1143" s="221">
        <f>Model!AS129</f>
        <v>9633.1020000000008</v>
      </c>
      <c r="D1143" s="204">
        <f t="shared" si="71"/>
        <v>484.06337550000006</v>
      </c>
      <c r="E1143" s="206"/>
      <c r="F1143" s="206">
        <f>C1143</f>
        <v>9633.1020000000008</v>
      </c>
      <c r="G1143" s="204">
        <f t="shared" si="69"/>
        <v>484.06337550000006</v>
      </c>
      <c r="H1143" s="206"/>
    </row>
    <row r="1144" spans="2:13">
      <c r="B1144" s="100" t="s">
        <v>98</v>
      </c>
      <c r="C1144" s="221"/>
      <c r="D1144" s="204"/>
      <c r="E1144" s="206"/>
      <c r="F1144" s="206"/>
      <c r="G1144" s="204"/>
      <c r="H1144" s="206"/>
    </row>
    <row r="1145" spans="2:13">
      <c r="B1145" s="100" t="s">
        <v>99</v>
      </c>
      <c r="C1145" s="221"/>
      <c r="D1145" s="204">
        <f t="shared" ref="D1145:D1153" si="72">C1145*$H$1130</f>
        <v>0</v>
      </c>
      <c r="E1145" s="206"/>
      <c r="F1145" s="206"/>
      <c r="G1145" s="204">
        <f t="shared" si="69"/>
        <v>0</v>
      </c>
      <c r="H1145" s="206"/>
    </row>
    <row r="1146" spans="2:13">
      <c r="B1146" s="83" t="s">
        <v>99</v>
      </c>
      <c r="C1146" s="221"/>
      <c r="D1146" s="204">
        <f t="shared" si="72"/>
        <v>0</v>
      </c>
      <c r="E1146" s="206"/>
      <c r="F1146" s="206">
        <f t="shared" ref="F1146:F1153" si="73">C1146</f>
        <v>0</v>
      </c>
      <c r="G1146" s="204">
        <f t="shared" si="69"/>
        <v>0</v>
      </c>
      <c r="H1146" s="206"/>
    </row>
    <row r="1147" spans="2:13">
      <c r="B1147" s="83" t="s">
        <v>100</v>
      </c>
      <c r="C1147" s="221"/>
      <c r="D1147" s="204">
        <f t="shared" si="72"/>
        <v>0</v>
      </c>
      <c r="E1147" s="206"/>
      <c r="F1147" s="206">
        <f t="shared" si="73"/>
        <v>0</v>
      </c>
      <c r="G1147" s="204">
        <f t="shared" si="69"/>
        <v>0</v>
      </c>
      <c r="H1147" s="206"/>
    </row>
    <row r="1148" spans="2:13">
      <c r="B1148" s="83" t="s">
        <v>101</v>
      </c>
      <c r="C1148" s="221"/>
      <c r="D1148" s="204">
        <f t="shared" si="72"/>
        <v>0</v>
      </c>
      <c r="E1148" s="206"/>
      <c r="F1148" s="206">
        <f t="shared" si="73"/>
        <v>0</v>
      </c>
      <c r="G1148" s="204">
        <f t="shared" si="69"/>
        <v>0</v>
      </c>
      <c r="H1148" s="206"/>
    </row>
    <row r="1149" spans="2:13">
      <c r="B1149" s="83" t="s">
        <v>102</v>
      </c>
      <c r="C1149" s="221"/>
      <c r="D1149" s="204">
        <f t="shared" si="72"/>
        <v>0</v>
      </c>
      <c r="E1149" s="206"/>
      <c r="F1149" s="206">
        <f t="shared" si="73"/>
        <v>0</v>
      </c>
      <c r="G1149" s="204">
        <f t="shared" si="69"/>
        <v>0</v>
      </c>
      <c r="H1149" s="206"/>
    </row>
    <row r="1150" spans="2:13">
      <c r="B1150" s="83" t="s">
        <v>104</v>
      </c>
      <c r="C1150" s="221">
        <f>Model!AS144</f>
        <v>3998.84</v>
      </c>
      <c r="D1150" s="204">
        <f t="shared" si="72"/>
        <v>200.94171000000003</v>
      </c>
      <c r="E1150" s="206"/>
      <c r="F1150" s="206">
        <f t="shared" si="73"/>
        <v>3998.84</v>
      </c>
      <c r="G1150" s="204">
        <f t="shared" si="69"/>
        <v>200.94171000000003</v>
      </c>
      <c r="H1150" s="206"/>
    </row>
    <row r="1151" spans="2:13">
      <c r="B1151" s="83" t="s">
        <v>105</v>
      </c>
      <c r="C1151" s="221">
        <f>Model!AS155</f>
        <v>7556.4120000000003</v>
      </c>
      <c r="D1151" s="204">
        <f t="shared" si="72"/>
        <v>379.70970300000005</v>
      </c>
      <c r="E1151" s="206"/>
      <c r="F1151" s="206">
        <f t="shared" si="73"/>
        <v>7556.4120000000003</v>
      </c>
      <c r="G1151" s="204">
        <f t="shared" si="69"/>
        <v>379.70970300000005</v>
      </c>
      <c r="H1151" s="206"/>
    </row>
    <row r="1152" spans="2:13">
      <c r="B1152" s="83"/>
      <c r="C1152" s="221">
        <f>Model!AS156</f>
        <v>11996.52</v>
      </c>
      <c r="D1152" s="204">
        <f t="shared" si="72"/>
        <v>602.82513000000006</v>
      </c>
      <c r="E1152" s="206"/>
      <c r="F1152" s="206">
        <f t="shared" si="73"/>
        <v>11996.52</v>
      </c>
      <c r="G1152" s="204">
        <f t="shared" si="69"/>
        <v>602.82513000000006</v>
      </c>
      <c r="H1152" s="206"/>
    </row>
    <row r="1153" spans="2:9">
      <c r="B1153" s="83" t="s">
        <v>58</v>
      </c>
      <c r="C1153" s="221">
        <f>Model!AS157</f>
        <v>-752.67</v>
      </c>
      <c r="D1153" s="204">
        <f t="shared" si="72"/>
        <v>-37.821667499999997</v>
      </c>
      <c r="E1153" s="206"/>
      <c r="F1153" s="206">
        <f t="shared" si="73"/>
        <v>-752.67</v>
      </c>
      <c r="G1153" s="204">
        <f t="shared" si="69"/>
        <v>-37.821667499999997</v>
      </c>
      <c r="H1153" s="206"/>
    </row>
    <row r="1154" spans="2:9">
      <c r="B1154" s="161" t="s">
        <v>124</v>
      </c>
      <c r="C1154" s="222">
        <f>Model!AS170</f>
        <v>8723.2739999999994</v>
      </c>
      <c r="D1154" s="207"/>
      <c r="E1154" s="207"/>
      <c r="F1154" s="207"/>
      <c r="G1154" s="207"/>
      <c r="H1154" s="207"/>
    </row>
    <row r="1155" spans="2:9">
      <c r="B1155" s="35" t="s">
        <v>12</v>
      </c>
      <c r="C1155" s="208">
        <f>SUM(C1133:C1154)</f>
        <v>130431.84100000001</v>
      </c>
      <c r="D1155" s="208"/>
      <c r="E1155" s="36">
        <f>+C1155/C1160</f>
        <v>2.6828994775382595</v>
      </c>
      <c r="F1155" s="208">
        <f>SUM(F1133:F1154)</f>
        <v>121708.56700000001</v>
      </c>
      <c r="G1155" s="208">
        <f>SUM(G1133:G1154)</f>
        <v>6115.8554917500005</v>
      </c>
      <c r="H1155" s="36">
        <f>+F1155/F1160</f>
        <v>2.5034673152871485</v>
      </c>
      <c r="I1155" s="145"/>
    </row>
    <row r="1156" spans="2:9">
      <c r="B1156" s="34" t="s">
        <v>13</v>
      </c>
      <c r="C1156" s="209">
        <f>Model!AS165</f>
        <v>9098.8719999999994</v>
      </c>
      <c r="D1156" s="204"/>
      <c r="E1156" s="210"/>
      <c r="F1156" s="209">
        <f>C1156</f>
        <v>9098.8719999999994</v>
      </c>
      <c r="G1156" s="204">
        <f>F1156*$H$1130</f>
        <v>457.21831800000001</v>
      </c>
      <c r="H1156" s="210"/>
    </row>
    <row r="1157" spans="2:9">
      <c r="B1157" s="35" t="s">
        <v>14</v>
      </c>
      <c r="C1157" s="208">
        <f>+C1155-C1156</f>
        <v>121332.96900000001</v>
      </c>
      <c r="D1157" s="208"/>
      <c r="E1157" s="36">
        <f>+C1157/C1160</f>
        <v>2.4957415048543692</v>
      </c>
      <c r="F1157" s="208">
        <f>F1155-F1156</f>
        <v>112609.69500000001</v>
      </c>
      <c r="G1157" s="208">
        <f>+G1155-G1156</f>
        <v>5658.6371737500003</v>
      </c>
      <c r="H1157" s="36">
        <f>+F1157/F1160</f>
        <v>2.3163093426032582</v>
      </c>
    </row>
    <row r="1158" spans="2:9">
      <c r="B1158" s="69" t="s">
        <v>16</v>
      </c>
      <c r="C1158" s="211">
        <f>Model!AS186</f>
        <v>105013.42200000001</v>
      </c>
      <c r="D1158" s="204"/>
      <c r="E1158" s="212"/>
      <c r="F1158" s="211"/>
      <c r="G1158" s="204"/>
      <c r="H1158" s="212"/>
    </row>
    <row r="1159" spans="2:9">
      <c r="B1159" s="69" t="s">
        <v>18</v>
      </c>
      <c r="C1159" s="211">
        <f>C1155+C1158</f>
        <v>235445.26300000004</v>
      </c>
      <c r="D1159" s="211"/>
      <c r="E1159" s="212"/>
      <c r="F1159" s="211"/>
      <c r="G1159" s="211"/>
      <c r="H1159" s="212"/>
    </row>
    <row r="1160" spans="2:9">
      <c r="B1160" s="181" t="s">
        <v>20</v>
      </c>
      <c r="C1160" s="213">
        <f>Model!AS92</f>
        <v>48616</v>
      </c>
      <c r="D1160" s="213"/>
      <c r="E1160" s="210"/>
      <c r="F1160" s="210">
        <f>C1160</f>
        <v>48616</v>
      </c>
      <c r="G1160" s="213"/>
      <c r="H1160" s="210"/>
    </row>
    <row r="1162" spans="2:9">
      <c r="B1162" s="101" t="s">
        <v>59</v>
      </c>
      <c r="C1162" s="229">
        <f>Model!AS179-Capitalisation!C1155</f>
        <v>0</v>
      </c>
    </row>
    <row r="1163" spans="2:9">
      <c r="B1163" s="101"/>
      <c r="C1163" s="103"/>
    </row>
    <row r="1164" spans="2:9">
      <c r="B1164" s="35" t="s">
        <v>60</v>
      </c>
      <c r="C1164" s="88">
        <f>C1157+Model!AS185</f>
        <v>390105.61259999999</v>
      </c>
    </row>
    <row r="1165" spans="2:9">
      <c r="B1165" s="35" t="s">
        <v>61</v>
      </c>
      <c r="C1165" s="36">
        <f>C1164/C1160</f>
        <v>8.0242227373704136</v>
      </c>
    </row>
    <row r="1167" spans="2:9" ht="13.5" thickBot="1"/>
    <row r="1168" spans="2:9">
      <c r="B1168" s="78" t="s">
        <v>173</v>
      </c>
      <c r="C1168" s="153" t="s">
        <v>4</v>
      </c>
      <c r="D1168" s="153" t="s">
        <v>5</v>
      </c>
      <c r="E1168" s="104"/>
      <c r="F1168" s="104"/>
    </row>
    <row r="1169" spans="2:7">
      <c r="B1169" s="79" t="s">
        <v>108</v>
      </c>
      <c r="C1169" s="270">
        <f>1550/H1130</f>
        <v>30845.771144278606</v>
      </c>
      <c r="D1169" s="202">
        <f>C1169*H1130</f>
        <v>1550</v>
      </c>
      <c r="E1169" s="105"/>
      <c r="F1169" s="105"/>
    </row>
    <row r="1170" spans="2:7">
      <c r="B1170" s="79" t="s">
        <v>63</v>
      </c>
      <c r="C1170" s="202">
        <f>C1156</f>
        <v>9098.8719999999994</v>
      </c>
      <c r="D1170" s="202">
        <f>C1170*H1130</f>
        <v>457.21831800000001</v>
      </c>
      <c r="E1170" s="105"/>
      <c r="F1170" s="105"/>
    </row>
    <row r="1171" spans="2:7" ht="13.5" thickBot="1">
      <c r="B1171" s="80" t="s">
        <v>64</v>
      </c>
      <c r="C1171" s="203">
        <f>SUM(C1169:C1170)</f>
        <v>39944.643144278605</v>
      </c>
      <c r="D1171" s="203">
        <f>SUM(D1169:D1170)</f>
        <v>2007.218318</v>
      </c>
      <c r="E1171" s="105"/>
      <c r="F1171" s="105"/>
    </row>
    <row r="1173" spans="2:7">
      <c r="C1173" s="30"/>
    </row>
    <row r="1174" spans="2:7" ht="13.5" thickBot="1"/>
    <row r="1175" spans="2:7" ht="13.5" thickBot="1">
      <c r="B1175" s="78" t="s">
        <v>173</v>
      </c>
      <c r="C1175" s="189" t="s">
        <v>4</v>
      </c>
      <c r="D1175" s="186" t="s">
        <v>5</v>
      </c>
      <c r="E1175" s="66"/>
    </row>
    <row r="1176" spans="2:7">
      <c r="B1176" s="144">
        <v>2022</v>
      </c>
      <c r="C1176" s="246">
        <f>Model!AS114</f>
        <v>6423.8090000000002</v>
      </c>
      <c r="D1176" s="200">
        <f>+C1176*$H$1130</f>
        <v>322.79640225000003</v>
      </c>
    </row>
    <row r="1177" spans="2:7">
      <c r="B1177" s="144">
        <v>2023</v>
      </c>
      <c r="C1177" s="199">
        <v>623.31100000000004</v>
      </c>
      <c r="D1177" s="200">
        <f t="shared" ref="D1177:D1183" si="74">+C1177*$H$1130</f>
        <v>31.321377750000003</v>
      </c>
      <c r="F1177" s="271" t="s">
        <v>174</v>
      </c>
      <c r="G1177" s="272"/>
    </row>
    <row r="1178" spans="2:7">
      <c r="B1178" s="144">
        <v>2024</v>
      </c>
      <c r="C1178" s="199">
        <v>16111.424999999999</v>
      </c>
      <c r="D1178" s="200">
        <f t="shared" si="74"/>
        <v>809.59910624999998</v>
      </c>
      <c r="F1178" s="272" t="s">
        <v>70</v>
      </c>
      <c r="G1178" s="273">
        <v>0.53</v>
      </c>
    </row>
    <row r="1179" spans="2:7">
      <c r="B1179" s="144">
        <v>2025</v>
      </c>
      <c r="C1179" s="199">
        <v>111.49</v>
      </c>
      <c r="D1179" s="200">
        <f t="shared" si="74"/>
        <v>5.6023725000000004</v>
      </c>
      <c r="F1179" s="272" t="s">
        <v>71</v>
      </c>
      <c r="G1179" s="273">
        <v>0.06</v>
      </c>
    </row>
    <row r="1180" spans="2:7">
      <c r="B1180" s="144">
        <v>2026</v>
      </c>
      <c r="C1180" s="199">
        <v>11735.403</v>
      </c>
      <c r="D1180" s="200">
        <f t="shared" si="74"/>
        <v>589.70400075000009</v>
      </c>
      <c r="F1180" s="272" t="s">
        <v>72</v>
      </c>
      <c r="G1180" s="273">
        <v>0.38</v>
      </c>
    </row>
    <row r="1181" spans="2:7">
      <c r="B1181" s="144" t="s">
        <v>143</v>
      </c>
      <c r="C1181" s="199">
        <v>56016.345000000001</v>
      </c>
      <c r="D1181" s="200">
        <f t="shared" si="74"/>
        <v>2814.8213362500001</v>
      </c>
      <c r="F1181" s="272" t="s">
        <v>73</v>
      </c>
      <c r="G1181" s="273">
        <v>0.03</v>
      </c>
    </row>
    <row r="1182" spans="2:7" ht="13.5" thickBot="1">
      <c r="B1182" s="144" t="s">
        <v>67</v>
      </c>
      <c r="C1182" s="246">
        <f>C1133</f>
        <v>30686.784</v>
      </c>
      <c r="D1182" s="200">
        <f t="shared" si="74"/>
        <v>1542.010896</v>
      </c>
    </row>
    <row r="1183" spans="2:7" ht="13.5" thickBot="1">
      <c r="B1183" s="185" t="s">
        <v>68</v>
      </c>
      <c r="C1183" s="198">
        <f>SUM(C1176:C1182)</f>
        <v>121708.567</v>
      </c>
      <c r="D1183" s="201">
        <f t="shared" si="74"/>
        <v>6115.8554917500005</v>
      </c>
      <c r="G1183" s="127"/>
    </row>
    <row r="1184" spans="2:7">
      <c r="B1184" s="66"/>
      <c r="C1184" s="237"/>
      <c r="D1184" s="237"/>
      <c r="G1184" s="127"/>
    </row>
    <row r="1186" spans="2:13">
      <c r="G1186" s="66" t="s">
        <v>175</v>
      </c>
      <c r="H1186" s="241">
        <f>Model!AR267</f>
        <v>5.0215172012071728E-2</v>
      </c>
      <c r="J1186" s="184" t="s">
        <v>8</v>
      </c>
    </row>
    <row r="1187" spans="2:13">
      <c r="B1187" s="391" t="s">
        <v>176</v>
      </c>
      <c r="C1187" s="391"/>
      <c r="D1187" s="391"/>
      <c r="E1187" s="391"/>
      <c r="F1187" s="391"/>
      <c r="G1187" s="391"/>
      <c r="H1187" s="391"/>
      <c r="I1187" s="82"/>
      <c r="J1187" s="392" t="s">
        <v>177</v>
      </c>
      <c r="K1187" s="392"/>
      <c r="L1187" s="392"/>
      <c r="M1187" s="175"/>
    </row>
    <row r="1188" spans="2:13" ht="25.5">
      <c r="B1188" s="26" t="s">
        <v>4</v>
      </c>
      <c r="C1188" s="106" t="s">
        <v>4</v>
      </c>
      <c r="D1188" s="106" t="s">
        <v>5</v>
      </c>
      <c r="E1188" s="166" t="s">
        <v>94</v>
      </c>
      <c r="F1188" s="106" t="s">
        <v>4</v>
      </c>
      <c r="G1188" s="106" t="s">
        <v>5</v>
      </c>
      <c r="H1188" s="166" t="s">
        <v>95</v>
      </c>
      <c r="I1188" s="27"/>
      <c r="J1188" s="26"/>
      <c r="K1188" s="106" t="s">
        <v>4</v>
      </c>
      <c r="L1188" s="106" t="s">
        <v>5</v>
      </c>
      <c r="M1188" s="106" t="s">
        <v>85</v>
      </c>
    </row>
    <row r="1189" spans="2:13">
      <c r="B1189" s="83" t="s">
        <v>10</v>
      </c>
      <c r="C1189" s="221">
        <f>Model!AR176</f>
        <v>31149.323</v>
      </c>
      <c r="D1189" s="204">
        <f>C1189*$H$1186</f>
        <v>1564.1686125045821</v>
      </c>
      <c r="E1189" s="205"/>
      <c r="F1189" s="206">
        <f>C1189</f>
        <v>31149.323</v>
      </c>
      <c r="G1189" s="204">
        <f>F1189*$H$1186</f>
        <v>1564.1686125045821</v>
      </c>
      <c r="H1189" s="205"/>
      <c r="I1189" s="27"/>
      <c r="J1189" s="26"/>
      <c r="K1189" s="106"/>
      <c r="L1189" s="106"/>
      <c r="M1189" s="106"/>
    </row>
    <row r="1190" spans="2:13">
      <c r="B1190" s="100" t="s">
        <v>11</v>
      </c>
      <c r="C1190" s="221"/>
      <c r="D1190" s="204"/>
      <c r="E1190" s="206"/>
      <c r="F1190" s="206"/>
      <c r="G1190" s="174"/>
      <c r="H1190" s="206"/>
      <c r="J1190" s="178" t="s">
        <v>12</v>
      </c>
      <c r="K1190" s="217">
        <f>Model!AR115+Model!AR114</f>
        <v>92855.176999999996</v>
      </c>
      <c r="L1190" s="217">
        <f>K1190*$H$1186</f>
        <v>4662.7386852663658</v>
      </c>
      <c r="M1190" s="180">
        <f>+K1190/K1195</f>
        <v>1.960127860339441</v>
      </c>
    </row>
    <row r="1191" spans="2:13">
      <c r="B1191" s="83" t="s">
        <v>21</v>
      </c>
      <c r="C1191" s="221"/>
      <c r="D1191" s="204">
        <f t="shared" ref="D1191:D1193" si="75">C1191*$H$1186</f>
        <v>0</v>
      </c>
      <c r="E1191" s="206"/>
      <c r="F1191" s="206">
        <f t="shared" ref="F1191:F1196" si="76">C1191</f>
        <v>0</v>
      </c>
      <c r="G1191" s="204">
        <f t="shared" ref="G1191:G1196" si="77">F1191*$H$1186</f>
        <v>0</v>
      </c>
      <c r="H1191" s="206"/>
      <c r="J1191" s="181" t="s">
        <v>13</v>
      </c>
      <c r="K1191" s="218">
        <f>C1212</f>
        <v>8747.4650000000001</v>
      </c>
      <c r="L1191" s="217">
        <f t="shared" ref="L1191:L1193" si="78">K1191*$H$1186</f>
        <v>439.255459644577</v>
      </c>
      <c r="M1191" s="175"/>
    </row>
    <row r="1192" spans="2:13" ht="25.5" customHeight="1">
      <c r="B1192" s="83" t="s">
        <v>162</v>
      </c>
      <c r="C1192" s="221">
        <f>Model!AR121</f>
        <v>4071.6619999999998</v>
      </c>
      <c r="D1192" s="204">
        <f t="shared" si="75"/>
        <v>204.45920770501598</v>
      </c>
      <c r="E1192" s="206"/>
      <c r="F1192" s="206">
        <f>C1192</f>
        <v>4071.6619999999998</v>
      </c>
      <c r="G1192" s="204">
        <f t="shared" si="77"/>
        <v>204.45920770501598</v>
      </c>
      <c r="H1192" s="206"/>
      <c r="J1192" s="178" t="s">
        <v>14</v>
      </c>
      <c r="K1192" s="217">
        <f>+K1190-K1191</f>
        <v>84107.712</v>
      </c>
      <c r="L1192" s="217">
        <f t="shared" si="78"/>
        <v>4223.4832256217896</v>
      </c>
      <c r="M1192" s="180">
        <f>+K1192/K1195</f>
        <v>1.7754731064763996</v>
      </c>
    </row>
    <row r="1193" spans="2:13">
      <c r="B1193" s="83" t="s">
        <v>17</v>
      </c>
      <c r="C1193" s="221">
        <f>Model!AR120</f>
        <v>16466.8</v>
      </c>
      <c r="D1193" s="204">
        <f t="shared" si="75"/>
        <v>826.88319448838274</v>
      </c>
      <c r="E1193" s="206"/>
      <c r="F1193" s="206">
        <f>C1193</f>
        <v>16466.8</v>
      </c>
      <c r="G1193" s="204">
        <f t="shared" si="77"/>
        <v>826.88319448838274</v>
      </c>
      <c r="H1193" s="206"/>
      <c r="J1193" s="183" t="s">
        <v>16</v>
      </c>
      <c r="K1193" s="219">
        <f>C1214</f>
        <v>101605.473</v>
      </c>
      <c r="L1193" s="217">
        <f t="shared" si="78"/>
        <v>5102.1363040629094</v>
      </c>
      <c r="M1193" s="175"/>
    </row>
    <row r="1194" spans="2:13">
      <c r="B1194" s="83" t="s">
        <v>15</v>
      </c>
      <c r="C1194" s="221">
        <f>Model!AR119</f>
        <v>10291.75</v>
      </c>
      <c r="D1194" s="204">
        <f t="shared" ref="D1194:D1196" si="79">C1194*$H$1186</f>
        <v>516.80199655523916</v>
      </c>
      <c r="E1194" s="206"/>
      <c r="F1194" s="206">
        <f t="shared" si="76"/>
        <v>10291.75</v>
      </c>
      <c r="G1194" s="204">
        <f t="shared" si="77"/>
        <v>516.80199655523916</v>
      </c>
      <c r="H1194" s="206"/>
      <c r="J1194" s="183" t="s">
        <v>18</v>
      </c>
      <c r="K1194" s="219">
        <f>K1190+K1193</f>
        <v>194460.65</v>
      </c>
      <c r="L1194" s="219"/>
      <c r="M1194" s="175"/>
    </row>
    <row r="1195" spans="2:13">
      <c r="B1195" s="83" t="s">
        <v>96</v>
      </c>
      <c r="C1195" s="221">
        <f>Model!AR132</f>
        <v>13379.275</v>
      </c>
      <c r="D1195" s="204">
        <f t="shared" si="79"/>
        <v>671.84259552181095</v>
      </c>
      <c r="E1195" s="206"/>
      <c r="F1195" s="206">
        <f t="shared" si="76"/>
        <v>13379.275</v>
      </c>
      <c r="G1195" s="204">
        <f t="shared" si="77"/>
        <v>671.84259552181095</v>
      </c>
      <c r="H1195" s="206"/>
      <c r="J1195" s="181" t="s">
        <v>20</v>
      </c>
      <c r="K1195" s="220">
        <f>C1216</f>
        <v>47372</v>
      </c>
      <c r="L1195" s="220"/>
      <c r="M1195" s="175"/>
    </row>
    <row r="1196" spans="2:13">
      <c r="B1196" s="83" t="s">
        <v>34</v>
      </c>
      <c r="C1196" s="221">
        <f>Model!AR133</f>
        <v>12245.124</v>
      </c>
      <c r="D1196" s="204">
        <f t="shared" si="79"/>
        <v>614.89100796914784</v>
      </c>
      <c r="E1196" s="206"/>
      <c r="F1196" s="206">
        <f t="shared" si="76"/>
        <v>12245.124</v>
      </c>
      <c r="G1196" s="204">
        <f t="shared" si="77"/>
        <v>614.89100796914784</v>
      </c>
      <c r="H1196" s="206"/>
      <c r="J1196" s="181"/>
      <c r="K1196" s="220"/>
      <c r="L1196" s="220"/>
      <c r="M1196" s="175"/>
    </row>
    <row r="1197" spans="2:13">
      <c r="B1197" s="100" t="s">
        <v>97</v>
      </c>
      <c r="C1197" s="221"/>
      <c r="D1197" s="204"/>
      <c r="E1197" s="206"/>
      <c r="F1197" s="206"/>
      <c r="G1197" s="204"/>
      <c r="H1197" s="206"/>
    </row>
    <row r="1198" spans="2:13">
      <c r="B1198" s="83" t="s">
        <v>26</v>
      </c>
      <c r="C1198" s="221">
        <f>Model!AR125</f>
        <v>7706.3389999999999</v>
      </c>
      <c r="D1198" s="204">
        <f>C1198*$H$1186</f>
        <v>386.97513846833681</v>
      </c>
      <c r="E1198" s="206"/>
      <c r="F1198" s="206">
        <f>C1198</f>
        <v>7706.3389999999999</v>
      </c>
      <c r="G1198" s="204">
        <f t="shared" ref="G1198:G1208" si="80">F1198*$H$1186</f>
        <v>386.97513846833681</v>
      </c>
      <c r="H1198" s="206"/>
      <c r="I1198" s="102"/>
    </row>
    <row r="1199" spans="2:13">
      <c r="B1199" s="83" t="s">
        <v>30</v>
      </c>
      <c r="C1199" s="221">
        <f>Model!AR129</f>
        <v>9633.1020000000008</v>
      </c>
      <c r="D1199" s="204">
        <f t="shared" ref="D1199:D1208" si="81">C1199*$H$1186</f>
        <v>483.72787393983225</v>
      </c>
      <c r="E1199" s="206"/>
      <c r="F1199" s="206">
        <f>C1199</f>
        <v>9633.1020000000008</v>
      </c>
      <c r="G1199" s="204">
        <f t="shared" si="80"/>
        <v>483.72787393983225</v>
      </c>
      <c r="H1199" s="206"/>
    </row>
    <row r="1200" spans="2:13">
      <c r="B1200" s="100" t="s">
        <v>98</v>
      </c>
      <c r="C1200" s="221"/>
      <c r="D1200" s="204"/>
      <c r="E1200" s="206"/>
      <c r="F1200" s="206"/>
      <c r="G1200" s="204"/>
      <c r="H1200" s="206"/>
    </row>
    <row r="1201" spans="2:9">
      <c r="B1201" s="100" t="s">
        <v>99</v>
      </c>
      <c r="C1201" s="221"/>
      <c r="D1201" s="204">
        <f t="shared" si="81"/>
        <v>0</v>
      </c>
      <c r="E1201" s="206"/>
      <c r="F1201" s="206"/>
      <c r="G1201" s="204">
        <f t="shared" si="80"/>
        <v>0</v>
      </c>
      <c r="H1201" s="206"/>
    </row>
    <row r="1202" spans="2:9">
      <c r="B1202" s="83" t="s">
        <v>99</v>
      </c>
      <c r="C1202" s="221">
        <v>0</v>
      </c>
      <c r="D1202" s="204">
        <f t="shared" si="81"/>
        <v>0</v>
      </c>
      <c r="E1202" s="206"/>
      <c r="F1202" s="206">
        <f t="shared" ref="F1202:F1209" si="82">C1202</f>
        <v>0</v>
      </c>
      <c r="G1202" s="204">
        <f t="shared" si="80"/>
        <v>0</v>
      </c>
      <c r="H1202" s="206"/>
    </row>
    <row r="1203" spans="2:9">
      <c r="B1203" s="83" t="s">
        <v>100</v>
      </c>
      <c r="C1203" s="221">
        <v>0</v>
      </c>
      <c r="D1203" s="204">
        <f t="shared" si="81"/>
        <v>0</v>
      </c>
      <c r="E1203" s="206"/>
      <c r="F1203" s="206">
        <f t="shared" si="82"/>
        <v>0</v>
      </c>
      <c r="G1203" s="204">
        <f t="shared" si="80"/>
        <v>0</v>
      </c>
      <c r="H1203" s="206"/>
    </row>
    <row r="1204" spans="2:9">
      <c r="B1204" s="83" t="s">
        <v>101</v>
      </c>
      <c r="C1204" s="221">
        <v>0</v>
      </c>
      <c r="D1204" s="204">
        <f t="shared" si="81"/>
        <v>0</v>
      </c>
      <c r="E1204" s="206"/>
      <c r="F1204" s="206">
        <f t="shared" si="82"/>
        <v>0</v>
      </c>
      <c r="G1204" s="204">
        <f t="shared" si="80"/>
        <v>0</v>
      </c>
      <c r="H1204" s="206"/>
    </row>
    <row r="1205" spans="2:9">
      <c r="B1205" s="83" t="s">
        <v>102</v>
      </c>
      <c r="C1205" s="221">
        <v>0</v>
      </c>
      <c r="D1205" s="204">
        <f t="shared" si="81"/>
        <v>0</v>
      </c>
      <c r="E1205" s="206"/>
      <c r="F1205" s="206">
        <f t="shared" si="82"/>
        <v>0</v>
      </c>
      <c r="G1205" s="204">
        <f t="shared" si="80"/>
        <v>0</v>
      </c>
      <c r="H1205" s="206"/>
    </row>
    <row r="1206" spans="2:9">
      <c r="B1206" s="83" t="s">
        <v>104</v>
      </c>
      <c r="C1206" s="221">
        <v>0</v>
      </c>
      <c r="D1206" s="204">
        <f t="shared" si="81"/>
        <v>0</v>
      </c>
      <c r="E1206" s="206"/>
      <c r="F1206" s="206">
        <f t="shared" si="82"/>
        <v>0</v>
      </c>
      <c r="G1206" s="204">
        <f t="shared" si="80"/>
        <v>0</v>
      </c>
      <c r="H1206" s="206"/>
    </row>
    <row r="1207" spans="2:9">
      <c r="B1207" s="83" t="s">
        <v>105</v>
      </c>
      <c r="C1207" s="221">
        <f>Model!AR155</f>
        <v>7483.3519999999999</v>
      </c>
      <c r="D1207" s="204">
        <f t="shared" si="81"/>
        <v>375.77780790688098</v>
      </c>
      <c r="E1207" s="206"/>
      <c r="F1207" s="206">
        <f t="shared" si="82"/>
        <v>7483.3519999999999</v>
      </c>
      <c r="G1207" s="204">
        <f t="shared" si="80"/>
        <v>375.77780790688098</v>
      </c>
      <c r="H1207" s="206"/>
    </row>
    <row r="1208" spans="2:9">
      <c r="B1208" s="83"/>
      <c r="C1208" s="221">
        <f>Model!AR156</f>
        <v>12350.1</v>
      </c>
      <c r="D1208" s="204">
        <f t="shared" si="81"/>
        <v>620.16239586628706</v>
      </c>
      <c r="E1208" s="206"/>
      <c r="F1208" s="206">
        <f t="shared" si="82"/>
        <v>12350.1</v>
      </c>
      <c r="G1208" s="204">
        <f t="shared" si="80"/>
        <v>620.16239586628706</v>
      </c>
      <c r="H1208" s="206"/>
    </row>
    <row r="1209" spans="2:9">
      <c r="B1209" s="83" t="s">
        <v>58</v>
      </c>
      <c r="C1209" s="221">
        <f>Model!AR157</f>
        <v>-772.327</v>
      </c>
      <c r="D1209" s="204">
        <f t="shared" ref="D1209" si="83">C1209*$H$1258</f>
        <v>-37.702074688796678</v>
      </c>
      <c r="E1209" s="206"/>
      <c r="F1209" s="206">
        <f t="shared" si="82"/>
        <v>-772.327</v>
      </c>
      <c r="G1209" s="204">
        <f>F1209*$H$1186</f>
        <v>-38.782533154567318</v>
      </c>
      <c r="H1209" s="206"/>
    </row>
    <row r="1210" spans="2:9">
      <c r="B1210" s="161" t="s">
        <v>124</v>
      </c>
      <c r="C1210" s="222">
        <f>Model!AR170</f>
        <v>8866.7690000000002</v>
      </c>
      <c r="D1210" s="207"/>
      <c r="E1210" s="207"/>
      <c r="F1210" s="207"/>
      <c r="G1210" s="207"/>
      <c r="H1210" s="207"/>
    </row>
    <row r="1211" spans="2:9">
      <c r="B1211" s="35" t="s">
        <v>12</v>
      </c>
      <c r="C1211" s="208">
        <f>SUM(C1189:C1210)</f>
        <v>132871.26899999997</v>
      </c>
      <c r="D1211" s="208"/>
      <c r="E1211" s="36">
        <f>+C1211/C1216</f>
        <v>2.8048482014692215</v>
      </c>
      <c r="F1211" s="208">
        <f>SUM(F1189:F1210)</f>
        <v>124004.49999999999</v>
      </c>
      <c r="G1211" s="208">
        <f>SUM(G1189:G1210)</f>
        <v>6226.9072977709484</v>
      </c>
      <c r="H1211" s="36">
        <f>+F1211/F1216</f>
        <v>2.6176749978890479</v>
      </c>
      <c r="I1211" s="145"/>
    </row>
    <row r="1212" spans="2:9">
      <c r="B1212" s="34" t="s">
        <v>13</v>
      </c>
      <c r="C1212" s="209">
        <f>Model!AR165</f>
        <v>8747.4650000000001</v>
      </c>
      <c r="D1212" s="204"/>
      <c r="E1212" s="210"/>
      <c r="F1212" s="209">
        <f>C1212</f>
        <v>8747.4650000000001</v>
      </c>
      <c r="G1212" s="204">
        <f>F1212*$H$1186</f>
        <v>439.255459644577</v>
      </c>
      <c r="H1212" s="210"/>
    </row>
    <row r="1213" spans="2:9">
      <c r="B1213" s="35" t="s">
        <v>14</v>
      </c>
      <c r="C1213" s="208">
        <f>+C1211-C1212</f>
        <v>124123.80399999997</v>
      </c>
      <c r="D1213" s="208"/>
      <c r="E1213" s="36">
        <f>+C1213/C1216</f>
        <v>2.6201934476061801</v>
      </c>
      <c r="F1213" s="208">
        <f>F1211-F1212</f>
        <v>115257.03499999999</v>
      </c>
      <c r="G1213" s="208">
        <f>+G1211-G1212</f>
        <v>5787.6518381263713</v>
      </c>
      <c r="H1213" s="36">
        <f>+F1213/F1216</f>
        <v>2.4330202440260065</v>
      </c>
    </row>
    <row r="1214" spans="2:9">
      <c r="B1214" s="69" t="s">
        <v>16</v>
      </c>
      <c r="C1214" s="211">
        <f>Model!AR186</f>
        <v>101605.473</v>
      </c>
      <c r="D1214" s="204"/>
      <c r="E1214" s="212"/>
      <c r="F1214" s="211"/>
      <c r="G1214" s="204"/>
      <c r="H1214" s="212"/>
    </row>
    <row r="1215" spans="2:9">
      <c r="B1215" s="69" t="s">
        <v>18</v>
      </c>
      <c r="C1215" s="211">
        <f>C1211+C1214</f>
        <v>234476.74199999997</v>
      </c>
      <c r="D1215" s="211"/>
      <c r="E1215" s="212"/>
      <c r="F1215" s="211"/>
      <c r="G1215" s="211"/>
      <c r="H1215" s="212"/>
    </row>
    <row r="1216" spans="2:9">
      <c r="B1216" s="181" t="s">
        <v>20</v>
      </c>
      <c r="C1216" s="213">
        <f>Model!AR92</f>
        <v>47372</v>
      </c>
      <c r="D1216" s="213"/>
      <c r="E1216" s="210"/>
      <c r="F1216" s="210">
        <f>C1216</f>
        <v>47372</v>
      </c>
      <c r="G1216" s="213"/>
      <c r="H1216" s="210"/>
    </row>
    <row r="1218" spans="2:6">
      <c r="B1218" s="101" t="s">
        <v>59</v>
      </c>
      <c r="C1218" s="229">
        <f>Model!AR179-Capitalisation!C1211</f>
        <v>0</v>
      </c>
    </row>
    <row r="1219" spans="2:6">
      <c r="B1219" s="101"/>
      <c r="C1219" s="103"/>
    </row>
    <row r="1220" spans="2:6">
      <c r="B1220" s="35" t="s">
        <v>60</v>
      </c>
      <c r="C1220" s="88">
        <f>C1213+Model!AR185</f>
        <v>414153.804</v>
      </c>
    </row>
    <row r="1221" spans="2:6">
      <c r="B1221" s="35" t="s">
        <v>61</v>
      </c>
      <c r="C1221" s="36">
        <f>C1220/C1216</f>
        <v>8.7425864223591994</v>
      </c>
    </row>
    <row r="1223" spans="2:6" ht="13.5" thickBot="1"/>
    <row r="1224" spans="2:6">
      <c r="B1224" s="78" t="s">
        <v>178</v>
      </c>
      <c r="C1224" s="153" t="s">
        <v>4</v>
      </c>
      <c r="D1224" s="153" t="s">
        <v>5</v>
      </c>
      <c r="E1224" s="104"/>
      <c r="F1224" s="104"/>
    </row>
    <row r="1225" spans="2:6">
      <c r="B1225" s="79" t="s">
        <v>108</v>
      </c>
      <c r="C1225" s="270">
        <f>1750/H1186</f>
        <v>34850.025000000001</v>
      </c>
      <c r="D1225" s="202">
        <f>C1225*H1186</f>
        <v>1750</v>
      </c>
      <c r="E1225" s="105"/>
      <c r="F1225" s="105"/>
    </row>
    <row r="1226" spans="2:6">
      <c r="B1226" s="79" t="s">
        <v>63</v>
      </c>
      <c r="C1226" s="202">
        <f>C1212</f>
        <v>8747.4650000000001</v>
      </c>
      <c r="D1226" s="202">
        <f>C1226*H1186</f>
        <v>439.255459644577</v>
      </c>
      <c r="E1226" s="105"/>
      <c r="F1226" s="105"/>
    </row>
    <row r="1227" spans="2:6" ht="13.5" thickBot="1">
      <c r="B1227" s="80" t="s">
        <v>64</v>
      </c>
      <c r="C1227" s="203">
        <f>SUM(C1225:C1226)</f>
        <v>43597.490000000005</v>
      </c>
      <c r="D1227" s="203">
        <f>SUM(D1225:D1226)</f>
        <v>2189.2554596445771</v>
      </c>
      <c r="E1227" s="105"/>
      <c r="F1227" s="105"/>
    </row>
    <row r="1229" spans="2:6">
      <c r="C1229" s="30"/>
    </row>
    <row r="1230" spans="2:6" ht="13.5" thickBot="1"/>
    <row r="1231" spans="2:6" ht="13.5" thickBot="1">
      <c r="B1231" s="78" t="s">
        <v>178</v>
      </c>
      <c r="C1231" s="189" t="s">
        <v>4</v>
      </c>
      <c r="D1231" s="186" t="s">
        <v>5</v>
      </c>
      <c r="E1231" s="66"/>
    </row>
    <row r="1232" spans="2:6">
      <c r="B1232" s="144">
        <v>2020</v>
      </c>
      <c r="C1232" s="246">
        <f>Model!AR114</f>
        <v>10625.252</v>
      </c>
      <c r="D1232" s="200">
        <f>+C1232*$H$1186</f>
        <v>533.54885685160912</v>
      </c>
    </row>
    <row r="1233" spans="2:7">
      <c r="B1233" s="144">
        <v>2021</v>
      </c>
      <c r="C1233" s="199">
        <v>0</v>
      </c>
      <c r="D1233" s="200">
        <f t="shared" ref="D1233:D1239" si="84">+C1233*$H$1186</f>
        <v>0</v>
      </c>
    </row>
    <row r="1234" spans="2:7">
      <c r="B1234" s="144">
        <v>2022</v>
      </c>
      <c r="C1234" s="199">
        <v>16194.968999999999</v>
      </c>
      <c r="D1234" s="200">
        <f t="shared" si="84"/>
        <v>813.23315406516917</v>
      </c>
      <c r="F1234" s="271" t="s">
        <v>179</v>
      </c>
      <c r="G1234" s="272"/>
    </row>
    <row r="1235" spans="2:7">
      <c r="B1235" s="144">
        <v>2023</v>
      </c>
      <c r="C1235" s="199">
        <v>187.20599999999999</v>
      </c>
      <c r="D1235" s="200">
        <f t="shared" si="84"/>
        <v>9.4005814916918986</v>
      </c>
      <c r="F1235" s="272" t="s">
        <v>70</v>
      </c>
      <c r="G1235" s="273">
        <v>0.5</v>
      </c>
    </row>
    <row r="1236" spans="2:7">
      <c r="B1236" s="144">
        <v>2024</v>
      </c>
      <c r="C1236" s="199">
        <v>16500.262999999999</v>
      </c>
      <c r="D1236" s="200">
        <f t="shared" si="84"/>
        <v>828.56354478942262</v>
      </c>
      <c r="F1236" s="272" t="s">
        <v>71</v>
      </c>
      <c r="G1236" s="273">
        <v>7.0000000000000007E-2</v>
      </c>
    </row>
    <row r="1237" spans="2:7">
      <c r="B1237" s="144">
        <v>2025</v>
      </c>
      <c r="C1237" s="199">
        <v>32.6</v>
      </c>
      <c r="D1237" s="200">
        <f t="shared" si="84"/>
        <v>1.6370146075935383</v>
      </c>
      <c r="F1237" s="272" t="s">
        <v>72</v>
      </c>
      <c r="G1237" s="273">
        <v>0.4</v>
      </c>
    </row>
    <row r="1238" spans="2:7">
      <c r="B1238" s="144" t="s">
        <v>180</v>
      </c>
      <c r="C1238" s="199">
        <v>51713.71</v>
      </c>
      <c r="D1238" s="200">
        <f t="shared" si="84"/>
        <v>2596.8128430323936</v>
      </c>
      <c r="F1238" s="272" t="s">
        <v>73</v>
      </c>
      <c r="G1238" s="273">
        <v>0.03</v>
      </c>
    </row>
    <row r="1239" spans="2:7" ht="13.5" thickBot="1">
      <c r="B1239" s="144" t="s">
        <v>67</v>
      </c>
      <c r="C1239" s="246">
        <f>C1189</f>
        <v>31149.323</v>
      </c>
      <c r="D1239" s="200">
        <f t="shared" si="84"/>
        <v>1564.1686125045821</v>
      </c>
    </row>
    <row r="1240" spans="2:7" ht="13.5" thickBot="1">
      <c r="B1240" s="185" t="s">
        <v>68</v>
      </c>
      <c r="C1240" s="198">
        <f>SUM(C1232:C1239)</f>
        <v>126403.323</v>
      </c>
      <c r="D1240" s="201">
        <f>SUM(D1232:D1239)</f>
        <v>6347.3646073424625</v>
      </c>
      <c r="G1240" s="127"/>
    </row>
    <row r="1241" spans="2:7">
      <c r="B1241" s="66"/>
      <c r="C1241" s="237"/>
      <c r="D1241" s="237"/>
      <c r="G1241" s="127"/>
    </row>
    <row r="1249" spans="2:13" ht="25.5" customHeight="1"/>
    <row r="1258" spans="2:13">
      <c r="G1258" s="66" t="s">
        <v>181</v>
      </c>
      <c r="H1258" s="241">
        <f>Model!AQ267</f>
        <v>4.8816206980717598E-2</v>
      </c>
      <c r="J1258" s="184" t="s">
        <v>8</v>
      </c>
    </row>
    <row r="1259" spans="2:13">
      <c r="B1259" s="391" t="s">
        <v>182</v>
      </c>
      <c r="C1259" s="391"/>
      <c r="D1259" s="391"/>
      <c r="E1259" s="391"/>
      <c r="F1259" s="391"/>
      <c r="G1259" s="391"/>
      <c r="H1259" s="391"/>
      <c r="I1259" s="82"/>
      <c r="J1259" s="392" t="s">
        <v>183</v>
      </c>
      <c r="K1259" s="392"/>
      <c r="L1259" s="392"/>
      <c r="M1259" s="175"/>
    </row>
    <row r="1260" spans="2:13" ht="25.5">
      <c r="B1260" s="26" t="s">
        <v>4</v>
      </c>
      <c r="C1260" s="106" t="s">
        <v>4</v>
      </c>
      <c r="D1260" s="106" t="s">
        <v>5</v>
      </c>
      <c r="E1260" s="166" t="s">
        <v>94</v>
      </c>
      <c r="F1260" s="106" t="s">
        <v>4</v>
      </c>
      <c r="G1260" s="106" t="s">
        <v>5</v>
      </c>
      <c r="H1260" s="166" t="s">
        <v>95</v>
      </c>
      <c r="I1260" s="27"/>
      <c r="J1260" s="26"/>
      <c r="K1260" s="106" t="s">
        <v>4</v>
      </c>
      <c r="L1260" s="106" t="s">
        <v>5</v>
      </c>
      <c r="M1260" s="106" t="s">
        <v>85</v>
      </c>
    </row>
    <row r="1261" spans="2:13">
      <c r="B1261" s="83" t="s">
        <v>10</v>
      </c>
      <c r="C1261" s="221">
        <f>Model!AQ176</f>
        <v>29241.891</v>
      </c>
      <c r="D1261" s="204">
        <f>C1261*$H$1258</f>
        <v>1427.4782035635831</v>
      </c>
      <c r="E1261" s="205"/>
      <c r="F1261" s="206">
        <f>C1261</f>
        <v>29241.891</v>
      </c>
      <c r="G1261" s="204">
        <f>F1261*$H$1258</f>
        <v>1427.4782035635831</v>
      </c>
      <c r="H1261" s="205"/>
      <c r="I1261" s="27"/>
      <c r="J1261" s="26"/>
      <c r="K1261" s="106"/>
      <c r="L1261" s="106"/>
      <c r="M1261" s="106"/>
    </row>
    <row r="1262" spans="2:13">
      <c r="B1262" s="100" t="s">
        <v>11</v>
      </c>
      <c r="C1262" s="221"/>
      <c r="D1262" s="204">
        <f t="shared" ref="D1262:D1271" si="85">C1262*$H$1258</f>
        <v>0</v>
      </c>
      <c r="E1262" s="206"/>
      <c r="F1262" s="206"/>
      <c r="G1262" s="174"/>
      <c r="H1262" s="206"/>
      <c r="J1262" s="178" t="s">
        <v>12</v>
      </c>
      <c r="K1262" s="217">
        <f>Model!AQ115+Model!AQ114</f>
        <v>90888.08</v>
      </c>
      <c r="L1262" s="217">
        <f>K1262*$H$1258</f>
        <v>4436.8113253600195</v>
      </c>
      <c r="M1262" s="180">
        <f>+K1262/K1267</f>
        <v>1.8747154555392835</v>
      </c>
    </row>
    <row r="1263" spans="2:13">
      <c r="B1263" s="83" t="s">
        <v>21</v>
      </c>
      <c r="C1263" s="221"/>
      <c r="D1263" s="204">
        <f t="shared" si="85"/>
        <v>0</v>
      </c>
      <c r="E1263" s="206"/>
      <c r="F1263" s="206">
        <f t="shared" ref="F1263:F1268" si="86">C1263</f>
        <v>0</v>
      </c>
      <c r="G1263" s="204">
        <f t="shared" ref="G1263:G1271" si="87">F1263*$H$1258</f>
        <v>0</v>
      </c>
      <c r="H1263" s="206"/>
      <c r="J1263" s="181" t="s">
        <v>13</v>
      </c>
      <c r="K1263" s="218">
        <f>C1284</f>
        <v>11153.518</v>
      </c>
      <c r="L1263" s="262">
        <f>K1263*$H$1258</f>
        <v>544.47244325115935</v>
      </c>
      <c r="M1263" s="175"/>
    </row>
    <row r="1264" spans="2:13">
      <c r="B1264" s="83" t="s">
        <v>162</v>
      </c>
      <c r="C1264" s="221">
        <f>Model!AQ121</f>
        <v>4016.77</v>
      </c>
      <c r="D1264" s="204">
        <f t="shared" si="85"/>
        <v>196.08347571393702</v>
      </c>
      <c r="E1264" s="206"/>
      <c r="F1264" s="206">
        <f t="shared" si="86"/>
        <v>4016.77</v>
      </c>
      <c r="G1264" s="204">
        <f t="shared" si="87"/>
        <v>196.08347571393702</v>
      </c>
      <c r="H1264" s="206"/>
      <c r="J1264" s="178" t="s">
        <v>14</v>
      </c>
      <c r="K1264" s="217">
        <f>+K1262-K1263</f>
        <v>79734.562000000005</v>
      </c>
      <c r="L1264" s="217">
        <f>K1264*$H$1258</f>
        <v>3892.3388821088606</v>
      </c>
      <c r="M1264" s="180">
        <f>+K1264/K1267</f>
        <v>1.6446558858109364</v>
      </c>
    </row>
    <row r="1265" spans="2:13">
      <c r="B1265" s="83" t="s">
        <v>17</v>
      </c>
      <c r="C1265" s="221">
        <f>Model!AQ120</f>
        <v>16244.8</v>
      </c>
      <c r="D1265" s="204">
        <f t="shared" si="85"/>
        <v>793.00951916036115</v>
      </c>
      <c r="E1265" s="206"/>
      <c r="F1265" s="206">
        <f t="shared" si="86"/>
        <v>16244.8</v>
      </c>
      <c r="G1265" s="204">
        <f t="shared" si="87"/>
        <v>793.00951916036115</v>
      </c>
      <c r="H1265" s="206"/>
      <c r="J1265" s="183" t="s">
        <v>16</v>
      </c>
      <c r="K1265" s="219">
        <f>C1286</f>
        <v>96349.502999999997</v>
      </c>
      <c r="L1265" s="217">
        <f>K1265*$H$1258</f>
        <v>4703.4172809372712</v>
      </c>
      <c r="M1265" s="175"/>
    </row>
    <row r="1266" spans="2:13">
      <c r="B1266" s="83" t="s">
        <v>15</v>
      </c>
      <c r="C1266" s="221">
        <f>Model!AQ119</f>
        <v>10153</v>
      </c>
      <c r="D1266" s="204">
        <f t="shared" si="85"/>
        <v>495.63094947522575</v>
      </c>
      <c r="E1266" s="206"/>
      <c r="F1266" s="206">
        <f t="shared" si="86"/>
        <v>10153</v>
      </c>
      <c r="G1266" s="204">
        <f t="shared" si="87"/>
        <v>495.63094947522575</v>
      </c>
      <c r="H1266" s="206"/>
      <c r="J1266" s="183" t="s">
        <v>18</v>
      </c>
      <c r="K1266" s="219">
        <f>K1262+K1265</f>
        <v>187237.58299999998</v>
      </c>
      <c r="L1266" s="219"/>
      <c r="M1266" s="175"/>
    </row>
    <row r="1267" spans="2:13">
      <c r="B1267" s="83" t="s">
        <v>96</v>
      </c>
      <c r="C1267" s="221">
        <f>Model!AQ132</f>
        <v>13198.9</v>
      </c>
      <c r="D1267" s="204">
        <f t="shared" si="85"/>
        <v>644.32023431779351</v>
      </c>
      <c r="E1267" s="206"/>
      <c r="F1267" s="206">
        <f t="shared" si="86"/>
        <v>13198.9</v>
      </c>
      <c r="G1267" s="204">
        <f t="shared" si="87"/>
        <v>644.32023431779351</v>
      </c>
      <c r="H1267" s="206"/>
      <c r="J1267" s="181" t="s">
        <v>20</v>
      </c>
      <c r="K1267" s="220">
        <f>C1288</f>
        <v>48481</v>
      </c>
      <c r="L1267" s="220"/>
      <c r="M1267" s="175"/>
    </row>
    <row r="1268" spans="2:13">
      <c r="B1268" s="83" t="s">
        <v>34</v>
      </c>
      <c r="C1268" s="221">
        <f>Model!AQ133</f>
        <v>12080.039000000001</v>
      </c>
      <c r="D1268" s="204">
        <f t="shared" si="85"/>
        <v>589.70168415914088</v>
      </c>
      <c r="E1268" s="206"/>
      <c r="F1268" s="206">
        <f t="shared" si="86"/>
        <v>12080.039000000001</v>
      </c>
      <c r="G1268" s="204">
        <f t="shared" si="87"/>
        <v>589.70168415914088</v>
      </c>
      <c r="H1268" s="206"/>
      <c r="J1268" s="181"/>
      <c r="K1268" s="220"/>
      <c r="L1268" s="220"/>
      <c r="M1268" s="175"/>
    </row>
    <row r="1269" spans="2:13">
      <c r="B1269" s="100" t="s">
        <v>97</v>
      </c>
      <c r="C1269" s="221"/>
      <c r="D1269" s="204">
        <f t="shared" si="85"/>
        <v>0</v>
      </c>
      <c r="E1269" s="206"/>
      <c r="F1269" s="206"/>
      <c r="G1269" s="204">
        <f t="shared" si="87"/>
        <v>0</v>
      </c>
      <c r="H1269" s="206"/>
    </row>
    <row r="1270" spans="2:13">
      <c r="B1270" s="83" t="s">
        <v>26</v>
      </c>
      <c r="C1270" s="221">
        <f>Model!AQ125</f>
        <v>7706.3389999999999</v>
      </c>
      <c r="D1270" s="204">
        <f t="shared" si="85"/>
        <v>376.19423968757627</v>
      </c>
      <c r="E1270" s="206"/>
      <c r="F1270" s="206">
        <f>C1270</f>
        <v>7706.3389999999999</v>
      </c>
      <c r="G1270" s="204">
        <f t="shared" si="87"/>
        <v>376.19423968757627</v>
      </c>
      <c r="H1270" s="206"/>
      <c r="I1270" s="102"/>
    </row>
    <row r="1271" spans="2:13">
      <c r="B1271" s="83" t="s">
        <v>30</v>
      </c>
      <c r="C1271" s="221">
        <f>Model!AQ129</f>
        <v>9633.1020000000008</v>
      </c>
      <c r="D1271" s="204">
        <f t="shared" si="85"/>
        <v>470.25150109836471</v>
      </c>
      <c r="E1271" s="206"/>
      <c r="F1271" s="206">
        <f>C1271</f>
        <v>9633.1020000000008</v>
      </c>
      <c r="G1271" s="204">
        <f t="shared" si="87"/>
        <v>470.25150109836471</v>
      </c>
      <c r="H1271" s="206"/>
    </row>
    <row r="1272" spans="2:13">
      <c r="B1272" s="100" t="s">
        <v>98</v>
      </c>
      <c r="C1272" s="221"/>
      <c r="D1272" s="204"/>
      <c r="E1272" s="206"/>
      <c r="F1272" s="206"/>
      <c r="G1272" s="204"/>
      <c r="H1272" s="206"/>
    </row>
    <row r="1273" spans="2:13">
      <c r="B1273" s="100" t="s">
        <v>99</v>
      </c>
      <c r="C1273" s="221"/>
      <c r="D1273" s="204"/>
      <c r="E1273" s="206"/>
      <c r="F1273" s="206"/>
      <c r="G1273" s="204"/>
      <c r="H1273" s="206"/>
    </row>
    <row r="1274" spans="2:13">
      <c r="B1274" s="83" t="s">
        <v>99</v>
      </c>
      <c r="C1274" s="221">
        <v>0</v>
      </c>
      <c r="D1274" s="204">
        <f t="shared" ref="D1274:D1281" si="88">C1274*$H$1258</f>
        <v>0</v>
      </c>
      <c r="E1274" s="206"/>
      <c r="F1274" s="206">
        <f t="shared" ref="F1274:F1281" si="89">C1274</f>
        <v>0</v>
      </c>
      <c r="G1274" s="204">
        <f t="shared" ref="G1274:G1281" si="90">F1274*$H$1258</f>
        <v>0</v>
      </c>
      <c r="H1274" s="206"/>
    </row>
    <row r="1275" spans="2:13">
      <c r="B1275" s="83" t="s">
        <v>100</v>
      </c>
      <c r="C1275" s="221">
        <v>0</v>
      </c>
      <c r="D1275" s="204">
        <f t="shared" si="88"/>
        <v>0</v>
      </c>
      <c r="E1275" s="206"/>
      <c r="F1275" s="206">
        <f t="shared" si="89"/>
        <v>0</v>
      </c>
      <c r="G1275" s="204">
        <f t="shared" si="90"/>
        <v>0</v>
      </c>
      <c r="H1275" s="206"/>
    </row>
    <row r="1276" spans="2:13">
      <c r="B1276" s="83" t="s">
        <v>101</v>
      </c>
      <c r="C1276" s="221">
        <v>0</v>
      </c>
      <c r="D1276" s="204">
        <f t="shared" si="88"/>
        <v>0</v>
      </c>
      <c r="E1276" s="206"/>
      <c r="F1276" s="206">
        <f t="shared" si="89"/>
        <v>0</v>
      </c>
      <c r="G1276" s="204">
        <f t="shared" si="90"/>
        <v>0</v>
      </c>
      <c r="H1276" s="206"/>
    </row>
    <row r="1277" spans="2:13">
      <c r="B1277" s="83" t="s">
        <v>102</v>
      </c>
      <c r="C1277" s="221">
        <v>0</v>
      </c>
      <c r="D1277" s="204">
        <f t="shared" si="88"/>
        <v>0</v>
      </c>
      <c r="E1277" s="206"/>
      <c r="F1277" s="206">
        <f t="shared" si="89"/>
        <v>0</v>
      </c>
      <c r="G1277" s="204">
        <f t="shared" si="90"/>
        <v>0</v>
      </c>
      <c r="H1277" s="206"/>
    </row>
    <row r="1278" spans="2:13">
      <c r="B1278" s="83" t="s">
        <v>104</v>
      </c>
      <c r="C1278" s="221">
        <v>0</v>
      </c>
      <c r="D1278" s="204">
        <f t="shared" si="88"/>
        <v>0</v>
      </c>
      <c r="E1278" s="206"/>
      <c r="F1278" s="206">
        <f t="shared" si="89"/>
        <v>0</v>
      </c>
      <c r="G1278" s="204">
        <f t="shared" si="90"/>
        <v>0</v>
      </c>
      <c r="H1278" s="206"/>
    </row>
    <row r="1279" spans="2:13">
      <c r="B1279" s="83" t="s">
        <v>105</v>
      </c>
      <c r="C1279" s="221">
        <f>Model!AQ155</f>
        <v>6440.46</v>
      </c>
      <c r="D1279" s="204">
        <f t="shared" si="88"/>
        <v>314.39882841103247</v>
      </c>
      <c r="E1279" s="206"/>
      <c r="F1279" s="206">
        <f t="shared" si="89"/>
        <v>6440.46</v>
      </c>
      <c r="G1279" s="204">
        <f t="shared" si="90"/>
        <v>314.39882841103247</v>
      </c>
      <c r="H1279" s="206"/>
    </row>
    <row r="1280" spans="2:13">
      <c r="B1280" s="83"/>
      <c r="C1280" s="221">
        <f>Model!AQ156</f>
        <v>12183.6</v>
      </c>
      <c r="D1280" s="204">
        <f t="shared" si="88"/>
        <v>594.75713937027092</v>
      </c>
      <c r="E1280" s="206"/>
      <c r="F1280" s="206">
        <f t="shared" si="89"/>
        <v>12183.6</v>
      </c>
      <c r="G1280" s="204">
        <f t="shared" si="90"/>
        <v>594.75713937027092</v>
      </c>
      <c r="H1280" s="206"/>
    </row>
    <row r="1281" spans="2:9">
      <c r="B1281" s="83" t="s">
        <v>58</v>
      </c>
      <c r="C1281" s="221">
        <f>Model!AQ157</f>
        <v>-768.93</v>
      </c>
      <c r="D1281" s="204">
        <f t="shared" si="88"/>
        <v>-37.536246033683177</v>
      </c>
      <c r="E1281" s="206"/>
      <c r="F1281" s="206">
        <f t="shared" si="89"/>
        <v>-768.93</v>
      </c>
      <c r="G1281" s="204">
        <f t="shared" si="90"/>
        <v>-37.536246033683177</v>
      </c>
      <c r="H1281" s="206"/>
    </row>
    <row r="1282" spans="2:9">
      <c r="B1282" s="161" t="s">
        <v>124</v>
      </c>
      <c r="C1282" s="222">
        <f>Model!AQ170</f>
        <v>8913.482</v>
      </c>
      <c r="D1282" s="207"/>
      <c r="E1282" s="207"/>
      <c r="F1282" s="207"/>
      <c r="G1282" s="207"/>
      <c r="H1282" s="207"/>
    </row>
    <row r="1283" spans="2:9">
      <c r="B1283" s="35" t="s">
        <v>12</v>
      </c>
      <c r="C1283" s="208">
        <f>SUM(C1261:C1282)</f>
        <v>129043.45300000002</v>
      </c>
      <c r="D1283" s="208"/>
      <c r="E1283" s="36">
        <f>+C1283/C1288</f>
        <v>2.6617324931416437</v>
      </c>
      <c r="F1283" s="208">
        <f>SUM(F1261:F1282)</f>
        <v>120129.97100000002</v>
      </c>
      <c r="G1283" s="208">
        <f>SUM(G1261:G1282)</f>
        <v>5864.2895289236039</v>
      </c>
      <c r="H1283" s="36">
        <f>+F1283/F1288</f>
        <v>2.4778773333883382</v>
      </c>
      <c r="I1283" s="145"/>
    </row>
    <row r="1284" spans="2:9">
      <c r="B1284" s="34" t="s">
        <v>13</v>
      </c>
      <c r="C1284" s="209">
        <f>Model!AQ165</f>
        <v>11153.518</v>
      </c>
      <c r="D1284" s="204"/>
      <c r="E1284" s="210"/>
      <c r="F1284" s="209">
        <f>C1284</f>
        <v>11153.518</v>
      </c>
      <c r="G1284" s="204">
        <f>F1284*$H$1258</f>
        <v>544.47244325115935</v>
      </c>
      <c r="H1284" s="210"/>
    </row>
    <row r="1285" spans="2:9">
      <c r="B1285" s="35" t="s">
        <v>14</v>
      </c>
      <c r="C1285" s="208">
        <f>+C1283-C1284</f>
        <v>117889.93500000003</v>
      </c>
      <c r="D1285" s="208"/>
      <c r="E1285" s="36">
        <f>+C1285/C1288</f>
        <v>2.4316729234132963</v>
      </c>
      <c r="F1285" s="208">
        <f>F1283-F1284</f>
        <v>108976.45300000002</v>
      </c>
      <c r="G1285" s="208">
        <f>+G1283-G1284</f>
        <v>5319.8170856724446</v>
      </c>
      <c r="H1285" s="36">
        <f>+F1285/F1288</f>
        <v>2.2478177636599912</v>
      </c>
    </row>
    <row r="1286" spans="2:9">
      <c r="B1286" s="69" t="s">
        <v>16</v>
      </c>
      <c r="C1286" s="211">
        <f>Model!AQ186</f>
        <v>96349.502999999997</v>
      </c>
      <c r="D1286" s="204"/>
      <c r="E1286" s="212"/>
      <c r="F1286" s="211"/>
      <c r="G1286" s="204"/>
      <c r="H1286" s="212"/>
    </row>
    <row r="1287" spans="2:9">
      <c r="B1287" s="69" t="s">
        <v>18</v>
      </c>
      <c r="C1287" s="211">
        <f>C1283+C1286</f>
        <v>225392.95600000001</v>
      </c>
      <c r="D1287" s="211"/>
      <c r="E1287" s="212"/>
      <c r="F1287" s="211"/>
      <c r="G1287" s="211"/>
      <c r="H1287" s="212"/>
    </row>
    <row r="1288" spans="2:9">
      <c r="B1288" s="181" t="s">
        <v>20</v>
      </c>
      <c r="C1288" s="213">
        <f>Model!AQ92</f>
        <v>48481</v>
      </c>
      <c r="D1288" s="213"/>
      <c r="E1288" s="210"/>
      <c r="F1288" s="210">
        <f>C1288</f>
        <v>48481</v>
      </c>
      <c r="G1288" s="213"/>
      <c r="H1288" s="210"/>
    </row>
    <row r="1290" spans="2:9">
      <c r="B1290" s="101" t="s">
        <v>59</v>
      </c>
      <c r="C1290" s="229">
        <f>Model!AQ179-Capitalisation!C1283</f>
        <v>0</v>
      </c>
    </row>
    <row r="1291" spans="2:9">
      <c r="B1291" s="101"/>
      <c r="C1291" s="103"/>
    </row>
    <row r="1292" spans="2:9">
      <c r="B1292" s="35" t="s">
        <v>60</v>
      </c>
      <c r="C1292" s="88">
        <f>C1285+Model!AQ185</f>
        <v>372503.93500000006</v>
      </c>
    </row>
    <row r="1293" spans="2:9">
      <c r="B1293" s="35" t="s">
        <v>61</v>
      </c>
      <c r="C1293" s="36">
        <f>C1292/C1288</f>
        <v>7.6835035374682876</v>
      </c>
    </row>
    <row r="1295" spans="2:9" ht="13.5" thickBot="1"/>
    <row r="1296" spans="2:9">
      <c r="B1296" s="78" t="s">
        <v>184</v>
      </c>
      <c r="C1296" s="153" t="s">
        <v>4</v>
      </c>
      <c r="D1296" s="153" t="s">
        <v>5</v>
      </c>
      <c r="E1296" s="104"/>
      <c r="F1296" s="104"/>
    </row>
    <row r="1297" spans="2:7">
      <c r="B1297" s="79" t="s">
        <v>108</v>
      </c>
      <c r="C1297" s="214">
        <f>1750/H1258</f>
        <v>35848.75</v>
      </c>
      <c r="D1297" s="202">
        <f>C1297*H1258</f>
        <v>1750</v>
      </c>
      <c r="E1297" s="105"/>
      <c r="F1297" s="105"/>
    </row>
    <row r="1298" spans="2:7">
      <c r="B1298" s="79" t="s">
        <v>63</v>
      </c>
      <c r="C1298" s="202">
        <f>C1284</f>
        <v>11153.518</v>
      </c>
      <c r="D1298" s="202">
        <f>C1298*H1258</f>
        <v>544.47244325115935</v>
      </c>
      <c r="E1298" s="105"/>
      <c r="F1298" s="105"/>
    </row>
    <row r="1299" spans="2:7" ht="13.5" thickBot="1">
      <c r="B1299" s="80" t="s">
        <v>64</v>
      </c>
      <c r="C1299" s="203">
        <f>SUM(C1297:C1298)</f>
        <v>47002.267999999996</v>
      </c>
      <c r="D1299" s="203">
        <f>SUM(D1297:D1298)</f>
        <v>2294.4724432511593</v>
      </c>
      <c r="E1299" s="105"/>
      <c r="F1299" s="105"/>
    </row>
    <row r="1301" spans="2:7">
      <c r="C1301" s="30"/>
    </row>
    <row r="1302" spans="2:7" ht="13.5" thickBot="1"/>
    <row r="1303" spans="2:7" ht="13.5" thickBot="1">
      <c r="B1303" s="185" t="s">
        <v>185</v>
      </c>
      <c r="C1303" s="189" t="s">
        <v>4</v>
      </c>
      <c r="D1303" s="186" t="s">
        <v>5</v>
      </c>
      <c r="E1303" s="66"/>
    </row>
    <row r="1304" spans="2:7">
      <c r="B1304" s="144">
        <v>2020</v>
      </c>
      <c r="C1304" s="246">
        <f>Model!AQ114</f>
        <v>9552.527</v>
      </c>
      <c r="D1304" s="200">
        <f t="shared" ref="D1304:D1311" si="91">+C1304*$H$1258</f>
        <v>466.31813522089334</v>
      </c>
    </row>
    <row r="1305" spans="2:7">
      <c r="B1305" s="144">
        <v>2021</v>
      </c>
      <c r="C1305" s="199">
        <v>0</v>
      </c>
      <c r="D1305" s="200">
        <f t="shared" si="91"/>
        <v>0</v>
      </c>
    </row>
    <row r="1306" spans="2:7" ht="25.5" customHeight="1">
      <c r="B1306" s="144">
        <v>2022</v>
      </c>
      <c r="C1306" s="199">
        <v>132.94399999999999</v>
      </c>
      <c r="D1306" s="200">
        <f t="shared" si="91"/>
        <v>6.4898218208445195</v>
      </c>
      <c r="F1306" s="66" t="s">
        <v>186</v>
      </c>
    </row>
    <row r="1307" spans="2:7">
      <c r="B1307" s="144">
        <v>2023</v>
      </c>
      <c r="C1307" s="199">
        <v>679.61599999999999</v>
      </c>
      <c r="D1307" s="200">
        <f t="shared" si="91"/>
        <v>33.176275323407367</v>
      </c>
      <c r="F1307" s="28" t="s">
        <v>70</v>
      </c>
      <c r="G1307" s="215">
        <v>0.5</v>
      </c>
    </row>
    <row r="1308" spans="2:7">
      <c r="B1308" s="144">
        <v>2024</v>
      </c>
      <c r="C1308" s="199">
        <v>16263.266</v>
      </c>
      <c r="D1308" s="200">
        <f t="shared" si="91"/>
        <v>793.91095923846717</v>
      </c>
      <c r="F1308" s="28" t="s">
        <v>71</v>
      </c>
      <c r="G1308" s="215">
        <v>7.0000000000000007E-2</v>
      </c>
    </row>
    <row r="1309" spans="2:7">
      <c r="B1309" s="144">
        <v>2025</v>
      </c>
      <c r="C1309" s="199">
        <v>36.360999999999997</v>
      </c>
      <c r="D1309" s="200">
        <f t="shared" si="91"/>
        <v>1.7750061020258725</v>
      </c>
      <c r="F1309" s="28" t="s">
        <v>72</v>
      </c>
      <c r="G1309" s="215">
        <v>0.4</v>
      </c>
    </row>
    <row r="1310" spans="2:7">
      <c r="B1310" s="144" t="s">
        <v>180</v>
      </c>
      <c r="C1310" s="199">
        <v>64223.366000000002</v>
      </c>
      <c r="D1310" s="200">
        <f t="shared" si="91"/>
        <v>3135.1411276543813</v>
      </c>
      <c r="F1310" s="28" t="s">
        <v>73</v>
      </c>
      <c r="G1310" s="215">
        <v>0.03</v>
      </c>
    </row>
    <row r="1311" spans="2:7" ht="13.5" thickBot="1">
      <c r="B1311" s="144" t="s">
        <v>67</v>
      </c>
      <c r="C1311" s="246">
        <f>C1261</f>
        <v>29241.891</v>
      </c>
      <c r="D1311" s="200">
        <f t="shared" si="91"/>
        <v>1427.4782035635831</v>
      </c>
    </row>
    <row r="1312" spans="2:7" ht="13.5" thickBot="1">
      <c r="B1312" s="185" t="s">
        <v>68</v>
      </c>
      <c r="C1312" s="198">
        <f>SUM(C1304:C1311)</f>
        <v>120129.97100000001</v>
      </c>
      <c r="D1312" s="201">
        <f>SUM(D1304:D1311)</f>
        <v>5864.2895289236021</v>
      </c>
      <c r="G1312" s="127"/>
    </row>
    <row r="1313" spans="2:13">
      <c r="B1313" s="66"/>
      <c r="C1313" s="237"/>
      <c r="D1313" s="237"/>
      <c r="G1313" s="127"/>
    </row>
    <row r="1314" spans="2:13">
      <c r="B1314" s="238" t="s">
        <v>59</v>
      </c>
      <c r="C1314" s="239">
        <f>C1312-F1283</f>
        <v>0</v>
      </c>
      <c r="D1314" s="237"/>
      <c r="G1314" s="127"/>
    </row>
    <row r="1319" spans="2:13">
      <c r="G1319" s="66" t="s">
        <v>187</v>
      </c>
      <c r="H1319" s="241">
        <f>Model!AP267</f>
        <v>5.0459433138728117E-2</v>
      </c>
      <c r="J1319" s="184" t="s">
        <v>8</v>
      </c>
    </row>
    <row r="1320" spans="2:13">
      <c r="B1320" s="391" t="s">
        <v>188</v>
      </c>
      <c r="C1320" s="391"/>
      <c r="D1320" s="391"/>
      <c r="E1320" s="391"/>
      <c r="F1320" s="391"/>
      <c r="G1320" s="391"/>
      <c r="H1320" s="391"/>
      <c r="I1320" s="82"/>
      <c r="J1320" s="392" t="s">
        <v>183</v>
      </c>
      <c r="K1320" s="392"/>
      <c r="L1320" s="392"/>
      <c r="M1320" s="175"/>
    </row>
    <row r="1321" spans="2:13" ht="25.5">
      <c r="B1321" s="26" t="s">
        <v>4</v>
      </c>
      <c r="C1321" s="106" t="s">
        <v>4</v>
      </c>
      <c r="D1321" s="106" t="s">
        <v>5</v>
      </c>
      <c r="E1321" s="166" t="s">
        <v>94</v>
      </c>
      <c r="F1321" s="106" t="s">
        <v>4</v>
      </c>
      <c r="G1321" s="106" t="s">
        <v>5</v>
      </c>
      <c r="H1321" s="166" t="s">
        <v>95</v>
      </c>
      <c r="I1321" s="27"/>
      <c r="J1321" s="26"/>
      <c r="K1321" s="106" t="s">
        <v>4</v>
      </c>
      <c r="L1321" s="106" t="s">
        <v>5</v>
      </c>
      <c r="M1321" s="106" t="s">
        <v>85</v>
      </c>
    </row>
    <row r="1322" spans="2:13">
      <c r="B1322" s="83" t="s">
        <v>10</v>
      </c>
      <c r="C1322" s="221">
        <f>Model!AP176</f>
        <v>28575.021000000001</v>
      </c>
      <c r="D1322" s="204">
        <f t="shared" ref="D1322:D1332" si="92">C1322*$H$1319</f>
        <v>1441.8793615872519</v>
      </c>
      <c r="E1322" s="205"/>
      <c r="F1322" s="206">
        <f>C1322</f>
        <v>28575.021000000001</v>
      </c>
      <c r="G1322" s="204">
        <f>F1322*$H$1319</f>
        <v>1441.8793615872519</v>
      </c>
      <c r="H1322" s="205"/>
      <c r="I1322" s="27"/>
      <c r="J1322" s="26"/>
      <c r="K1322" s="106"/>
      <c r="L1322" s="106"/>
      <c r="M1322" s="106"/>
    </row>
    <row r="1323" spans="2:13">
      <c r="B1323" s="100" t="s">
        <v>11</v>
      </c>
      <c r="C1323" s="221"/>
      <c r="D1323" s="204">
        <f t="shared" si="92"/>
        <v>0</v>
      </c>
      <c r="E1323" s="206"/>
      <c r="F1323" s="206"/>
      <c r="G1323" s="174"/>
      <c r="H1323" s="206"/>
      <c r="J1323" s="178" t="s">
        <v>12</v>
      </c>
      <c r="K1323" s="217">
        <f>Model!AP115+Model!AP114</f>
        <v>88462.082999999999</v>
      </c>
      <c r="L1323" s="217">
        <f>K1323*$H$1319</f>
        <v>4463.7465624511169</v>
      </c>
      <c r="M1323" s="180">
        <f>+K1323/K1328</f>
        <v>1.8573545603426556</v>
      </c>
    </row>
    <row r="1324" spans="2:13">
      <c r="B1324" s="83" t="s">
        <v>21</v>
      </c>
      <c r="C1324" s="221"/>
      <c r="D1324" s="204">
        <f t="shared" si="92"/>
        <v>0</v>
      </c>
      <c r="E1324" s="206"/>
      <c r="F1324" s="206">
        <f t="shared" ref="F1324:F1329" si="93">C1324</f>
        <v>0</v>
      </c>
      <c r="G1324" s="204">
        <f t="shared" ref="G1324:G1342" si="94">F1324*$H$1319</f>
        <v>0</v>
      </c>
      <c r="H1324" s="206"/>
      <c r="J1324" s="181" t="s">
        <v>13</v>
      </c>
      <c r="K1324" s="218">
        <f>C1345</f>
        <v>11913.346</v>
      </c>
      <c r="L1324" s="217">
        <f>K1324*$H$1319</f>
        <v>601.14068594553407</v>
      </c>
      <c r="M1324" s="175"/>
    </row>
    <row r="1325" spans="2:13">
      <c r="B1325" s="83" t="s">
        <v>162</v>
      </c>
      <c r="C1325" s="221">
        <f>Model!AP121</f>
        <v>3917.212</v>
      </c>
      <c r="D1325" s="204">
        <f t="shared" si="92"/>
        <v>197.66029700422345</v>
      </c>
      <c r="E1325" s="206"/>
      <c r="F1325" s="206">
        <f t="shared" si="93"/>
        <v>3917.212</v>
      </c>
      <c r="G1325" s="204">
        <f t="shared" si="94"/>
        <v>197.66029700422345</v>
      </c>
      <c r="H1325" s="206"/>
      <c r="J1325" s="178" t="s">
        <v>14</v>
      </c>
      <c r="K1325" s="217">
        <f>+K1323-K1324</f>
        <v>76548.736999999994</v>
      </c>
      <c r="L1325" s="217">
        <f>K1325*$H$1319</f>
        <v>3862.6058765055827</v>
      </c>
      <c r="M1325" s="180">
        <f>+K1325/K1328</f>
        <v>1.6072213193919542</v>
      </c>
    </row>
    <row r="1326" spans="2:13">
      <c r="B1326" s="83" t="s">
        <v>17</v>
      </c>
      <c r="C1326" s="221">
        <f>Model!AP120</f>
        <v>15842.16</v>
      </c>
      <c r="D1326" s="204">
        <f t="shared" si="92"/>
        <v>799.386413293033</v>
      </c>
      <c r="E1326" s="206"/>
      <c r="F1326" s="206">
        <f t="shared" si="93"/>
        <v>15842.16</v>
      </c>
      <c r="G1326" s="204">
        <f t="shared" si="94"/>
        <v>799.386413293033</v>
      </c>
      <c r="H1326" s="206"/>
      <c r="J1326" s="183" t="s">
        <v>16</v>
      </c>
      <c r="K1326" s="219">
        <f>C1347</f>
        <v>89684.358999999997</v>
      </c>
      <c r="L1326" s="217">
        <f>K1326*$H$1319</f>
        <v>4525.4219165501891</v>
      </c>
      <c r="M1326" s="175"/>
    </row>
    <row r="1327" spans="2:13">
      <c r="B1327" s="83" t="s">
        <v>15</v>
      </c>
      <c r="C1327" s="221">
        <f>Model!AP119</f>
        <v>9901.35</v>
      </c>
      <c r="D1327" s="204">
        <f t="shared" si="92"/>
        <v>499.61650830814568</v>
      </c>
      <c r="E1327" s="206"/>
      <c r="F1327" s="206">
        <f t="shared" si="93"/>
        <v>9901.35</v>
      </c>
      <c r="G1327" s="204">
        <f t="shared" si="94"/>
        <v>499.61650830814568</v>
      </c>
      <c r="H1327" s="206"/>
      <c r="J1327" s="183" t="s">
        <v>18</v>
      </c>
      <c r="K1327" s="219">
        <f>K1323+K1326</f>
        <v>178146.44199999998</v>
      </c>
      <c r="L1327" s="219"/>
      <c r="M1327" s="175"/>
    </row>
    <row r="1328" spans="2:13">
      <c r="B1328" s="83" t="s">
        <v>96</v>
      </c>
      <c r="C1328" s="221">
        <f>Model!AP132</f>
        <v>12871.754999999999</v>
      </c>
      <c r="D1328" s="204">
        <f t="shared" si="92"/>
        <v>649.50146080058926</v>
      </c>
      <c r="E1328" s="206"/>
      <c r="F1328" s="206">
        <f t="shared" si="93"/>
        <v>12871.754999999999</v>
      </c>
      <c r="G1328" s="204">
        <f t="shared" si="94"/>
        <v>649.50146080058926</v>
      </c>
      <c r="H1328" s="206"/>
      <c r="J1328" s="181" t="s">
        <v>20</v>
      </c>
      <c r="K1328" s="220">
        <f>C1349</f>
        <v>47628</v>
      </c>
      <c r="L1328" s="220"/>
      <c r="M1328" s="175"/>
    </row>
    <row r="1329" spans="2:13">
      <c r="B1329" s="83" t="s">
        <v>34</v>
      </c>
      <c r="C1329" s="221">
        <f>Model!AP133</f>
        <v>11780.626</v>
      </c>
      <c r="D1329" s="204">
        <f t="shared" si="92"/>
        <v>594.4437099793621</v>
      </c>
      <c r="E1329" s="206"/>
      <c r="F1329" s="206">
        <f t="shared" si="93"/>
        <v>11780.626</v>
      </c>
      <c r="G1329" s="204">
        <f t="shared" si="94"/>
        <v>594.4437099793621</v>
      </c>
      <c r="H1329" s="206"/>
      <c r="J1329" s="181"/>
      <c r="K1329" s="220"/>
      <c r="L1329" s="220"/>
      <c r="M1329" s="175"/>
    </row>
    <row r="1330" spans="2:13">
      <c r="B1330" s="100" t="s">
        <v>97</v>
      </c>
      <c r="C1330" s="221"/>
      <c r="D1330" s="204">
        <f t="shared" si="92"/>
        <v>0</v>
      </c>
      <c r="E1330" s="206"/>
      <c r="F1330" s="206"/>
      <c r="G1330" s="204">
        <f t="shared" si="94"/>
        <v>0</v>
      </c>
      <c r="H1330" s="206"/>
    </row>
    <row r="1331" spans="2:13">
      <c r="B1331" s="83" t="s">
        <v>26</v>
      </c>
      <c r="C1331" s="221">
        <f>Model!AP125</f>
        <v>7706.3389999999999</v>
      </c>
      <c r="D1331" s="204">
        <f t="shared" si="92"/>
        <v>388.85749751487288</v>
      </c>
      <c r="E1331" s="206"/>
      <c r="F1331" s="206">
        <f>C1331</f>
        <v>7706.3389999999999</v>
      </c>
      <c r="G1331" s="204">
        <f t="shared" si="94"/>
        <v>388.85749751487288</v>
      </c>
      <c r="H1331" s="206"/>
      <c r="I1331" s="102"/>
    </row>
    <row r="1332" spans="2:13">
      <c r="B1332" s="83" t="s">
        <v>30</v>
      </c>
      <c r="C1332" s="221">
        <f>Model!AP129</f>
        <v>9633.1020000000008</v>
      </c>
      <c r="D1332" s="204">
        <f t="shared" si="92"/>
        <v>486.08086628754813</v>
      </c>
      <c r="E1332" s="206"/>
      <c r="F1332" s="206">
        <f>C1332</f>
        <v>9633.1020000000008</v>
      </c>
      <c r="G1332" s="204">
        <f t="shared" si="94"/>
        <v>486.08086628754813</v>
      </c>
      <c r="H1332" s="206"/>
    </row>
    <row r="1333" spans="2:13">
      <c r="B1333" s="100" t="s">
        <v>98</v>
      </c>
      <c r="C1333" s="221"/>
      <c r="D1333" s="204"/>
      <c r="E1333" s="206"/>
      <c r="F1333" s="206"/>
      <c r="G1333" s="204"/>
      <c r="H1333" s="206"/>
    </row>
    <row r="1334" spans="2:13">
      <c r="B1334" s="100" t="s">
        <v>99</v>
      </c>
      <c r="C1334" s="221"/>
      <c r="D1334" s="204"/>
      <c r="E1334" s="206"/>
      <c r="F1334" s="206"/>
      <c r="G1334" s="204"/>
      <c r="H1334" s="206"/>
    </row>
    <row r="1335" spans="2:13">
      <c r="B1335" s="83" t="s">
        <v>99</v>
      </c>
      <c r="C1335" s="221">
        <v>0</v>
      </c>
      <c r="D1335" s="204">
        <f t="shared" ref="D1335:D1342" si="95">C1335*$H$1319</f>
        <v>0</v>
      </c>
      <c r="E1335" s="206"/>
      <c r="F1335" s="206">
        <f t="shared" ref="F1335:F1342" si="96">C1335</f>
        <v>0</v>
      </c>
      <c r="G1335" s="204">
        <f t="shared" si="94"/>
        <v>0</v>
      </c>
      <c r="H1335" s="206"/>
    </row>
    <row r="1336" spans="2:13">
      <c r="B1336" s="83" t="s">
        <v>100</v>
      </c>
      <c r="C1336" s="221">
        <v>0</v>
      </c>
      <c r="D1336" s="204">
        <f t="shared" si="95"/>
        <v>0</v>
      </c>
      <c r="E1336" s="206"/>
      <c r="F1336" s="206">
        <f t="shared" si="96"/>
        <v>0</v>
      </c>
      <c r="G1336" s="204">
        <f t="shared" si="94"/>
        <v>0</v>
      </c>
      <c r="H1336" s="206"/>
    </row>
    <row r="1337" spans="2:13">
      <c r="B1337" s="83" t="s">
        <v>101</v>
      </c>
      <c r="C1337" s="221">
        <v>0</v>
      </c>
      <c r="D1337" s="204">
        <f t="shared" si="95"/>
        <v>0</v>
      </c>
      <c r="E1337" s="206"/>
      <c r="F1337" s="206">
        <f t="shared" si="96"/>
        <v>0</v>
      </c>
      <c r="G1337" s="204">
        <f t="shared" si="94"/>
        <v>0</v>
      </c>
      <c r="H1337" s="206"/>
    </row>
    <row r="1338" spans="2:13">
      <c r="B1338" s="83" t="s">
        <v>102</v>
      </c>
      <c r="C1338" s="221">
        <v>0</v>
      </c>
      <c r="D1338" s="204">
        <f t="shared" si="95"/>
        <v>0</v>
      </c>
      <c r="E1338" s="206"/>
      <c r="F1338" s="206">
        <f t="shared" si="96"/>
        <v>0</v>
      </c>
      <c r="G1338" s="204">
        <f t="shared" si="94"/>
        <v>0</v>
      </c>
      <c r="H1338" s="206"/>
    </row>
    <row r="1339" spans="2:13">
      <c r="B1339" s="83" t="s">
        <v>104</v>
      </c>
      <c r="C1339" s="221">
        <v>0</v>
      </c>
      <c r="D1339" s="204">
        <f t="shared" si="95"/>
        <v>0</v>
      </c>
      <c r="E1339" s="206"/>
      <c r="F1339" s="206">
        <f t="shared" si="96"/>
        <v>0</v>
      </c>
      <c r="G1339" s="204">
        <f t="shared" si="94"/>
        <v>0</v>
      </c>
      <c r="H1339" s="206"/>
    </row>
    <row r="1340" spans="2:13">
      <c r="B1340" s="83" t="s">
        <v>105</v>
      </c>
      <c r="C1340" s="221">
        <f>Model!AP155</f>
        <v>5665.79</v>
      </c>
      <c r="D1340" s="204">
        <f t="shared" si="95"/>
        <v>285.89255168307437</v>
      </c>
      <c r="E1340" s="206"/>
      <c r="F1340" s="206">
        <f t="shared" si="96"/>
        <v>5665.79</v>
      </c>
      <c r="G1340" s="204">
        <f t="shared" si="94"/>
        <v>285.89255168307437</v>
      </c>
      <c r="H1340" s="206"/>
    </row>
    <row r="1341" spans="2:13">
      <c r="B1341" s="83"/>
      <c r="C1341" s="221">
        <f>Model!AP156</f>
        <v>11881.62</v>
      </c>
      <c r="D1341" s="204">
        <f t="shared" si="95"/>
        <v>599.53980996977486</v>
      </c>
      <c r="E1341" s="206"/>
      <c r="F1341" s="206">
        <f t="shared" si="96"/>
        <v>11881.62</v>
      </c>
      <c r="G1341" s="204">
        <f t="shared" si="94"/>
        <v>599.53980996977486</v>
      </c>
      <c r="H1341" s="206"/>
    </row>
    <row r="1342" spans="2:13">
      <c r="B1342" s="83" t="s">
        <v>58</v>
      </c>
      <c r="C1342" s="221">
        <f>Model!AP157</f>
        <v>-737.87099999999998</v>
      </c>
      <c r="D1342" s="204">
        <f t="shared" si="95"/>
        <v>-37.232552389506452</v>
      </c>
      <c r="E1342" s="206"/>
      <c r="F1342" s="206">
        <f t="shared" si="96"/>
        <v>-737.87099999999998</v>
      </c>
      <c r="G1342" s="204">
        <f t="shared" si="94"/>
        <v>-37.232552389506452</v>
      </c>
      <c r="H1342" s="206"/>
    </row>
    <row r="1343" spans="2:13">
      <c r="B1343" s="161" t="s">
        <v>124</v>
      </c>
      <c r="C1343" s="222">
        <f>Model!AP170</f>
        <v>8901.6730000000007</v>
      </c>
      <c r="D1343" s="207"/>
      <c r="E1343" s="207"/>
      <c r="F1343" s="207"/>
      <c r="G1343" s="207"/>
      <c r="H1343" s="207"/>
    </row>
    <row r="1344" spans="2:13">
      <c r="B1344" s="35" t="s">
        <v>12</v>
      </c>
      <c r="C1344" s="208">
        <f>SUM(C1322:C1343)</f>
        <v>125938.77699999997</v>
      </c>
      <c r="D1344" s="208"/>
      <c r="E1344" s="36">
        <f>+C1344/C1349</f>
        <v>2.6442172041656162</v>
      </c>
      <c r="F1344" s="208">
        <f>SUM(F1322:F1343)</f>
        <v>117037.10399999998</v>
      </c>
      <c r="G1344" s="208">
        <f>SUM(G1322:G1343)</f>
        <v>5905.6259240383688</v>
      </c>
      <c r="H1344" s="36">
        <f>+F1344/F1349</f>
        <v>2.4573172083648269</v>
      </c>
      <c r="I1344" s="145"/>
    </row>
    <row r="1345" spans="2:8">
      <c r="B1345" s="34" t="s">
        <v>13</v>
      </c>
      <c r="C1345" s="209">
        <f>Model!AP165</f>
        <v>11913.346</v>
      </c>
      <c r="D1345" s="204"/>
      <c r="E1345" s="210"/>
      <c r="F1345" s="209">
        <f>C1345</f>
        <v>11913.346</v>
      </c>
      <c r="G1345" s="204">
        <f>F1345*$H$1319</f>
        <v>601.14068594553407</v>
      </c>
      <c r="H1345" s="210"/>
    </row>
    <row r="1346" spans="2:8">
      <c r="B1346" s="35" t="s">
        <v>14</v>
      </c>
      <c r="C1346" s="208">
        <f>+C1344-C1345</f>
        <v>114025.43099999997</v>
      </c>
      <c r="D1346" s="208"/>
      <c r="E1346" s="36">
        <f>+C1346/C1349</f>
        <v>2.3940839632149151</v>
      </c>
      <c r="F1346" s="208">
        <f>F1344-F1345</f>
        <v>105123.75799999997</v>
      </c>
      <c r="G1346" s="208">
        <f>+G1344-G1345</f>
        <v>5304.4852380928351</v>
      </c>
      <c r="H1346" s="36">
        <f>+F1346/F1349</f>
        <v>2.2071839674141254</v>
      </c>
    </row>
    <row r="1347" spans="2:8">
      <c r="B1347" s="69" t="s">
        <v>16</v>
      </c>
      <c r="C1347" s="211">
        <f>Model!AP186</f>
        <v>89684.358999999997</v>
      </c>
      <c r="D1347" s="204"/>
      <c r="E1347" s="212"/>
      <c r="F1347" s="211"/>
      <c r="G1347" s="204"/>
      <c r="H1347" s="212"/>
    </row>
    <row r="1348" spans="2:8">
      <c r="B1348" s="69" t="s">
        <v>18</v>
      </c>
      <c r="C1348" s="211">
        <f>C1344+C1347</f>
        <v>215623.13599999997</v>
      </c>
      <c r="D1348" s="211"/>
      <c r="E1348" s="212"/>
      <c r="F1348" s="211"/>
      <c r="G1348" s="211"/>
      <c r="H1348" s="212"/>
    </row>
    <row r="1349" spans="2:8">
      <c r="B1349" s="181" t="s">
        <v>20</v>
      </c>
      <c r="C1349" s="213">
        <f>Model!AP92</f>
        <v>47628</v>
      </c>
      <c r="D1349" s="213"/>
      <c r="E1349" s="210"/>
      <c r="F1349" s="210">
        <f>C1349</f>
        <v>47628</v>
      </c>
      <c r="G1349" s="213"/>
      <c r="H1349" s="210"/>
    </row>
    <row r="1351" spans="2:8">
      <c r="B1351" s="101" t="s">
        <v>59</v>
      </c>
      <c r="C1351" s="229">
        <f>Model!AP179-Capitalisation!C1344</f>
        <v>0</v>
      </c>
    </row>
    <row r="1352" spans="2:8">
      <c r="B1352" s="101"/>
      <c r="C1352" s="103"/>
    </row>
    <row r="1353" spans="2:8">
      <c r="B1353" s="35" t="s">
        <v>60</v>
      </c>
      <c r="C1353" s="88">
        <f>C1346+Model!AP185</f>
        <v>334012.43099999998</v>
      </c>
    </row>
    <row r="1354" spans="2:8">
      <c r="B1354" s="35" t="s">
        <v>61</v>
      </c>
      <c r="C1354" s="36">
        <f>C1353/C1349</f>
        <v>7.0129426177878553</v>
      </c>
    </row>
    <row r="1356" spans="2:8" ht="13.5" thickBot="1"/>
    <row r="1357" spans="2:8">
      <c r="B1357" s="78" t="s">
        <v>189</v>
      </c>
      <c r="C1357" s="153" t="s">
        <v>4</v>
      </c>
      <c r="D1357" s="153" t="s">
        <v>5</v>
      </c>
      <c r="E1357" s="104"/>
      <c r="F1357" s="104"/>
    </row>
    <row r="1358" spans="2:8">
      <c r="B1358" s="79" t="s">
        <v>108</v>
      </c>
      <c r="C1358" s="214">
        <f>2000/H1319</f>
        <v>39635.800000000003</v>
      </c>
      <c r="D1358" s="202">
        <f>C1358*H1319</f>
        <v>2000</v>
      </c>
      <c r="E1358" s="105"/>
      <c r="F1358" s="105"/>
    </row>
    <row r="1359" spans="2:8">
      <c r="B1359" s="79" t="s">
        <v>63</v>
      </c>
      <c r="C1359" s="202">
        <f>C1345</f>
        <v>11913.346</v>
      </c>
      <c r="D1359" s="202">
        <f>C1359*H1319</f>
        <v>601.14068594553407</v>
      </c>
      <c r="E1359" s="105"/>
      <c r="F1359" s="105"/>
    </row>
    <row r="1360" spans="2:8" ht="13.5" thickBot="1">
      <c r="B1360" s="80" t="s">
        <v>64</v>
      </c>
      <c r="C1360" s="203">
        <f>SUM(C1358:C1359)</f>
        <v>51549.146000000001</v>
      </c>
      <c r="D1360" s="203">
        <f>SUM(D1358:D1359)</f>
        <v>2601.1406859455342</v>
      </c>
      <c r="E1360" s="105"/>
      <c r="F1360" s="105"/>
    </row>
    <row r="1362" spans="2:7">
      <c r="C1362" s="30"/>
    </row>
    <row r="1363" spans="2:7" ht="25.5" customHeight="1" thickBot="1"/>
    <row r="1364" spans="2:7" ht="13.5" thickBot="1">
      <c r="B1364" s="185" t="s">
        <v>190</v>
      </c>
      <c r="C1364" s="189" t="s">
        <v>4</v>
      </c>
      <c r="D1364" s="186" t="s">
        <v>5</v>
      </c>
      <c r="E1364" s="66"/>
    </row>
    <row r="1365" spans="2:7">
      <c r="B1365" s="144">
        <v>2020</v>
      </c>
      <c r="C1365" s="246">
        <f>Model!AP114</f>
        <v>8681.3010000000013</v>
      </c>
      <c r="D1365" s="200">
        <f>+C1365*$H$1319</f>
        <v>438.05352736667362</v>
      </c>
    </row>
    <row r="1366" spans="2:7">
      <c r="B1366" s="144">
        <v>2021</v>
      </c>
      <c r="C1366" s="199">
        <v>0</v>
      </c>
      <c r="D1366" s="200">
        <f t="shared" ref="D1366:D1372" si="97">+C1366*$H$1319</f>
        <v>0</v>
      </c>
    </row>
    <row r="1367" spans="2:7">
      <c r="B1367" s="144">
        <v>2022</v>
      </c>
      <c r="C1367" s="199">
        <v>133.369</v>
      </c>
      <c r="D1367" s="200">
        <f t="shared" si="97"/>
        <v>6.72972413827903</v>
      </c>
      <c r="F1367" s="66" t="s">
        <v>191</v>
      </c>
    </row>
    <row r="1368" spans="2:7">
      <c r="B1368" s="144">
        <v>2023</v>
      </c>
      <c r="C1368" s="199">
        <v>667.71199999999999</v>
      </c>
      <c r="D1368" s="200">
        <f t="shared" si="97"/>
        <v>33.692369019926431</v>
      </c>
      <c r="F1368" s="28" t="s">
        <v>70</v>
      </c>
      <c r="G1368" s="215">
        <v>0.49</v>
      </c>
    </row>
    <row r="1369" spans="2:7">
      <c r="B1369" s="144">
        <v>2024</v>
      </c>
      <c r="C1369" s="199">
        <v>15859.124</v>
      </c>
      <c r="D1369" s="200">
        <f t="shared" si="97"/>
        <v>800.2424071167984</v>
      </c>
      <c r="F1369" s="28" t="s">
        <v>71</v>
      </c>
      <c r="G1369" s="215">
        <v>7.0000000000000007E-2</v>
      </c>
    </row>
    <row r="1370" spans="2:7">
      <c r="B1370" s="144">
        <v>2025</v>
      </c>
      <c r="C1370" s="199">
        <v>36.405999999999999</v>
      </c>
      <c r="D1370" s="200">
        <f t="shared" si="97"/>
        <v>1.8370261228485358</v>
      </c>
      <c r="F1370" s="28" t="s">
        <v>72</v>
      </c>
      <c r="G1370" s="215">
        <v>0.4</v>
      </c>
    </row>
    <row r="1371" spans="2:7">
      <c r="B1371" s="144" t="s">
        <v>180</v>
      </c>
      <c r="C1371" s="199">
        <v>63084.171000000002</v>
      </c>
      <c r="D1371" s="200">
        <f t="shared" si="97"/>
        <v>3183.1915086865915</v>
      </c>
      <c r="F1371" s="28" t="s">
        <v>73</v>
      </c>
      <c r="G1371" s="215">
        <v>0.04</v>
      </c>
    </row>
    <row r="1372" spans="2:7" ht="13.5" thickBot="1">
      <c r="B1372" s="144" t="s">
        <v>67</v>
      </c>
      <c r="C1372" s="246">
        <f>C1322</f>
        <v>28575.021000000001</v>
      </c>
      <c r="D1372" s="200">
        <f t="shared" si="97"/>
        <v>1441.8793615872519</v>
      </c>
    </row>
    <row r="1373" spans="2:7" ht="13.5" thickBot="1">
      <c r="B1373" s="185" t="s">
        <v>68</v>
      </c>
      <c r="C1373" s="198">
        <f>SUM(C1365:C1372)</f>
        <v>117037.10399999999</v>
      </c>
      <c r="D1373" s="201">
        <f>SUM(D1365:D1372)</f>
        <v>5905.6259240383697</v>
      </c>
      <c r="G1373" s="127"/>
    </row>
    <row r="1374" spans="2:7">
      <c r="B1374" s="66"/>
      <c r="C1374" s="237"/>
      <c r="D1374" s="237"/>
      <c r="G1374" s="127"/>
    </row>
    <row r="1375" spans="2:7">
      <c r="B1375" s="238" t="s">
        <v>59</v>
      </c>
      <c r="C1375" s="239">
        <f>C1373-F1344</f>
        <v>0</v>
      </c>
      <c r="D1375" s="237"/>
      <c r="G1375" s="127"/>
    </row>
    <row r="1378" spans="2:13">
      <c r="G1378" s="66" t="s">
        <v>192</v>
      </c>
      <c r="H1378" s="241">
        <f>Model!AO267</f>
        <v>4.9202000000000003E-2</v>
      </c>
      <c r="J1378" s="184" t="s">
        <v>8</v>
      </c>
    </row>
    <row r="1379" spans="2:13">
      <c r="B1379" s="391" t="s">
        <v>193</v>
      </c>
      <c r="C1379" s="391"/>
      <c r="D1379" s="391"/>
      <c r="E1379" s="391"/>
      <c r="F1379" s="391"/>
      <c r="G1379" s="391"/>
      <c r="H1379" s="391"/>
      <c r="I1379" s="82"/>
      <c r="J1379" s="392" t="s">
        <v>194</v>
      </c>
      <c r="K1379" s="392"/>
      <c r="L1379" s="392"/>
      <c r="M1379" s="175"/>
    </row>
    <row r="1380" spans="2:13" ht="25.5">
      <c r="B1380" s="26" t="s">
        <v>4</v>
      </c>
      <c r="C1380" s="106" t="s">
        <v>4</v>
      </c>
      <c r="D1380" s="106" t="s">
        <v>5</v>
      </c>
      <c r="E1380" s="166" t="s">
        <v>94</v>
      </c>
      <c r="F1380" s="106" t="s">
        <v>4</v>
      </c>
      <c r="G1380" s="106" t="s">
        <v>5</v>
      </c>
      <c r="H1380" s="166" t="s">
        <v>95</v>
      </c>
      <c r="I1380" s="27"/>
      <c r="J1380" s="26"/>
      <c r="K1380" s="106" t="s">
        <v>4</v>
      </c>
      <c r="L1380" s="106" t="s">
        <v>5</v>
      </c>
      <c r="M1380" s="106" t="s">
        <v>85</v>
      </c>
    </row>
    <row r="1381" spans="2:13">
      <c r="B1381" s="83" t="s">
        <v>10</v>
      </c>
      <c r="C1381" s="221">
        <f>Model!AO176</f>
        <v>29614.537</v>
      </c>
      <c r="D1381" s="204">
        <f>C1381*$H$1378</f>
        <v>1457.0944494740002</v>
      </c>
      <c r="E1381" s="205"/>
      <c r="F1381" s="206">
        <f>C1381</f>
        <v>29614.537</v>
      </c>
      <c r="G1381" s="204">
        <f>F1381*$H$1378</f>
        <v>1457.0944494740002</v>
      </c>
      <c r="H1381" s="205"/>
      <c r="I1381" s="27"/>
      <c r="J1381" s="26"/>
      <c r="K1381" s="106"/>
      <c r="L1381" s="106"/>
      <c r="M1381" s="106"/>
    </row>
    <row r="1382" spans="2:13">
      <c r="B1382" s="100" t="s">
        <v>11</v>
      </c>
      <c r="C1382" s="221"/>
      <c r="D1382" s="204">
        <f t="shared" ref="D1382:D1391" si="98">C1382*$H$1378</f>
        <v>0</v>
      </c>
      <c r="E1382" s="206"/>
      <c r="F1382" s="206"/>
      <c r="G1382" s="174"/>
      <c r="H1382" s="206"/>
      <c r="J1382" s="178" t="s">
        <v>12</v>
      </c>
      <c r="K1382" s="216">
        <f>Model!AO115+Model!AO114</f>
        <v>88071.633000000002</v>
      </c>
      <c r="L1382" s="217">
        <f>K1382*$H$1378</f>
        <v>4333.300486866</v>
      </c>
      <c r="M1382" s="180">
        <f>+K1382/K1387</f>
        <v>1.8759799987219632</v>
      </c>
    </row>
    <row r="1383" spans="2:13">
      <c r="B1383" s="83" t="s">
        <v>21</v>
      </c>
      <c r="C1383" s="221"/>
      <c r="D1383" s="204">
        <f t="shared" si="98"/>
        <v>0</v>
      </c>
      <c r="E1383" s="206"/>
      <c r="F1383" s="206">
        <f t="shared" ref="F1383:F1388" si="99">C1383</f>
        <v>0</v>
      </c>
      <c r="G1383" s="204">
        <f t="shared" ref="G1383:G1391" si="100">F1383*$H$1378</f>
        <v>0</v>
      </c>
      <c r="H1383" s="206"/>
      <c r="J1383" s="181" t="s">
        <v>13</v>
      </c>
      <c r="K1383" s="218">
        <f>C1403</f>
        <v>11317.829</v>
      </c>
      <c r="L1383" s="217">
        <f>K1383*$H$1378</f>
        <v>556.85982245800005</v>
      </c>
      <c r="M1383" s="175"/>
    </row>
    <row r="1384" spans="2:13">
      <c r="B1384" s="83" t="s">
        <v>162</v>
      </c>
      <c r="C1384" s="221">
        <f>Model!AO121</f>
        <v>16438.677</v>
      </c>
      <c r="D1384" s="204">
        <f t="shared" si="98"/>
        <v>808.81578575399999</v>
      </c>
      <c r="E1384" s="206"/>
      <c r="F1384" s="206">
        <f t="shared" si="99"/>
        <v>16438.677</v>
      </c>
      <c r="G1384" s="204">
        <f t="shared" si="100"/>
        <v>808.81578575399999</v>
      </c>
      <c r="H1384" s="206"/>
      <c r="J1384" s="178" t="s">
        <v>14</v>
      </c>
      <c r="K1384" s="217">
        <f>+K1382-K1383</f>
        <v>76753.804000000004</v>
      </c>
      <c r="L1384" s="217">
        <f>K1384*$H$1378</f>
        <v>3776.4406644080004</v>
      </c>
      <c r="M1384" s="180">
        <f>+K1384/K1387</f>
        <v>1.6349032739046159</v>
      </c>
    </row>
    <row r="1385" spans="2:13">
      <c r="B1385" s="83" t="s">
        <v>17</v>
      </c>
      <c r="C1385" s="221">
        <f>Model!AO120</f>
        <v>16483.759999999998</v>
      </c>
      <c r="D1385" s="204">
        <f t="shared" si="98"/>
        <v>811.03395951999994</v>
      </c>
      <c r="E1385" s="206"/>
      <c r="F1385" s="206">
        <f t="shared" si="99"/>
        <v>16483.759999999998</v>
      </c>
      <c r="G1385" s="204">
        <f t="shared" si="100"/>
        <v>811.03395951999994</v>
      </c>
      <c r="H1385" s="206"/>
      <c r="J1385" s="183" t="s">
        <v>16</v>
      </c>
      <c r="K1385" s="219">
        <f>C1405</f>
        <v>95495.724000000002</v>
      </c>
      <c r="L1385" s="217">
        <f>K1385*$H$1378</f>
        <v>4698.5806122480008</v>
      </c>
      <c r="M1385" s="175"/>
    </row>
    <row r="1386" spans="2:13">
      <c r="B1386" s="83" t="s">
        <v>15</v>
      </c>
      <c r="C1386" s="221">
        <f>Model!AO119</f>
        <v>10302.35</v>
      </c>
      <c r="D1386" s="204">
        <f t="shared" si="98"/>
        <v>506.89622470000006</v>
      </c>
      <c r="E1386" s="206"/>
      <c r="F1386" s="206">
        <f t="shared" si="99"/>
        <v>10302.35</v>
      </c>
      <c r="G1386" s="204">
        <f t="shared" si="100"/>
        <v>506.89622470000006</v>
      </c>
      <c r="H1386" s="206"/>
      <c r="J1386" s="183" t="s">
        <v>18</v>
      </c>
      <c r="K1386" s="219">
        <f>K1382+K1385</f>
        <v>183567.35700000002</v>
      </c>
      <c r="L1386" s="219"/>
      <c r="M1386" s="175"/>
    </row>
    <row r="1387" spans="2:13">
      <c r="B1387" s="83" t="s">
        <v>96</v>
      </c>
      <c r="C1387" s="221">
        <f>Model!AO132</f>
        <v>13393.055</v>
      </c>
      <c r="D1387" s="204">
        <f t="shared" si="98"/>
        <v>658.96509211</v>
      </c>
      <c r="E1387" s="206"/>
      <c r="F1387" s="206">
        <f t="shared" si="99"/>
        <v>13393.055</v>
      </c>
      <c r="G1387" s="204">
        <f t="shared" si="100"/>
        <v>658.96509211</v>
      </c>
      <c r="H1387" s="206"/>
      <c r="J1387" s="181" t="s">
        <v>20</v>
      </c>
      <c r="K1387" s="220">
        <f>C1407</f>
        <v>46947</v>
      </c>
      <c r="L1387" s="220"/>
      <c r="M1387" s="175"/>
    </row>
    <row r="1388" spans="2:13">
      <c r="B1388" s="83" t="s">
        <v>34</v>
      </c>
      <c r="C1388" s="221">
        <f>Model!AO133</f>
        <v>12257.736000000001</v>
      </c>
      <c r="D1388" s="204">
        <f t="shared" si="98"/>
        <v>603.1051266720001</v>
      </c>
      <c r="E1388" s="206"/>
      <c r="F1388" s="206">
        <f t="shared" si="99"/>
        <v>12257.736000000001</v>
      </c>
      <c r="G1388" s="204">
        <f t="shared" si="100"/>
        <v>603.1051266720001</v>
      </c>
      <c r="H1388" s="206"/>
      <c r="J1388" s="181"/>
      <c r="K1388" s="220"/>
      <c r="L1388" s="220"/>
      <c r="M1388" s="175"/>
    </row>
    <row r="1389" spans="2:13">
      <c r="B1389" s="100" t="s">
        <v>97</v>
      </c>
      <c r="C1389" s="221"/>
      <c r="D1389" s="204">
        <f t="shared" si="98"/>
        <v>0</v>
      </c>
      <c r="E1389" s="206"/>
      <c r="F1389" s="206"/>
      <c r="G1389" s="204">
        <f t="shared" si="100"/>
        <v>0</v>
      </c>
      <c r="H1389" s="206"/>
    </row>
    <row r="1390" spans="2:13">
      <c r="B1390" s="83" t="s">
        <v>26</v>
      </c>
      <c r="C1390" s="221">
        <f>Model!AO125</f>
        <v>7706.3389999999999</v>
      </c>
      <c r="D1390" s="204">
        <f t="shared" si="98"/>
        <v>379.16729147800004</v>
      </c>
      <c r="E1390" s="206"/>
      <c r="F1390" s="206">
        <f>C1390</f>
        <v>7706.3389999999999</v>
      </c>
      <c r="G1390" s="204">
        <f t="shared" si="100"/>
        <v>379.16729147800004</v>
      </c>
      <c r="H1390" s="206"/>
      <c r="I1390" s="102"/>
    </row>
    <row r="1391" spans="2:13">
      <c r="B1391" s="83" t="s">
        <v>30</v>
      </c>
      <c r="C1391" s="221">
        <f>Model!AO129</f>
        <v>9633.1020000000008</v>
      </c>
      <c r="D1391" s="204">
        <f t="shared" si="98"/>
        <v>473.96788460400006</v>
      </c>
      <c r="E1391" s="206"/>
      <c r="F1391" s="206">
        <f>C1391</f>
        <v>9633.1020000000008</v>
      </c>
      <c r="G1391" s="204">
        <f t="shared" si="100"/>
        <v>473.96788460400006</v>
      </c>
      <c r="H1391" s="206"/>
    </row>
    <row r="1392" spans="2:13">
      <c r="B1392" s="100" t="s">
        <v>98</v>
      </c>
      <c r="C1392" s="221"/>
      <c r="D1392" s="204"/>
      <c r="E1392" s="206"/>
      <c r="F1392" s="206"/>
      <c r="G1392" s="204"/>
      <c r="H1392" s="206"/>
    </row>
    <row r="1393" spans="2:9">
      <c r="B1393" s="100" t="s">
        <v>99</v>
      </c>
      <c r="C1393" s="221"/>
      <c r="D1393" s="204"/>
      <c r="E1393" s="206"/>
      <c r="F1393" s="206"/>
      <c r="G1393" s="204"/>
      <c r="H1393" s="206"/>
    </row>
    <row r="1394" spans="2:9">
      <c r="B1394" s="83" t="s">
        <v>99</v>
      </c>
      <c r="C1394" s="221">
        <v>0</v>
      </c>
      <c r="D1394" s="204">
        <f t="shared" ref="D1394:D1400" si="101">C1394*$H$1378</f>
        <v>0</v>
      </c>
      <c r="E1394" s="206"/>
      <c r="F1394" s="206">
        <f t="shared" ref="F1394:F1400" si="102">C1394</f>
        <v>0</v>
      </c>
      <c r="G1394" s="204">
        <f t="shared" ref="G1394:G1400" si="103">F1394*$H$1378</f>
        <v>0</v>
      </c>
      <c r="H1394" s="206"/>
    </row>
    <row r="1395" spans="2:9">
      <c r="B1395" s="83" t="s">
        <v>100</v>
      </c>
      <c r="C1395" s="221">
        <v>0</v>
      </c>
      <c r="D1395" s="204">
        <f t="shared" si="101"/>
        <v>0</v>
      </c>
      <c r="E1395" s="206"/>
      <c r="F1395" s="206">
        <f t="shared" si="102"/>
        <v>0</v>
      </c>
      <c r="G1395" s="204">
        <f t="shared" si="103"/>
        <v>0</v>
      </c>
      <c r="H1395" s="206"/>
    </row>
    <row r="1396" spans="2:9">
      <c r="B1396" s="83" t="s">
        <v>101</v>
      </c>
      <c r="C1396" s="221">
        <v>0</v>
      </c>
      <c r="D1396" s="204">
        <f t="shared" si="101"/>
        <v>0</v>
      </c>
      <c r="E1396" s="206"/>
      <c r="F1396" s="206">
        <f t="shared" si="102"/>
        <v>0</v>
      </c>
      <c r="G1396" s="204">
        <f t="shared" si="103"/>
        <v>0</v>
      </c>
      <c r="H1396" s="206"/>
    </row>
    <row r="1397" spans="2:9">
      <c r="B1397" s="83" t="s">
        <v>102</v>
      </c>
      <c r="C1397" s="221">
        <v>0</v>
      </c>
      <c r="D1397" s="204">
        <f t="shared" si="101"/>
        <v>0</v>
      </c>
      <c r="E1397" s="206"/>
      <c r="F1397" s="206">
        <f t="shared" si="102"/>
        <v>0</v>
      </c>
      <c r="G1397" s="204">
        <f t="shared" si="103"/>
        <v>0</v>
      </c>
      <c r="H1397" s="206"/>
    </row>
    <row r="1398" spans="2:9">
      <c r="B1398" s="83" t="s">
        <v>104</v>
      </c>
      <c r="C1398" s="221">
        <v>0</v>
      </c>
      <c r="D1398" s="204">
        <f t="shared" si="101"/>
        <v>0</v>
      </c>
      <c r="E1398" s="206"/>
      <c r="F1398" s="206">
        <f t="shared" si="102"/>
        <v>0</v>
      </c>
      <c r="G1398" s="204">
        <f t="shared" si="103"/>
        <v>0</v>
      </c>
      <c r="H1398" s="206"/>
    </row>
    <row r="1399" spans="2:9">
      <c r="B1399" s="83" t="s">
        <v>105</v>
      </c>
      <c r="C1399" s="221">
        <f>Model!AO155</f>
        <v>2373.9299999999998</v>
      </c>
      <c r="D1399" s="204">
        <f t="shared" si="101"/>
        <v>116.80210386</v>
      </c>
      <c r="E1399" s="206"/>
      <c r="F1399" s="206">
        <f t="shared" si="102"/>
        <v>2373.9299999999998</v>
      </c>
      <c r="G1399" s="204">
        <f t="shared" si="103"/>
        <v>116.80210386</v>
      </c>
      <c r="H1399" s="206"/>
    </row>
    <row r="1400" spans="2:9">
      <c r="B1400" s="83" t="s">
        <v>58</v>
      </c>
      <c r="C1400" s="221">
        <f>Model!AO157</f>
        <v>-517.31600000000003</v>
      </c>
      <c r="D1400" s="204">
        <f t="shared" si="101"/>
        <v>-25.452981832000003</v>
      </c>
      <c r="E1400" s="206"/>
      <c r="F1400" s="206">
        <f t="shared" si="102"/>
        <v>-517.31600000000003</v>
      </c>
      <c r="G1400" s="204">
        <f t="shared" si="103"/>
        <v>-25.452981832000003</v>
      </c>
      <c r="H1400" s="206"/>
    </row>
    <row r="1401" spans="2:9">
      <c r="B1401" s="161" t="s">
        <v>124</v>
      </c>
      <c r="C1401" s="222">
        <f>Model!AO170</f>
        <v>9060.3690000000006</v>
      </c>
      <c r="D1401" s="207"/>
      <c r="E1401" s="207"/>
      <c r="F1401" s="207"/>
      <c r="G1401" s="207"/>
      <c r="H1401" s="207"/>
    </row>
    <row r="1402" spans="2:9">
      <c r="B1402" s="35" t="s">
        <v>12</v>
      </c>
      <c r="C1402" s="208">
        <f>SUM(C1381:C1401)</f>
        <v>126746.53900000002</v>
      </c>
      <c r="D1402" s="208"/>
      <c r="E1402" s="36">
        <f>+C1402/C1407</f>
        <v>2.6997793043218952</v>
      </c>
      <c r="F1402" s="208">
        <f>SUM(F1381:F1401)</f>
        <v>117686.17000000001</v>
      </c>
      <c r="G1402" s="208">
        <f>SUM(G1381:G1401)</f>
        <v>5790.3949363399997</v>
      </c>
      <c r="H1402" s="36">
        <f>+F1402/F1407</f>
        <v>2.5067878671693613</v>
      </c>
      <c r="I1402" s="145"/>
    </row>
    <row r="1403" spans="2:9">
      <c r="B1403" s="34" t="s">
        <v>13</v>
      </c>
      <c r="C1403" s="209">
        <f>Model!AO165</f>
        <v>11317.829</v>
      </c>
      <c r="D1403" s="204"/>
      <c r="E1403" s="210"/>
      <c r="F1403" s="209">
        <f>C1403</f>
        <v>11317.829</v>
      </c>
      <c r="G1403" s="204">
        <f>F1403*$H$1378</f>
        <v>556.85982245800005</v>
      </c>
      <c r="H1403" s="210"/>
    </row>
    <row r="1404" spans="2:9">
      <c r="B1404" s="35" t="s">
        <v>14</v>
      </c>
      <c r="C1404" s="208">
        <f>+C1402-C1403</f>
        <v>115428.71000000002</v>
      </c>
      <c r="D1404" s="208"/>
      <c r="E1404" s="36">
        <f>+C1404/C1407</f>
        <v>2.4587025795045481</v>
      </c>
      <c r="F1404" s="208">
        <f>F1402-F1403</f>
        <v>106368.34100000001</v>
      </c>
      <c r="G1404" s="208">
        <f>+G1402-G1403</f>
        <v>5233.5351138819997</v>
      </c>
      <c r="H1404" s="36">
        <f>+F1404/F1407</f>
        <v>2.2657111423520142</v>
      </c>
    </row>
    <row r="1405" spans="2:9">
      <c r="B1405" s="69" t="s">
        <v>16</v>
      </c>
      <c r="C1405" s="211">
        <f>Model!AO186</f>
        <v>95495.724000000002</v>
      </c>
      <c r="D1405" s="204"/>
      <c r="E1405" s="212"/>
      <c r="F1405" s="211"/>
      <c r="G1405" s="204"/>
      <c r="H1405" s="212"/>
    </row>
    <row r="1406" spans="2:9">
      <c r="B1406" s="69" t="s">
        <v>18</v>
      </c>
      <c r="C1406" s="211">
        <f>C1402+C1405</f>
        <v>222242.26300000004</v>
      </c>
      <c r="D1406" s="211"/>
      <c r="E1406" s="212"/>
      <c r="F1406" s="211"/>
      <c r="G1406" s="211"/>
      <c r="H1406" s="212"/>
    </row>
    <row r="1407" spans="2:9">
      <c r="B1407" s="181" t="s">
        <v>20</v>
      </c>
      <c r="C1407" s="213">
        <f>Model!AO92</f>
        <v>46947</v>
      </c>
      <c r="D1407" s="213"/>
      <c r="E1407" s="210"/>
      <c r="F1407" s="210">
        <f>C1407</f>
        <v>46947</v>
      </c>
      <c r="G1407" s="213"/>
      <c r="H1407" s="210"/>
    </row>
    <row r="1409" spans="2:6">
      <c r="B1409" s="101" t="s">
        <v>59</v>
      </c>
      <c r="C1409" s="229">
        <f>Model!AO179-Capitalisation!C1402</f>
        <v>0</v>
      </c>
    </row>
    <row r="1410" spans="2:6">
      <c r="B1410" s="101"/>
      <c r="C1410" s="103"/>
    </row>
    <row r="1411" spans="2:6">
      <c r="B1411" s="35" t="s">
        <v>60</v>
      </c>
      <c r="C1411" s="88">
        <f>C1404+Model!AN185</f>
        <v>310887.71000000002</v>
      </c>
    </row>
    <row r="1412" spans="2:6">
      <c r="B1412" s="35" t="s">
        <v>61</v>
      </c>
      <c r="C1412" s="36">
        <f>C1411/C1407</f>
        <v>6.6220996016784888</v>
      </c>
    </row>
    <row r="1414" spans="2:6" ht="13.5" thickBot="1"/>
    <row r="1415" spans="2:6">
      <c r="B1415" s="78" t="s">
        <v>195</v>
      </c>
      <c r="C1415" s="153" t="s">
        <v>4</v>
      </c>
      <c r="D1415" s="153" t="s">
        <v>5</v>
      </c>
      <c r="E1415" s="104"/>
      <c r="F1415" s="104"/>
    </row>
    <row r="1416" spans="2:6" ht="25.5" customHeight="1">
      <c r="B1416" s="79" t="s">
        <v>108</v>
      </c>
      <c r="C1416" s="214">
        <f>2000/H1378</f>
        <v>40648.754115686352</v>
      </c>
      <c r="D1416" s="202">
        <f>C1416*H1378</f>
        <v>2000</v>
      </c>
      <c r="E1416" s="105"/>
      <c r="F1416" s="105"/>
    </row>
    <row r="1417" spans="2:6">
      <c r="B1417" s="79" t="s">
        <v>63</v>
      </c>
      <c r="C1417" s="202">
        <f>C1403</f>
        <v>11317.829</v>
      </c>
      <c r="D1417" s="202">
        <f>C1417*H1378</f>
        <v>556.85982245800005</v>
      </c>
      <c r="E1417" s="105"/>
      <c r="F1417" s="105"/>
    </row>
    <row r="1418" spans="2:6" ht="13.5" thickBot="1">
      <c r="B1418" s="80" t="s">
        <v>64</v>
      </c>
      <c r="C1418" s="203">
        <f>SUM(C1416:C1417)</f>
        <v>51966.58311568635</v>
      </c>
      <c r="D1418" s="203">
        <f>SUM(D1416:D1417)</f>
        <v>2556.8598224580001</v>
      </c>
      <c r="E1418" s="105"/>
      <c r="F1418" s="105"/>
    </row>
    <row r="1420" spans="2:6">
      <c r="C1420" s="30"/>
    </row>
    <row r="1421" spans="2:6" ht="13.5" thickBot="1"/>
    <row r="1422" spans="2:6" ht="13.5" thickBot="1">
      <c r="B1422" s="185" t="s">
        <v>196</v>
      </c>
      <c r="C1422" s="189" t="s">
        <v>4</v>
      </c>
      <c r="D1422" s="186" t="s">
        <v>5</v>
      </c>
      <c r="E1422" s="66"/>
    </row>
    <row r="1423" spans="2:6">
      <c r="B1423" s="144">
        <v>2020</v>
      </c>
      <c r="C1423" s="246">
        <f>Model!AO114</f>
        <v>17714.725999999999</v>
      </c>
      <c r="D1423" s="200">
        <f>+C1423*$H$1378</f>
        <v>871.59994865199997</v>
      </c>
    </row>
    <row r="1424" spans="2:6">
      <c r="B1424" s="144">
        <v>2021</v>
      </c>
      <c r="C1424" s="199">
        <v>0</v>
      </c>
      <c r="D1424" s="200">
        <f t="shared" ref="D1424:D1430" si="104">+C1424*$H$1378</f>
        <v>0</v>
      </c>
    </row>
    <row r="1425" spans="2:13">
      <c r="B1425" s="144">
        <v>2022</v>
      </c>
      <c r="C1425" s="199">
        <v>291.84500000000003</v>
      </c>
      <c r="D1425" s="200">
        <f t="shared" si="104"/>
        <v>14.359357690000001</v>
      </c>
      <c r="F1425" s="66" t="s">
        <v>197</v>
      </c>
    </row>
    <row r="1426" spans="2:13">
      <c r="B1426" s="144">
        <v>2023</v>
      </c>
      <c r="C1426" s="199">
        <v>693.54399999999998</v>
      </c>
      <c r="D1426" s="200">
        <f t="shared" si="104"/>
        <v>34.123751888000001</v>
      </c>
      <c r="F1426" s="28" t="s">
        <v>70</v>
      </c>
      <c r="G1426" s="215">
        <v>0.54</v>
      </c>
    </row>
    <row r="1427" spans="2:13">
      <c r="B1427" s="144">
        <v>2024</v>
      </c>
      <c r="C1427" s="199">
        <v>16497.436000000002</v>
      </c>
      <c r="D1427" s="200">
        <f t="shared" si="104"/>
        <v>811.70684607200008</v>
      </c>
      <c r="F1427" s="28" t="s">
        <v>71</v>
      </c>
      <c r="G1427" s="215">
        <v>7.0000000000000007E-2</v>
      </c>
    </row>
    <row r="1428" spans="2:13">
      <c r="B1428" s="144">
        <v>2025</v>
      </c>
      <c r="C1428" s="199">
        <v>39.555999999999997</v>
      </c>
      <c r="D1428" s="200">
        <f t="shared" si="104"/>
        <v>1.9462343120000001</v>
      </c>
      <c r="F1428" s="28" t="s">
        <v>72</v>
      </c>
      <c r="G1428" s="215">
        <v>0.39</v>
      </c>
    </row>
    <row r="1429" spans="2:13">
      <c r="B1429" s="144" t="s">
        <v>180</v>
      </c>
      <c r="C1429" s="199">
        <v>52834.525999999998</v>
      </c>
      <c r="D1429" s="200">
        <f t="shared" si="104"/>
        <v>2599.5643482519999</v>
      </c>
    </row>
    <row r="1430" spans="2:13" ht="13.5" thickBot="1">
      <c r="B1430" s="144" t="s">
        <v>67</v>
      </c>
      <c r="C1430" s="246">
        <f>C1381</f>
        <v>29614.537</v>
      </c>
      <c r="D1430" s="200">
        <f t="shared" si="104"/>
        <v>1457.0944494740002</v>
      </c>
    </row>
    <row r="1431" spans="2:13" ht="13.5" thickBot="1">
      <c r="B1431" s="185" t="s">
        <v>68</v>
      </c>
      <c r="C1431" s="198">
        <f>SUM(C1423:C1430)</f>
        <v>117686.17</v>
      </c>
      <c r="D1431" s="201">
        <f>SUM(D1423:D1430)</f>
        <v>5790.3949363400006</v>
      </c>
      <c r="G1431" s="127"/>
    </row>
    <row r="1432" spans="2:13">
      <c r="B1432" s="66"/>
      <c r="C1432" s="237"/>
      <c r="D1432" s="237"/>
      <c r="G1432" s="127"/>
    </row>
    <row r="1433" spans="2:13">
      <c r="B1433" s="238" t="s">
        <v>59</v>
      </c>
      <c r="C1433" s="239">
        <f>C1431-F1402</f>
        <v>0</v>
      </c>
      <c r="D1433" s="237"/>
      <c r="G1433" s="127"/>
    </row>
    <row r="1435" spans="2:13">
      <c r="G1435" s="66" t="s">
        <v>198</v>
      </c>
      <c r="H1435" s="241">
        <f>Model!AN267</f>
        <v>5.0215172012071728E-2</v>
      </c>
      <c r="J1435" s="184" t="s">
        <v>8</v>
      </c>
    </row>
    <row r="1436" spans="2:13">
      <c r="B1436" s="391" t="s">
        <v>199</v>
      </c>
      <c r="C1436" s="391"/>
      <c r="D1436" s="391"/>
      <c r="E1436" s="391"/>
      <c r="F1436" s="391"/>
      <c r="G1436" s="391"/>
      <c r="H1436" s="391"/>
      <c r="I1436" s="82"/>
      <c r="J1436" s="392" t="s">
        <v>200</v>
      </c>
      <c r="K1436" s="392"/>
      <c r="L1436" s="392"/>
      <c r="M1436" s="175"/>
    </row>
    <row r="1437" spans="2:13" ht="25.5">
      <c r="B1437" s="26" t="s">
        <v>4</v>
      </c>
      <c r="C1437" s="106" t="s">
        <v>4</v>
      </c>
      <c r="D1437" s="106" t="s">
        <v>5</v>
      </c>
      <c r="E1437" s="166" t="s">
        <v>94</v>
      </c>
      <c r="F1437" s="106" t="s">
        <v>4</v>
      </c>
      <c r="G1437" s="106" t="s">
        <v>5</v>
      </c>
      <c r="H1437" s="166" t="s">
        <v>95</v>
      </c>
      <c r="I1437" s="27"/>
      <c r="J1437" s="26"/>
      <c r="K1437" s="106" t="s">
        <v>4</v>
      </c>
      <c r="L1437" s="106" t="s">
        <v>5</v>
      </c>
      <c r="M1437" s="106" t="s">
        <v>85</v>
      </c>
    </row>
    <row r="1438" spans="2:13">
      <c r="B1438" s="83" t="s">
        <v>10</v>
      </c>
      <c r="C1438" s="221">
        <f>Model!AN176</f>
        <v>29088.665000000001</v>
      </c>
      <c r="D1438" s="204">
        <f>C1438*$H$1435</f>
        <v>1460.6923165765304</v>
      </c>
      <c r="E1438" s="205"/>
      <c r="F1438" s="206">
        <f>C1438</f>
        <v>29088.665000000001</v>
      </c>
      <c r="G1438" s="204">
        <f>F1438*$H$1435</f>
        <v>1460.6923165765304</v>
      </c>
      <c r="H1438" s="205"/>
      <c r="I1438" s="27"/>
      <c r="J1438" s="26"/>
      <c r="K1438" s="106"/>
      <c r="L1438" s="106"/>
      <c r="M1438" s="106"/>
    </row>
    <row r="1439" spans="2:13">
      <c r="B1439" s="100" t="s">
        <v>11</v>
      </c>
      <c r="C1439" s="221"/>
      <c r="D1439" s="204">
        <f t="shared" ref="D1439:D1448" si="105">C1439*$H$1435</f>
        <v>0</v>
      </c>
      <c r="E1439" s="206"/>
      <c r="F1439" s="206"/>
      <c r="G1439" s="174"/>
      <c r="H1439" s="206"/>
      <c r="J1439" s="178" t="s">
        <v>12</v>
      </c>
      <c r="K1439" s="216">
        <f>Model!AN115+Model!AN114</f>
        <v>85228.750999999989</v>
      </c>
      <c r="L1439" s="217">
        <f>K1439*$H$1435</f>
        <v>4279.7763918390301</v>
      </c>
      <c r="M1439" s="180">
        <f>+K1439/K1444</f>
        <v>1.8858838979487971</v>
      </c>
    </row>
    <row r="1440" spans="2:13">
      <c r="B1440" s="83" t="s">
        <v>21</v>
      </c>
      <c r="C1440" s="221"/>
      <c r="D1440" s="204">
        <f t="shared" si="105"/>
        <v>0</v>
      </c>
      <c r="E1440" s="206"/>
      <c r="F1440" s="206">
        <f t="shared" ref="F1440:F1445" si="106">C1440</f>
        <v>0</v>
      </c>
      <c r="G1440" s="204">
        <f t="shared" ref="G1440:G1448" si="107">F1440*$H$1435</f>
        <v>0</v>
      </c>
      <c r="H1440" s="206"/>
      <c r="J1440" s="181" t="s">
        <v>13</v>
      </c>
      <c r="K1440" s="218">
        <f>C1460</f>
        <v>9267.5439999999999</v>
      </c>
      <c r="L1440" s="217">
        <f>K1440*$H$1435</f>
        <v>465.37131608944327</v>
      </c>
      <c r="M1440" s="175"/>
    </row>
    <row r="1441" spans="2:13">
      <c r="B1441" s="83" t="s">
        <v>162</v>
      </c>
      <c r="C1441" s="221">
        <f>Model!AN121</f>
        <v>15915.312</v>
      </c>
      <c r="D1441" s="204">
        <f t="shared" si="105"/>
        <v>799.19012970578933</v>
      </c>
      <c r="E1441" s="206"/>
      <c r="F1441" s="206">
        <f t="shared" si="106"/>
        <v>15915.312</v>
      </c>
      <c r="G1441" s="204">
        <f t="shared" si="107"/>
        <v>799.19012970578933</v>
      </c>
      <c r="H1441" s="206"/>
      <c r="J1441" s="178" t="s">
        <v>14</v>
      </c>
      <c r="K1441" s="217">
        <f>+K1439-K1440</f>
        <v>75961.206999999995</v>
      </c>
      <c r="L1441" s="217">
        <f>K1441*$H$1435</f>
        <v>3814.4050757495866</v>
      </c>
      <c r="M1441" s="180">
        <f>+K1441/K1444</f>
        <v>1.6808179806607217</v>
      </c>
    </row>
    <row r="1442" spans="2:13">
      <c r="B1442" s="83" t="s">
        <v>17</v>
      </c>
      <c r="C1442" s="221">
        <f>Model!AN120</f>
        <v>15958.96</v>
      </c>
      <c r="D1442" s="204">
        <f t="shared" si="105"/>
        <v>801.38192153377213</v>
      </c>
      <c r="E1442" s="206"/>
      <c r="F1442" s="206">
        <f t="shared" si="106"/>
        <v>15958.96</v>
      </c>
      <c r="G1442" s="204">
        <f t="shared" si="107"/>
        <v>801.38192153377213</v>
      </c>
      <c r="H1442" s="206"/>
      <c r="J1442" s="183" t="s">
        <v>16</v>
      </c>
      <c r="K1442" s="219">
        <f>C1462</f>
        <v>88011.09</v>
      </c>
      <c r="L1442" s="217">
        <f>K1442*$H$1435</f>
        <v>4419.4920233199255</v>
      </c>
      <c r="M1442" s="175"/>
    </row>
    <row r="1443" spans="2:13">
      <c r="B1443" s="83" t="s">
        <v>15</v>
      </c>
      <c r="C1443" s="221">
        <f>Model!AN119</f>
        <v>9974.35</v>
      </c>
      <c r="D1443" s="204">
        <f t="shared" si="105"/>
        <v>500.86370095860764</v>
      </c>
      <c r="E1443" s="206"/>
      <c r="F1443" s="206">
        <f t="shared" si="106"/>
        <v>9974.35</v>
      </c>
      <c r="G1443" s="204">
        <f t="shared" si="107"/>
        <v>500.86370095860764</v>
      </c>
      <c r="H1443" s="206"/>
      <c r="J1443" s="183" t="s">
        <v>18</v>
      </c>
      <c r="K1443" s="219">
        <f>K1439+K1442</f>
        <v>173239.84099999999</v>
      </c>
      <c r="L1443" s="219"/>
      <c r="M1443" s="175"/>
    </row>
    <row r="1444" spans="2:13">
      <c r="B1444" s="83" t="s">
        <v>96</v>
      </c>
      <c r="C1444" s="221">
        <f>Model!AN132</f>
        <v>12966.655000000001</v>
      </c>
      <c r="D1444" s="204">
        <f t="shared" si="105"/>
        <v>651.12281124618994</v>
      </c>
      <c r="E1444" s="206"/>
      <c r="F1444" s="206">
        <f t="shared" si="106"/>
        <v>12966.655000000001</v>
      </c>
      <c r="G1444" s="204">
        <f t="shared" si="107"/>
        <v>651.12281124618994</v>
      </c>
      <c r="H1444" s="206"/>
      <c r="J1444" s="181" t="s">
        <v>20</v>
      </c>
      <c r="K1444" s="220">
        <f>C1464</f>
        <v>45193</v>
      </c>
      <c r="L1444" s="220"/>
      <c r="M1444" s="175"/>
    </row>
    <row r="1445" spans="2:13">
      <c r="B1445" s="83" t="s">
        <v>34</v>
      </c>
      <c r="C1445" s="221">
        <f>Model!AN133</f>
        <v>11897.405000000001</v>
      </c>
      <c r="D1445" s="204">
        <f t="shared" si="105"/>
        <v>597.43023857228229</v>
      </c>
      <c r="E1445" s="206"/>
      <c r="F1445" s="206">
        <f t="shared" si="106"/>
        <v>11897.405000000001</v>
      </c>
      <c r="G1445" s="204">
        <f t="shared" si="107"/>
        <v>597.43023857228229</v>
      </c>
      <c r="H1445" s="206"/>
      <c r="J1445" s="181"/>
      <c r="K1445" s="220"/>
      <c r="L1445" s="220"/>
      <c r="M1445" s="175"/>
    </row>
    <row r="1446" spans="2:13">
      <c r="B1446" s="100" t="s">
        <v>97</v>
      </c>
      <c r="C1446" s="221"/>
      <c r="D1446" s="204">
        <f t="shared" si="105"/>
        <v>0</v>
      </c>
      <c r="E1446" s="206"/>
      <c r="F1446" s="206"/>
      <c r="G1446" s="204">
        <f t="shared" si="107"/>
        <v>0</v>
      </c>
      <c r="H1446" s="206"/>
    </row>
    <row r="1447" spans="2:13">
      <c r="B1447" s="83" t="s">
        <v>26</v>
      </c>
      <c r="C1447" s="221">
        <f>Model!AN125</f>
        <v>7706.3379999999997</v>
      </c>
      <c r="D1447" s="204">
        <f t="shared" si="105"/>
        <v>386.97508825316481</v>
      </c>
      <c r="E1447" s="206"/>
      <c r="F1447" s="206">
        <f>C1447</f>
        <v>7706.3379999999997</v>
      </c>
      <c r="G1447" s="204">
        <f t="shared" si="107"/>
        <v>386.97508825316481</v>
      </c>
      <c r="H1447" s="206"/>
      <c r="I1447" s="102"/>
    </row>
    <row r="1448" spans="2:13">
      <c r="B1448" s="83" t="s">
        <v>30</v>
      </c>
      <c r="C1448" s="221">
        <f>Model!AN129</f>
        <v>9633.1020000000008</v>
      </c>
      <c r="D1448" s="204">
        <f t="shared" si="105"/>
        <v>483.72787393983225</v>
      </c>
      <c r="E1448" s="206"/>
      <c r="F1448" s="206">
        <f>C1448</f>
        <v>9633.1020000000008</v>
      </c>
      <c r="G1448" s="204">
        <f t="shared" si="107"/>
        <v>483.72787393983225</v>
      </c>
      <c r="H1448" s="206"/>
    </row>
    <row r="1449" spans="2:13">
      <c r="B1449" s="100" t="s">
        <v>98</v>
      </c>
      <c r="C1449" s="221"/>
      <c r="D1449" s="204"/>
      <c r="E1449" s="206"/>
      <c r="F1449" s="206"/>
      <c r="G1449" s="204"/>
      <c r="H1449" s="206"/>
    </row>
    <row r="1450" spans="2:13">
      <c r="B1450" s="100" t="s">
        <v>99</v>
      </c>
      <c r="C1450" s="221"/>
      <c r="D1450" s="204"/>
      <c r="E1450" s="206"/>
      <c r="F1450" s="206"/>
      <c r="G1450" s="204"/>
      <c r="H1450" s="206"/>
    </row>
    <row r="1451" spans="2:13">
      <c r="B1451" s="83" t="s">
        <v>99</v>
      </c>
      <c r="C1451" s="221">
        <v>0</v>
      </c>
      <c r="D1451" s="204">
        <f t="shared" ref="D1451:D1457" si="108">C1451*$H$1435</f>
        <v>0</v>
      </c>
      <c r="E1451" s="206"/>
      <c r="F1451" s="206">
        <f t="shared" ref="F1451:F1457" si="109">C1451</f>
        <v>0</v>
      </c>
      <c r="G1451" s="204">
        <f t="shared" ref="G1451:G1457" si="110">F1451*$H$1435</f>
        <v>0</v>
      </c>
      <c r="H1451" s="206"/>
    </row>
    <row r="1452" spans="2:13">
      <c r="B1452" s="83" t="s">
        <v>100</v>
      </c>
      <c r="C1452" s="221">
        <v>0</v>
      </c>
      <c r="D1452" s="204">
        <f t="shared" si="108"/>
        <v>0</v>
      </c>
      <c r="E1452" s="206"/>
      <c r="F1452" s="206">
        <f t="shared" si="109"/>
        <v>0</v>
      </c>
      <c r="G1452" s="204">
        <f t="shared" si="110"/>
        <v>0</v>
      </c>
      <c r="H1452" s="206"/>
    </row>
    <row r="1453" spans="2:13">
      <c r="B1453" s="83" t="s">
        <v>101</v>
      </c>
      <c r="C1453" s="221">
        <v>0</v>
      </c>
      <c r="D1453" s="204">
        <f t="shared" si="108"/>
        <v>0</v>
      </c>
      <c r="E1453" s="206"/>
      <c r="F1453" s="206">
        <f t="shared" si="109"/>
        <v>0</v>
      </c>
      <c r="G1453" s="204">
        <f t="shared" si="110"/>
        <v>0</v>
      </c>
      <c r="H1453" s="206"/>
    </row>
    <row r="1454" spans="2:13">
      <c r="B1454" s="83" t="s">
        <v>102</v>
      </c>
      <c r="C1454" s="221">
        <v>0</v>
      </c>
      <c r="D1454" s="204">
        <f t="shared" si="108"/>
        <v>0</v>
      </c>
      <c r="E1454" s="206"/>
      <c r="F1454" s="206">
        <f t="shared" si="109"/>
        <v>0</v>
      </c>
      <c r="G1454" s="204">
        <f t="shared" si="110"/>
        <v>0</v>
      </c>
      <c r="H1454" s="206"/>
    </row>
    <row r="1455" spans="2:13">
      <c r="B1455" s="83" t="s">
        <v>104</v>
      </c>
      <c r="C1455" s="221">
        <v>0</v>
      </c>
      <c r="D1455" s="204">
        <f t="shared" si="108"/>
        <v>0</v>
      </c>
      <c r="E1455" s="206"/>
      <c r="F1455" s="206">
        <f t="shared" si="109"/>
        <v>0</v>
      </c>
      <c r="G1455" s="204">
        <f t="shared" si="110"/>
        <v>0</v>
      </c>
      <c r="H1455" s="206"/>
    </row>
    <row r="1456" spans="2:13">
      <c r="B1456" s="83" t="s">
        <v>105</v>
      </c>
      <c r="C1456" s="221">
        <f>Model!AN155</f>
        <v>1707.6289999999999</v>
      </c>
      <c r="D1456" s="204">
        <f t="shared" si="108"/>
        <v>85.74888396780203</v>
      </c>
      <c r="E1456" s="206"/>
      <c r="F1456" s="206">
        <f t="shared" si="109"/>
        <v>1707.6289999999999</v>
      </c>
      <c r="G1456" s="204">
        <f t="shared" si="110"/>
        <v>85.74888396780203</v>
      </c>
      <c r="H1456" s="206"/>
    </row>
    <row r="1457" spans="2:9">
      <c r="B1457" s="83" t="s">
        <v>58</v>
      </c>
      <c r="C1457" s="221">
        <f>Model!AN157</f>
        <v>-531.00099999999998</v>
      </c>
      <c r="D1457" s="204">
        <f t="shared" si="108"/>
        <v>-26.664306553582097</v>
      </c>
      <c r="E1457" s="206"/>
      <c r="F1457" s="206">
        <f t="shared" si="109"/>
        <v>-531.00099999999998</v>
      </c>
      <c r="G1457" s="204">
        <f t="shared" si="110"/>
        <v>-26.664306553582097</v>
      </c>
      <c r="H1457" s="206"/>
    </row>
    <row r="1458" spans="2:9">
      <c r="B1458" s="161" t="s">
        <v>124</v>
      </c>
      <c r="C1458" s="222">
        <f>Model!AN170</f>
        <v>8995.27</v>
      </c>
      <c r="D1458" s="207"/>
      <c r="E1458" s="207"/>
      <c r="F1458" s="207"/>
      <c r="G1458" s="207"/>
      <c r="H1458" s="207"/>
    </row>
    <row r="1459" spans="2:9">
      <c r="B1459" s="35" t="s">
        <v>12</v>
      </c>
      <c r="C1459" s="208">
        <f>SUM(C1438:C1458)</f>
        <v>123312.685</v>
      </c>
      <c r="D1459" s="208"/>
      <c r="E1459" s="36">
        <f>+C1459/C1464</f>
        <v>2.7285793153807005</v>
      </c>
      <c r="F1459" s="208">
        <f>SUM(F1438:F1458)</f>
        <v>114317.41499999999</v>
      </c>
      <c r="G1459" s="208">
        <f>SUM(G1438:G1458)</f>
        <v>5740.4686582003878</v>
      </c>
      <c r="H1459" s="36">
        <f>+F1459/F1464</f>
        <v>2.5295380921824173</v>
      </c>
      <c r="I1459" s="145"/>
    </row>
    <row r="1460" spans="2:9">
      <c r="B1460" s="34" t="s">
        <v>13</v>
      </c>
      <c r="C1460" s="209">
        <f>Model!AN165</f>
        <v>9267.5439999999999</v>
      </c>
      <c r="D1460" s="204"/>
      <c r="E1460" s="210"/>
      <c r="F1460" s="209">
        <f>C1460</f>
        <v>9267.5439999999999</v>
      </c>
      <c r="G1460" s="204">
        <f>F1460*$H$1435</f>
        <v>465.37131608944327</v>
      </c>
      <c r="H1460" s="210"/>
    </row>
    <row r="1461" spans="2:9">
      <c r="B1461" s="35" t="s">
        <v>14</v>
      </c>
      <c r="C1461" s="208">
        <f>+C1459-C1460</f>
        <v>114045.141</v>
      </c>
      <c r="D1461" s="208"/>
      <c r="E1461" s="36">
        <f>+C1461/C1464</f>
        <v>2.523513398092625</v>
      </c>
      <c r="F1461" s="208">
        <f>F1459-F1460</f>
        <v>105049.871</v>
      </c>
      <c r="G1461" s="208">
        <f>+G1459-G1460</f>
        <v>5275.0973421109447</v>
      </c>
      <c r="H1461" s="36">
        <f>+F1461/F1464</f>
        <v>2.3244721748943422</v>
      </c>
    </row>
    <row r="1462" spans="2:9">
      <c r="B1462" s="69" t="s">
        <v>16</v>
      </c>
      <c r="C1462" s="211">
        <f>Model!AN186</f>
        <v>88011.09</v>
      </c>
      <c r="D1462" s="204"/>
      <c r="E1462" s="212"/>
      <c r="F1462" s="211"/>
      <c r="G1462" s="204"/>
      <c r="H1462" s="212"/>
    </row>
    <row r="1463" spans="2:9">
      <c r="B1463" s="69" t="s">
        <v>18</v>
      </c>
      <c r="C1463" s="211">
        <f>C1459+C1462</f>
        <v>211323.77499999999</v>
      </c>
      <c r="D1463" s="211"/>
      <c r="E1463" s="212"/>
      <c r="F1463" s="211"/>
      <c r="G1463" s="211"/>
      <c r="H1463" s="212"/>
    </row>
    <row r="1464" spans="2:9">
      <c r="B1464" s="181" t="s">
        <v>20</v>
      </c>
      <c r="C1464" s="213">
        <f>Model!AN92</f>
        <v>45193</v>
      </c>
      <c r="D1464" s="213"/>
      <c r="E1464" s="210"/>
      <c r="F1464" s="210">
        <f>C1464</f>
        <v>45193</v>
      </c>
      <c r="G1464" s="213"/>
      <c r="H1464" s="210"/>
    </row>
    <row r="1466" spans="2:9">
      <c r="B1466" s="101" t="s">
        <v>59</v>
      </c>
      <c r="C1466" s="229">
        <f>Model!AN179-Capitalisation!C1459</f>
        <v>9.9999998928979039E-4</v>
      </c>
    </row>
    <row r="1467" spans="2:9">
      <c r="B1467" s="101"/>
      <c r="C1467" s="103"/>
    </row>
    <row r="1468" spans="2:9">
      <c r="B1468" s="35" t="s">
        <v>60</v>
      </c>
      <c r="C1468" s="88">
        <f>C1461+Model!AN185</f>
        <v>309504.141</v>
      </c>
    </row>
    <row r="1469" spans="2:9" ht="25.5" customHeight="1">
      <c r="B1469" s="35" t="s">
        <v>61</v>
      </c>
      <c r="C1469" s="36">
        <f>C1468/C1464</f>
        <v>6.848497355785188</v>
      </c>
    </row>
    <row r="1471" spans="2:9" ht="13.5" thickBot="1"/>
    <row r="1472" spans="2:9">
      <c r="B1472" s="78" t="s">
        <v>195</v>
      </c>
      <c r="C1472" s="153" t="s">
        <v>4</v>
      </c>
      <c r="D1472" s="153" t="s">
        <v>5</v>
      </c>
      <c r="E1472" s="104"/>
      <c r="F1472" s="104"/>
    </row>
    <row r="1473" spans="2:7">
      <c r="B1473" s="79" t="s">
        <v>108</v>
      </c>
      <c r="C1473" s="214">
        <f>2000/H1435</f>
        <v>39828.6</v>
      </c>
      <c r="D1473" s="202">
        <f>C1473*H1435</f>
        <v>2000</v>
      </c>
      <c r="E1473" s="105"/>
      <c r="F1473" s="105"/>
    </row>
    <row r="1474" spans="2:7">
      <c r="B1474" s="79" t="s">
        <v>63</v>
      </c>
      <c r="C1474" s="202">
        <f>C1460</f>
        <v>9267.5439999999999</v>
      </c>
      <c r="D1474" s="202">
        <f>C1474*H1435</f>
        <v>465.37131608944327</v>
      </c>
      <c r="E1474" s="105"/>
      <c r="F1474" s="105"/>
    </row>
    <row r="1475" spans="2:7" ht="13.5" thickBot="1">
      <c r="B1475" s="80" t="s">
        <v>64</v>
      </c>
      <c r="C1475" s="203">
        <f>SUM(C1473:C1474)</f>
        <v>49096.144</v>
      </c>
      <c r="D1475" s="203">
        <f>SUM(D1473:D1474)</f>
        <v>2465.3713160894431</v>
      </c>
      <c r="E1475" s="105"/>
      <c r="F1475" s="105"/>
    </row>
    <row r="1477" spans="2:7">
      <c r="C1477" s="30"/>
    </row>
    <row r="1478" spans="2:7" ht="13.5" thickBot="1"/>
    <row r="1479" spans="2:7" ht="13.5" thickBot="1">
      <c r="B1479" s="185" t="s">
        <v>196</v>
      </c>
      <c r="C1479" s="189" t="s">
        <v>4</v>
      </c>
      <c r="D1479" s="186" t="s">
        <v>5</v>
      </c>
      <c r="E1479" s="66"/>
    </row>
    <row r="1480" spans="2:7">
      <c r="B1480" s="144">
        <v>2020</v>
      </c>
      <c r="C1480" s="246">
        <f>Model!AN114</f>
        <v>600.00299999999993</v>
      </c>
      <c r="D1480" s="200">
        <f>+C1480*$H$1435</f>
        <v>30.129253852759071</v>
      </c>
    </row>
    <row r="1481" spans="2:7">
      <c r="B1481" s="144">
        <v>2021</v>
      </c>
      <c r="C1481" s="199">
        <v>0</v>
      </c>
      <c r="D1481" s="200">
        <f t="shared" ref="D1481:D1487" si="111">+C1481*$H$1435</f>
        <v>0</v>
      </c>
    </row>
    <row r="1482" spans="2:7">
      <c r="B1482" s="144">
        <v>2022</v>
      </c>
      <c r="C1482" s="199">
        <v>16194.968999999999</v>
      </c>
      <c r="D1482" s="200">
        <f t="shared" si="111"/>
        <v>813.23315406516917</v>
      </c>
      <c r="F1482" s="66" t="s">
        <v>197</v>
      </c>
    </row>
    <row r="1483" spans="2:7">
      <c r="B1483" s="144">
        <v>2023</v>
      </c>
      <c r="C1483" s="199">
        <v>187.20599999999999</v>
      </c>
      <c r="D1483" s="200">
        <f t="shared" si="111"/>
        <v>9.4005814916918986</v>
      </c>
      <c r="F1483" s="28" t="s">
        <v>70</v>
      </c>
      <c r="G1483" s="215">
        <v>0.53</v>
      </c>
    </row>
    <row r="1484" spans="2:7">
      <c r="B1484" s="144">
        <v>2024</v>
      </c>
      <c r="C1484" s="199">
        <v>16500.262999999999</v>
      </c>
      <c r="D1484" s="200">
        <f t="shared" si="111"/>
        <v>828.56354478942262</v>
      </c>
      <c r="F1484" s="28" t="s">
        <v>71</v>
      </c>
      <c r="G1484" s="215">
        <v>7.0000000000000007E-2</v>
      </c>
    </row>
    <row r="1485" spans="2:7">
      <c r="B1485" s="144">
        <v>2025</v>
      </c>
      <c r="C1485" s="199">
        <v>32.6</v>
      </c>
      <c r="D1485" s="200">
        <f t="shared" si="111"/>
        <v>1.6370146075935383</v>
      </c>
      <c r="F1485" s="28" t="s">
        <v>72</v>
      </c>
      <c r="G1485" s="215">
        <v>0.4</v>
      </c>
    </row>
    <row r="1486" spans="2:7">
      <c r="B1486" s="144" t="s">
        <v>180</v>
      </c>
      <c r="C1486" s="199">
        <v>51713.71</v>
      </c>
      <c r="D1486" s="200">
        <f t="shared" si="111"/>
        <v>2596.8128430323936</v>
      </c>
    </row>
    <row r="1487" spans="2:7" ht="13.5" thickBot="1">
      <c r="B1487" s="144" t="s">
        <v>67</v>
      </c>
      <c r="C1487" s="246">
        <f>C1438</f>
        <v>29088.665000000001</v>
      </c>
      <c r="D1487" s="200">
        <f t="shared" si="111"/>
        <v>1460.6923165765304</v>
      </c>
    </row>
    <row r="1488" spans="2:7" ht="13.5" thickBot="1">
      <c r="B1488" s="185" t="s">
        <v>68</v>
      </c>
      <c r="C1488" s="198">
        <f>SUM(C1480:C1487)</f>
        <v>114317.416</v>
      </c>
      <c r="D1488" s="201">
        <f>SUM(D1480:D1487)</f>
        <v>5740.4687084155603</v>
      </c>
      <c r="G1488" s="127"/>
    </row>
    <row r="1489" spans="2:13">
      <c r="B1489" s="66"/>
      <c r="C1489" s="237"/>
      <c r="D1489" s="237"/>
      <c r="G1489" s="127"/>
    </row>
    <row r="1490" spans="2:13">
      <c r="B1490" s="238" t="s">
        <v>59</v>
      </c>
      <c r="C1490" s="239">
        <f>C1488-F1459</f>
        <v>1.0000000038417056E-3</v>
      </c>
      <c r="D1490" s="237"/>
      <c r="G1490" s="127"/>
    </row>
    <row r="1492" spans="2:13">
      <c r="G1492" s="66" t="s">
        <v>201</v>
      </c>
      <c r="H1492" s="251">
        <f>Model!AM267</f>
        <v>4.5218995595669831E-2</v>
      </c>
      <c r="J1492" s="184" t="s">
        <v>8</v>
      </c>
    </row>
    <row r="1493" spans="2:13">
      <c r="B1493" s="391" t="s">
        <v>202</v>
      </c>
      <c r="C1493" s="391"/>
      <c r="D1493" s="391"/>
      <c r="E1493" s="391"/>
      <c r="F1493" s="391"/>
      <c r="G1493" s="391"/>
      <c r="H1493" s="391"/>
      <c r="I1493" s="82"/>
      <c r="J1493" s="392" t="s">
        <v>202</v>
      </c>
      <c r="K1493" s="392"/>
      <c r="L1493" s="392"/>
      <c r="M1493" s="175"/>
    </row>
    <row r="1494" spans="2:13" ht="25.5">
      <c r="B1494" s="26" t="s">
        <v>4</v>
      </c>
      <c r="C1494" s="106" t="s">
        <v>4</v>
      </c>
      <c r="D1494" s="106" t="s">
        <v>5</v>
      </c>
      <c r="E1494" s="166" t="s">
        <v>94</v>
      </c>
      <c r="F1494" s="106" t="s">
        <v>4</v>
      </c>
      <c r="G1494" s="106" t="s">
        <v>5</v>
      </c>
      <c r="H1494" s="166" t="s">
        <v>95</v>
      </c>
      <c r="I1494" s="27"/>
      <c r="J1494" s="26"/>
      <c r="K1494" s="106" t="s">
        <v>4</v>
      </c>
      <c r="L1494" s="106" t="s">
        <v>5</v>
      </c>
      <c r="M1494" s="106" t="s">
        <v>85</v>
      </c>
    </row>
    <row r="1495" spans="2:13">
      <c r="B1495" s="83" t="s">
        <v>10</v>
      </c>
      <c r="C1495" s="221">
        <f>Model!AM176</f>
        <v>30196.102999999999</v>
      </c>
      <c r="D1495" s="204">
        <f t="shared" ref="D1495:D1505" si="112">C1495*$H$1492</f>
        <v>1365.4374485633925</v>
      </c>
      <c r="E1495" s="205"/>
      <c r="F1495" s="206">
        <f>C1495</f>
        <v>30196.102999999999</v>
      </c>
      <c r="G1495" s="204">
        <f>F1495*$H$1492</f>
        <v>1365.4374485633925</v>
      </c>
      <c r="H1495" s="205"/>
      <c r="I1495" s="27"/>
      <c r="J1495" s="26"/>
      <c r="K1495" s="106"/>
      <c r="L1495" s="106"/>
      <c r="M1495" s="106"/>
    </row>
    <row r="1496" spans="2:13">
      <c r="B1496" s="100" t="s">
        <v>11</v>
      </c>
      <c r="C1496" s="221"/>
      <c r="D1496" s="204">
        <f t="shared" si="112"/>
        <v>0</v>
      </c>
      <c r="E1496" s="206"/>
      <c r="F1496" s="206"/>
      <c r="G1496" s="174"/>
      <c r="H1496" s="206"/>
      <c r="J1496" s="178" t="s">
        <v>12</v>
      </c>
      <c r="K1496" s="216">
        <f>Model!AM114+Model!AM115</f>
        <v>96671.467000000004</v>
      </c>
      <c r="L1496" s="217">
        <f>K1496*$H$1492</f>
        <v>4371.3866404999417</v>
      </c>
      <c r="M1496" s="180">
        <f>+K1496/K1501</f>
        <v>2.5127353605264595</v>
      </c>
    </row>
    <row r="1497" spans="2:13">
      <c r="B1497" s="83" t="s">
        <v>21</v>
      </c>
      <c r="C1497" s="221">
        <f>Model!AM122</f>
        <v>0</v>
      </c>
      <c r="D1497" s="204">
        <f t="shared" si="112"/>
        <v>0</v>
      </c>
      <c r="E1497" s="206"/>
      <c r="F1497" s="206">
        <f t="shared" ref="F1497:F1502" si="113">C1497</f>
        <v>0</v>
      </c>
      <c r="G1497" s="204">
        <f t="shared" ref="G1497:G1503" si="114">F1497*$H$1492</f>
        <v>0</v>
      </c>
      <c r="H1497" s="206"/>
      <c r="J1497" s="181" t="s">
        <v>13</v>
      </c>
      <c r="K1497" s="218">
        <f>C1517</f>
        <v>12031.743</v>
      </c>
      <c r="L1497" s="218">
        <f>K1497*$H$1492</f>
        <v>544.06333372523136</v>
      </c>
      <c r="M1497" s="175"/>
    </row>
    <row r="1498" spans="2:13">
      <c r="B1498" s="83" t="s">
        <v>162</v>
      </c>
      <c r="C1498" s="221">
        <f>Model!AM121</f>
        <v>17916.703000000001</v>
      </c>
      <c r="D1498" s="204">
        <f t="shared" si="112"/>
        <v>810.17531404592455</v>
      </c>
      <c r="E1498" s="206"/>
      <c r="F1498" s="206">
        <f t="shared" si="113"/>
        <v>17916.703000000001</v>
      </c>
      <c r="G1498" s="204">
        <f t="shared" si="114"/>
        <v>810.17531404592455</v>
      </c>
      <c r="H1498" s="206"/>
      <c r="J1498" s="178" t="s">
        <v>14</v>
      </c>
      <c r="K1498" s="217">
        <f>+K1496-K1497</f>
        <v>84639.724000000002</v>
      </c>
      <c r="L1498" s="217">
        <f>+L1496-L1497</f>
        <v>3827.3233067747105</v>
      </c>
      <c r="M1498" s="252">
        <v>2.2000000000000002</v>
      </c>
    </row>
    <row r="1499" spans="2:13">
      <c r="B1499" s="83" t="s">
        <v>17</v>
      </c>
      <c r="C1499" s="221">
        <f>Model!AM120</f>
        <v>17965.84</v>
      </c>
      <c r="D1499" s="204">
        <f t="shared" si="112"/>
        <v>812.39723983250883</v>
      </c>
      <c r="E1499" s="206"/>
      <c r="F1499" s="206">
        <f t="shared" si="113"/>
        <v>17965.84</v>
      </c>
      <c r="G1499" s="204">
        <f t="shared" si="114"/>
        <v>812.39723983250883</v>
      </c>
      <c r="H1499" s="206"/>
      <c r="J1499" s="183" t="s">
        <v>16</v>
      </c>
      <c r="K1499" s="219">
        <f>C1519</f>
        <v>93496.456999999995</v>
      </c>
      <c r="L1499" s="219">
        <f>K1499*$H$1492</f>
        <v>4227.8158772937331</v>
      </c>
      <c r="M1499" s="175"/>
    </row>
    <row r="1500" spans="2:13">
      <c r="B1500" s="83" t="s">
        <v>15</v>
      </c>
      <c r="C1500" s="221">
        <f>Model!AM119</f>
        <v>11228.65</v>
      </c>
      <c r="D1500" s="204">
        <f t="shared" si="112"/>
        <v>507.74827489531805</v>
      </c>
      <c r="E1500" s="206"/>
      <c r="F1500" s="206">
        <f t="shared" si="113"/>
        <v>11228.65</v>
      </c>
      <c r="G1500" s="204">
        <f t="shared" si="114"/>
        <v>507.74827489531805</v>
      </c>
      <c r="H1500" s="206"/>
      <c r="J1500" s="183" t="s">
        <v>18</v>
      </c>
      <c r="K1500" s="219">
        <f>K1496+K1499</f>
        <v>190167.924</v>
      </c>
      <c r="L1500" s="219"/>
      <c r="M1500" s="175"/>
    </row>
    <row r="1501" spans="2:13">
      <c r="B1501" s="83" t="s">
        <v>96</v>
      </c>
      <c r="C1501" s="221">
        <f>Model!AM132</f>
        <v>14597.245000000001</v>
      </c>
      <c r="D1501" s="204">
        <f t="shared" si="112"/>
        <v>660.07275736391352</v>
      </c>
      <c r="E1501" s="206"/>
      <c r="F1501" s="206">
        <f t="shared" si="113"/>
        <v>14597.245000000001</v>
      </c>
      <c r="G1501" s="204">
        <f t="shared" si="114"/>
        <v>660.07275736391352</v>
      </c>
      <c r="H1501" s="206"/>
      <c r="J1501" s="181" t="s">
        <v>20</v>
      </c>
      <c r="K1501" s="255">
        <f>K1498/M1498</f>
        <v>38472.601818181814</v>
      </c>
      <c r="L1501" s="220"/>
      <c r="M1501" s="175"/>
    </row>
    <row r="1502" spans="2:13">
      <c r="B1502" s="83" t="s">
        <v>34</v>
      </c>
      <c r="C1502" s="221">
        <f>Model!AM133</f>
        <v>13393.534</v>
      </c>
      <c r="D1502" s="204">
        <f t="shared" si="112"/>
        <v>605.64215495645408</v>
      </c>
      <c r="E1502" s="206"/>
      <c r="F1502" s="206">
        <f t="shared" si="113"/>
        <v>13393.534</v>
      </c>
      <c r="G1502" s="204">
        <f t="shared" si="114"/>
        <v>605.64215495645408</v>
      </c>
      <c r="H1502" s="206"/>
      <c r="J1502" s="181"/>
      <c r="K1502" s="220"/>
      <c r="L1502" s="220"/>
      <c r="M1502" s="175"/>
    </row>
    <row r="1503" spans="2:13">
      <c r="B1503" s="100" t="s">
        <v>97</v>
      </c>
      <c r="C1503" s="221"/>
      <c r="D1503" s="204">
        <f t="shared" si="112"/>
        <v>0</v>
      </c>
      <c r="E1503" s="206"/>
      <c r="F1503" s="206"/>
      <c r="G1503" s="204">
        <f t="shared" si="114"/>
        <v>0</v>
      </c>
      <c r="H1503" s="206"/>
    </row>
    <row r="1504" spans="2:13">
      <c r="B1504" s="83" t="s">
        <v>26</v>
      </c>
      <c r="C1504" s="221">
        <f>Model!AM125</f>
        <v>7706.3389999999999</v>
      </c>
      <c r="D1504" s="204">
        <f t="shared" si="112"/>
        <v>348.47290929973866</v>
      </c>
      <c r="E1504" s="206"/>
      <c r="F1504" s="206">
        <f>C1504</f>
        <v>7706.3389999999999</v>
      </c>
      <c r="G1504" s="204">
        <f>F1504*$H$1492</f>
        <v>348.47290929973866</v>
      </c>
      <c r="H1504" s="206"/>
      <c r="I1504" s="102"/>
      <c r="K1504" s="66"/>
    </row>
    <row r="1505" spans="2:9">
      <c r="B1505" s="83" t="s">
        <v>30</v>
      </c>
      <c r="C1505" s="221">
        <f>Model!AM129</f>
        <v>9633.1020000000008</v>
      </c>
      <c r="D1505" s="204">
        <f t="shared" si="112"/>
        <v>435.59919691063828</v>
      </c>
      <c r="E1505" s="206"/>
      <c r="F1505" s="206">
        <f>C1505</f>
        <v>9633.1020000000008</v>
      </c>
      <c r="G1505" s="204">
        <f>F1505*$H$1492</f>
        <v>435.59919691063828</v>
      </c>
      <c r="H1505" s="206"/>
    </row>
    <row r="1506" spans="2:9">
      <c r="B1506" s="100" t="s">
        <v>98</v>
      </c>
      <c r="C1506" s="221"/>
      <c r="D1506" s="204"/>
      <c r="E1506" s="206"/>
      <c r="F1506" s="206"/>
      <c r="G1506" s="204"/>
      <c r="H1506" s="206"/>
    </row>
    <row r="1507" spans="2:9">
      <c r="B1507" s="100" t="s">
        <v>99</v>
      </c>
      <c r="C1507" s="221"/>
      <c r="D1507" s="204"/>
      <c r="E1507" s="206"/>
      <c r="F1507" s="206"/>
      <c r="G1507" s="204"/>
      <c r="H1507" s="206"/>
    </row>
    <row r="1508" spans="2:9">
      <c r="B1508" s="83" t="s">
        <v>99</v>
      </c>
      <c r="C1508" s="221">
        <v>0</v>
      </c>
      <c r="D1508" s="204">
        <f t="shared" ref="D1508:D1514" si="115">C1508*$H$1492</f>
        <v>0</v>
      </c>
      <c r="E1508" s="206"/>
      <c r="F1508" s="206">
        <f t="shared" ref="F1508:F1514" si="116">C1508</f>
        <v>0</v>
      </c>
      <c r="G1508" s="204">
        <f t="shared" ref="G1508:G1514" si="117">F1508*$H$1492</f>
        <v>0</v>
      </c>
      <c r="H1508" s="206"/>
    </row>
    <row r="1509" spans="2:9">
      <c r="B1509" s="83" t="s">
        <v>100</v>
      </c>
      <c r="C1509" s="221">
        <f>Model!AM123</f>
        <v>0</v>
      </c>
      <c r="D1509" s="204">
        <f t="shared" si="115"/>
        <v>0</v>
      </c>
      <c r="E1509" s="206"/>
      <c r="F1509" s="206">
        <f t="shared" si="116"/>
        <v>0</v>
      </c>
      <c r="G1509" s="204">
        <f t="shared" si="117"/>
        <v>0</v>
      </c>
      <c r="H1509" s="206"/>
    </row>
    <row r="1510" spans="2:9">
      <c r="B1510" s="83" t="s">
        <v>101</v>
      </c>
      <c r="C1510" s="221">
        <v>0</v>
      </c>
      <c r="D1510" s="204">
        <f t="shared" si="115"/>
        <v>0</v>
      </c>
      <c r="E1510" s="206"/>
      <c r="F1510" s="206">
        <f t="shared" si="116"/>
        <v>0</v>
      </c>
      <c r="G1510" s="204">
        <f t="shared" si="117"/>
        <v>0</v>
      </c>
      <c r="H1510" s="206"/>
    </row>
    <row r="1511" spans="2:9">
      <c r="B1511" s="83" t="s">
        <v>102</v>
      </c>
      <c r="C1511" s="221">
        <f>Model!AM124</f>
        <v>0</v>
      </c>
      <c r="D1511" s="204">
        <f t="shared" si="115"/>
        <v>0</v>
      </c>
      <c r="E1511" s="206"/>
      <c r="F1511" s="206">
        <f t="shared" si="116"/>
        <v>0</v>
      </c>
      <c r="G1511" s="204">
        <f t="shared" si="117"/>
        <v>0</v>
      </c>
      <c r="H1511" s="206"/>
    </row>
    <row r="1512" spans="2:9">
      <c r="B1512" s="83" t="s">
        <v>104</v>
      </c>
      <c r="C1512" s="221">
        <f>Model!AM144</f>
        <v>2651.683</v>
      </c>
      <c r="D1512" s="204">
        <f t="shared" si="115"/>
        <v>119.90644189811256</v>
      </c>
      <c r="E1512" s="206"/>
      <c r="F1512" s="206">
        <f t="shared" si="116"/>
        <v>2651.683</v>
      </c>
      <c r="G1512" s="204">
        <f t="shared" si="117"/>
        <v>119.90644189811256</v>
      </c>
      <c r="H1512" s="206"/>
    </row>
    <row r="1513" spans="2:9">
      <c r="B1513" s="83" t="s">
        <v>105</v>
      </c>
      <c r="C1513" s="221">
        <f>Model!AM155</f>
        <v>2122.3969999999999</v>
      </c>
      <c r="D1513" s="204">
        <f t="shared" si="115"/>
        <v>95.972660595262866</v>
      </c>
      <c r="E1513" s="206"/>
      <c r="F1513" s="206">
        <f t="shared" si="116"/>
        <v>2122.3969999999999</v>
      </c>
      <c r="G1513" s="204">
        <f t="shared" si="117"/>
        <v>95.972660595262866</v>
      </c>
      <c r="H1513" s="206"/>
    </row>
    <row r="1514" spans="2:9">
      <c r="B1514" s="83" t="s">
        <v>58</v>
      </c>
      <c r="C1514" s="221">
        <f>Model!AM157</f>
        <v>-544.02599999999995</v>
      </c>
      <c r="D1514" s="204">
        <f t="shared" si="115"/>
        <v>-24.600309297929872</v>
      </c>
      <c r="E1514" s="206"/>
      <c r="F1514" s="206">
        <f t="shared" si="116"/>
        <v>-544.02599999999995</v>
      </c>
      <c r="G1514" s="204">
        <f t="shared" si="117"/>
        <v>-24.600309297929872</v>
      </c>
      <c r="H1514" s="206"/>
    </row>
    <row r="1515" spans="2:9">
      <c r="B1515" s="161" t="s">
        <v>124</v>
      </c>
      <c r="C1515" s="222">
        <f>Model!AM170</f>
        <v>9385.9439999999995</v>
      </c>
      <c r="D1515" s="207"/>
      <c r="E1515" s="207"/>
      <c r="F1515" s="207"/>
      <c r="G1515" s="207"/>
      <c r="H1515" s="207"/>
    </row>
    <row r="1516" spans="2:9">
      <c r="B1516" s="35" t="s">
        <v>12</v>
      </c>
      <c r="C1516" s="208">
        <f>SUM(C1495:C1515)</f>
        <v>136253.514</v>
      </c>
      <c r="D1516" s="208"/>
      <c r="E1516" s="36">
        <f>+C1516/C1521</f>
        <v>3.1542355719147164</v>
      </c>
      <c r="F1516" s="208">
        <f>SUM(F1495:F1515)</f>
        <v>126867.56999999999</v>
      </c>
      <c r="G1516" s="208">
        <f>SUM(G1495:G1515)</f>
        <v>5736.8240890633333</v>
      </c>
      <c r="H1516" s="36">
        <f>+F1516/F1521</f>
        <v>2.9369532606430999</v>
      </c>
      <c r="I1516" s="145"/>
    </row>
    <row r="1517" spans="2:9">
      <c r="B1517" s="34" t="s">
        <v>13</v>
      </c>
      <c r="C1517" s="209">
        <f>Model!AM165</f>
        <v>12031.743</v>
      </c>
      <c r="D1517" s="204"/>
      <c r="E1517" s="210"/>
      <c r="F1517" s="209">
        <f>C1517</f>
        <v>12031.743</v>
      </c>
      <c r="G1517" s="204">
        <f>F1517*$H$1492</f>
        <v>544.06333372523136</v>
      </c>
      <c r="H1517" s="210"/>
    </row>
    <row r="1518" spans="2:9">
      <c r="B1518" s="35" t="s">
        <v>14</v>
      </c>
      <c r="C1518" s="208">
        <f>+C1516-C1517</f>
        <v>124221.77099999999</v>
      </c>
      <c r="D1518" s="208"/>
      <c r="E1518" s="36">
        <f>+C1518/C1521</f>
        <v>2.875703659976387</v>
      </c>
      <c r="F1518" s="208">
        <f>F1516-F1517</f>
        <v>114835.82699999999</v>
      </c>
      <c r="G1518" s="208">
        <f>+G1516-G1517</f>
        <v>5192.7607553381022</v>
      </c>
      <c r="H1518" s="36">
        <f>+F1518/F1521</f>
        <v>2.658421348704771</v>
      </c>
    </row>
    <row r="1519" spans="2:9">
      <c r="B1519" s="69" t="s">
        <v>16</v>
      </c>
      <c r="C1519" s="211">
        <f>Model!AM186</f>
        <v>93496.456999999995</v>
      </c>
      <c r="D1519" s="204"/>
      <c r="E1519" s="212"/>
      <c r="F1519" s="211"/>
      <c r="G1519" s="204"/>
      <c r="H1519" s="212"/>
    </row>
    <row r="1520" spans="2:9">
      <c r="B1520" s="69" t="s">
        <v>18</v>
      </c>
      <c r="C1520" s="211">
        <f>C1516+C1519</f>
        <v>229749.97099999999</v>
      </c>
      <c r="D1520" s="211"/>
      <c r="E1520" s="212"/>
      <c r="F1520" s="211"/>
      <c r="G1520" s="211"/>
      <c r="H1520" s="212"/>
    </row>
    <row r="1521" spans="2:8">
      <c r="B1521" s="181" t="s">
        <v>20</v>
      </c>
      <c r="C1521" s="213">
        <f>Model!AM92</f>
        <v>43197</v>
      </c>
      <c r="D1521" s="213"/>
      <c r="E1521" s="210"/>
      <c r="F1521" s="210">
        <f>C1521</f>
        <v>43197</v>
      </c>
      <c r="G1521" s="213"/>
      <c r="H1521" s="210"/>
    </row>
    <row r="1523" spans="2:8">
      <c r="B1523" s="101" t="s">
        <v>59</v>
      </c>
      <c r="C1523" s="229">
        <f>Model!AM179-Capitalisation!C1516</f>
        <v>0</v>
      </c>
    </row>
    <row r="1525" spans="2:8">
      <c r="B1525" s="258" t="s">
        <v>60</v>
      </c>
      <c r="C1525" s="256">
        <f>C1518+Model!AM185</f>
        <v>311654.47100000002</v>
      </c>
    </row>
    <row r="1526" spans="2:8">
      <c r="B1526" s="258" t="s">
        <v>61</v>
      </c>
      <c r="C1526" s="257">
        <f>C1525/C1521</f>
        <v>7.2147248883024284</v>
      </c>
    </row>
    <row r="1528" spans="2:8" ht="13.5" thickBot="1"/>
    <row r="1529" spans="2:8">
      <c r="B1529" s="78" t="s">
        <v>203</v>
      </c>
      <c r="C1529" s="153" t="s">
        <v>4</v>
      </c>
      <c r="D1529" s="153" t="s">
        <v>5</v>
      </c>
      <c r="E1529" s="104"/>
      <c r="F1529" s="104"/>
    </row>
    <row r="1530" spans="2:8">
      <c r="B1530" s="79" t="s">
        <v>108</v>
      </c>
      <c r="C1530" s="214">
        <f>1900/H1492</f>
        <v>42017.74</v>
      </c>
      <c r="D1530" s="202">
        <f>C1530*H1492</f>
        <v>1900</v>
      </c>
      <c r="E1530" s="105"/>
      <c r="F1530" s="105"/>
    </row>
    <row r="1531" spans="2:8">
      <c r="B1531" s="79" t="s">
        <v>63</v>
      </c>
      <c r="C1531" s="202">
        <f>C1517</f>
        <v>12031.743</v>
      </c>
      <c r="D1531" s="202">
        <f>C1531*H1492</f>
        <v>544.06333372523136</v>
      </c>
      <c r="E1531" s="105"/>
    </row>
    <row r="1532" spans="2:8" ht="13.5" thickBot="1">
      <c r="B1532" s="80" t="s">
        <v>64</v>
      </c>
      <c r="C1532" s="203">
        <f>SUM(C1530:C1531)</f>
        <v>54049.483</v>
      </c>
      <c r="D1532" s="203">
        <f>SUM(D1530:D1531)</f>
        <v>2444.0633337252311</v>
      </c>
      <c r="E1532" s="105"/>
    </row>
    <row r="1534" spans="2:8">
      <c r="C1534" s="30"/>
    </row>
    <row r="1535" spans="2:8" ht="13.5" thickBot="1"/>
    <row r="1536" spans="2:8" ht="13.5" thickBot="1">
      <c r="B1536" s="185" t="s">
        <v>204</v>
      </c>
      <c r="C1536" s="189" t="s">
        <v>4</v>
      </c>
      <c r="D1536" s="186" t="s">
        <v>5</v>
      </c>
      <c r="E1536" s="66"/>
    </row>
    <row r="1537" spans="2:7">
      <c r="B1537" s="144">
        <v>2020</v>
      </c>
      <c r="C1537" s="246">
        <f>Model!AM114</f>
        <v>961.23500000000001</v>
      </c>
      <c r="D1537" s="200">
        <f t="shared" ref="D1537:D1543" si="118">+C1537*$H$1492</f>
        <v>43.466081231403692</v>
      </c>
    </row>
    <row r="1538" spans="2:7">
      <c r="B1538" s="144">
        <v>2021</v>
      </c>
      <c r="C1538" s="199">
        <v>663.87199999999996</v>
      </c>
      <c r="D1538" s="200">
        <f t="shared" si="118"/>
        <v>30.019625044088521</v>
      </c>
    </row>
    <row r="1539" spans="2:7">
      <c r="B1539" s="144">
        <v>2022</v>
      </c>
      <c r="C1539" s="199">
        <v>18267.899000000001</v>
      </c>
      <c r="D1539" s="200">
        <f t="shared" si="118"/>
        <v>826.05604442314132</v>
      </c>
      <c r="F1539" s="66" t="s">
        <v>205</v>
      </c>
    </row>
    <row r="1540" spans="2:7">
      <c r="B1540" s="144">
        <v>2023</v>
      </c>
      <c r="C1540" s="199">
        <v>2675.8519999999999</v>
      </c>
      <c r="D1540" s="200">
        <f t="shared" si="118"/>
        <v>120.9993398026643</v>
      </c>
      <c r="F1540" s="28" t="s">
        <v>70</v>
      </c>
      <c r="G1540" s="215">
        <v>0.57999999999999996</v>
      </c>
    </row>
    <row r="1541" spans="2:7">
      <c r="B1541" s="144">
        <v>2024</v>
      </c>
      <c r="C1541" s="199">
        <v>17975.759999999998</v>
      </c>
      <c r="D1541" s="200">
        <f t="shared" si="118"/>
        <v>812.84581226881789</v>
      </c>
      <c r="F1541" s="28" t="s">
        <v>71</v>
      </c>
      <c r="G1541" s="215">
        <v>0.06</v>
      </c>
    </row>
    <row r="1542" spans="2:7">
      <c r="B1542" s="144" t="s">
        <v>206</v>
      </c>
      <c r="C1542" s="199">
        <v>56126.849000000002</v>
      </c>
      <c r="D1542" s="200">
        <f t="shared" si="118"/>
        <v>2537.9997377298259</v>
      </c>
      <c r="F1542" s="28" t="s">
        <v>72</v>
      </c>
      <c r="G1542" s="215">
        <v>0.34</v>
      </c>
    </row>
    <row r="1543" spans="2:7" ht="13.5" thickBot="1">
      <c r="B1543" s="144" t="s">
        <v>67</v>
      </c>
      <c r="C1543" s="246">
        <f>C1495</f>
        <v>30196.102999999999</v>
      </c>
      <c r="D1543" s="200">
        <f t="shared" si="118"/>
        <v>1365.4374485633925</v>
      </c>
      <c r="F1543" s="28" t="s">
        <v>73</v>
      </c>
      <c r="G1543" s="215">
        <v>0.02</v>
      </c>
    </row>
    <row r="1544" spans="2:7" ht="13.5" thickBot="1">
      <c r="B1544" s="185" t="s">
        <v>68</v>
      </c>
      <c r="C1544" s="198">
        <f>SUM(C1537:C1543)</f>
        <v>126867.57</v>
      </c>
      <c r="D1544" s="201">
        <f>SUM(D1537:D1543)</f>
        <v>5736.8240890633342</v>
      </c>
      <c r="G1544" s="127"/>
    </row>
    <row r="1545" spans="2:7">
      <c r="B1545" s="66"/>
      <c r="C1545" s="237"/>
      <c r="D1545" s="237"/>
      <c r="G1545" s="127"/>
    </row>
    <row r="1546" spans="2:7">
      <c r="B1546" s="238" t="s">
        <v>59</v>
      </c>
      <c r="C1546" s="239">
        <f>C1544-F1516</f>
        <v>0</v>
      </c>
      <c r="D1546" s="237"/>
      <c r="G1546" s="127"/>
    </row>
    <row r="1554" spans="2:13">
      <c r="G1554" s="66" t="s">
        <v>207</v>
      </c>
      <c r="H1554" s="251">
        <f>Model!AL267</f>
        <v>4.3468055326140814E-2</v>
      </c>
      <c r="J1554" s="184" t="s">
        <v>8</v>
      </c>
    </row>
    <row r="1555" spans="2:13">
      <c r="B1555" s="391" t="s">
        <v>208</v>
      </c>
      <c r="C1555" s="391"/>
      <c r="D1555" s="391"/>
      <c r="E1555" s="391"/>
      <c r="F1555" s="391"/>
      <c r="G1555" s="391"/>
      <c r="H1555" s="391"/>
      <c r="I1555" s="82"/>
      <c r="J1555" s="392" t="s">
        <v>208</v>
      </c>
      <c r="K1555" s="392"/>
      <c r="L1555" s="392"/>
      <c r="M1555" s="175"/>
    </row>
    <row r="1556" spans="2:13" ht="25.5">
      <c r="B1556" s="26" t="s">
        <v>4</v>
      </c>
      <c r="C1556" s="106" t="s">
        <v>4</v>
      </c>
      <c r="D1556" s="106" t="s">
        <v>5</v>
      </c>
      <c r="E1556" s="166" t="s">
        <v>94</v>
      </c>
      <c r="F1556" s="106" t="s">
        <v>4</v>
      </c>
      <c r="G1556" s="106" t="s">
        <v>5</v>
      </c>
      <c r="H1556" s="166" t="s">
        <v>95</v>
      </c>
      <c r="I1556" s="27"/>
      <c r="J1556" s="26"/>
      <c r="K1556" s="106" t="s">
        <v>4</v>
      </c>
      <c r="L1556" s="106" t="s">
        <v>5</v>
      </c>
      <c r="M1556" s="106" t="s">
        <v>85</v>
      </c>
    </row>
    <row r="1557" spans="2:13">
      <c r="B1557" s="83" t="s">
        <v>10</v>
      </c>
      <c r="C1557" s="221">
        <f>Model!AL176</f>
        <v>29490.673999999999</v>
      </c>
      <c r="D1557" s="204">
        <f>C1557*$H$1554</f>
        <v>1281.9022490371824</v>
      </c>
      <c r="E1557" s="205"/>
      <c r="F1557" s="206">
        <f>C1557</f>
        <v>29490.673999999999</v>
      </c>
      <c r="G1557" s="204">
        <f>F1557*$H$1554</f>
        <v>1281.9022490371824</v>
      </c>
      <c r="H1557" s="205"/>
      <c r="I1557" s="27"/>
      <c r="J1557" s="26"/>
      <c r="K1557" s="106"/>
      <c r="L1557" s="106"/>
      <c r="M1557" s="106"/>
    </row>
    <row r="1558" spans="2:13">
      <c r="B1558" s="100" t="s">
        <v>11</v>
      </c>
      <c r="C1558" s="221"/>
      <c r="D1558" s="174"/>
      <c r="E1558" s="206"/>
      <c r="F1558" s="206"/>
      <c r="G1558" s="174"/>
      <c r="H1558" s="206"/>
      <c r="J1558" s="178" t="s">
        <v>12</v>
      </c>
      <c r="K1558" s="216">
        <f>Model!AL114+Model!AL115</f>
        <v>103192.86099999999</v>
      </c>
      <c r="L1558" s="217">
        <f>K1558*$H$1554</f>
        <v>4485.5929912107586</v>
      </c>
      <c r="M1558" s="180">
        <f>+K1558/K1563</f>
        <v>2.7782810589614537</v>
      </c>
    </row>
    <row r="1559" spans="2:13">
      <c r="B1559" s="83" t="s">
        <v>21</v>
      </c>
      <c r="C1559" s="221">
        <f>Model!AL122</f>
        <v>0</v>
      </c>
      <c r="D1559" s="204">
        <f t="shared" ref="D1559:D1567" si="119">C1559*$H$1554</f>
        <v>0</v>
      </c>
      <c r="E1559" s="206"/>
      <c r="F1559" s="206">
        <f t="shared" ref="F1559:F1564" si="120">C1559</f>
        <v>0</v>
      </c>
      <c r="G1559" s="204">
        <f t="shared" ref="G1559:G1567" si="121">F1559*$H$1554</f>
        <v>0</v>
      </c>
      <c r="H1559" s="206"/>
      <c r="J1559" s="181" t="s">
        <v>13</v>
      </c>
      <c r="K1559" s="218">
        <f>C1579</f>
        <v>10336.11</v>
      </c>
      <c r="L1559" s="218">
        <f>K1559*$H$1554</f>
        <v>449.29060133707736</v>
      </c>
      <c r="M1559" s="175"/>
    </row>
    <row r="1560" spans="2:13">
      <c r="B1560" s="83" t="s">
        <v>162</v>
      </c>
      <c r="C1560" s="221">
        <f>Model!AL121</f>
        <v>18326.937000000002</v>
      </c>
      <c r="D1560" s="204">
        <f t="shared" si="119"/>
        <v>796.63631147469721</v>
      </c>
      <c r="E1560" s="206"/>
      <c r="F1560" s="206">
        <f t="shared" si="120"/>
        <v>18326.937000000002</v>
      </c>
      <c r="G1560" s="204">
        <f t="shared" si="121"/>
        <v>796.63631147469721</v>
      </c>
      <c r="H1560" s="206"/>
      <c r="J1560" s="178" t="s">
        <v>14</v>
      </c>
      <c r="K1560" s="217">
        <f>+K1558-K1559</f>
        <v>92856.750999999989</v>
      </c>
      <c r="L1560" s="217">
        <f>+L1558-L1559</f>
        <v>4036.302389873681</v>
      </c>
      <c r="M1560" s="252">
        <v>2.5</v>
      </c>
    </row>
    <row r="1561" spans="2:13">
      <c r="B1561" s="83" t="s">
        <v>17</v>
      </c>
      <c r="C1561" s="221">
        <f>Model!AL120</f>
        <v>18377.2</v>
      </c>
      <c r="D1561" s="204">
        <f t="shared" si="119"/>
        <v>798.82114633955496</v>
      </c>
      <c r="E1561" s="206"/>
      <c r="F1561" s="206">
        <f t="shared" si="120"/>
        <v>18377.2</v>
      </c>
      <c r="G1561" s="204">
        <f t="shared" si="121"/>
        <v>798.82114633955496</v>
      </c>
      <c r="H1561" s="206"/>
      <c r="J1561" s="183" t="s">
        <v>16</v>
      </c>
      <c r="K1561" s="219">
        <f>C1581</f>
        <v>90926.214999999997</v>
      </c>
      <c r="L1561" s="219">
        <f>K1561*$H$1554</f>
        <v>3952.3857442165745</v>
      </c>
      <c r="M1561" s="175"/>
    </row>
    <row r="1562" spans="2:13">
      <c r="B1562" s="83" t="s">
        <v>15</v>
      </c>
      <c r="C1562" s="221">
        <f>Model!AL119</f>
        <v>11485.75</v>
      </c>
      <c r="D1562" s="204">
        <f t="shared" si="119"/>
        <v>499.26321646222186</v>
      </c>
      <c r="E1562" s="206"/>
      <c r="F1562" s="206">
        <f t="shared" si="120"/>
        <v>11485.75</v>
      </c>
      <c r="G1562" s="204">
        <f t="shared" si="121"/>
        <v>499.26321646222186</v>
      </c>
      <c r="H1562" s="206"/>
      <c r="J1562" s="183" t="s">
        <v>18</v>
      </c>
      <c r="K1562" s="219">
        <f>K1558+K1561</f>
        <v>194119.076</v>
      </c>
      <c r="L1562" s="219"/>
      <c r="M1562" s="175"/>
    </row>
    <row r="1563" spans="2:13">
      <c r="B1563" s="83" t="s">
        <v>96</v>
      </c>
      <c r="C1563" s="221">
        <f>Model!AL132</f>
        <v>14931.475</v>
      </c>
      <c r="D1563" s="204">
        <f t="shared" si="119"/>
        <v>649.04218140088847</v>
      </c>
      <c r="E1563" s="206"/>
      <c r="F1563" s="206">
        <f t="shared" si="120"/>
        <v>14931.475</v>
      </c>
      <c r="G1563" s="204">
        <f t="shared" si="121"/>
        <v>649.04218140088847</v>
      </c>
      <c r="H1563" s="206"/>
      <c r="J1563" s="181" t="s">
        <v>20</v>
      </c>
      <c r="K1563" s="220">
        <f>K1560/M1560</f>
        <v>37142.700399999994</v>
      </c>
      <c r="L1563" s="220"/>
      <c r="M1563" s="175"/>
    </row>
    <row r="1564" spans="2:13">
      <c r="B1564" s="83" t="s">
        <v>34</v>
      </c>
      <c r="C1564" s="221">
        <f>Model!AL133</f>
        <v>13700.203</v>
      </c>
      <c r="D1564" s="204">
        <f t="shared" si="119"/>
        <v>595.52118198336029</v>
      </c>
      <c r="E1564" s="206"/>
      <c r="F1564" s="206">
        <f t="shared" si="120"/>
        <v>13700.203</v>
      </c>
      <c r="G1564" s="204">
        <f t="shared" si="121"/>
        <v>595.52118198336029</v>
      </c>
      <c r="H1564" s="206"/>
      <c r="J1564" s="181"/>
      <c r="K1564" s="220"/>
      <c r="L1564" s="220"/>
      <c r="M1564" s="175"/>
    </row>
    <row r="1565" spans="2:13">
      <c r="B1565" s="100" t="s">
        <v>97</v>
      </c>
      <c r="C1565" s="221"/>
      <c r="D1565" s="204">
        <f t="shared" si="119"/>
        <v>0</v>
      </c>
      <c r="E1565" s="206"/>
      <c r="F1565" s="206"/>
      <c r="G1565" s="204">
        <f t="shared" si="121"/>
        <v>0</v>
      </c>
      <c r="H1565" s="206"/>
    </row>
    <row r="1566" spans="2:13">
      <c r="B1566" s="83" t="s">
        <v>26</v>
      </c>
      <c r="C1566" s="221">
        <f>Model!AL125</f>
        <v>7706.3389999999999</v>
      </c>
      <c r="D1566" s="204">
        <f t="shared" si="119"/>
        <v>334.97957001399669</v>
      </c>
      <c r="E1566" s="206"/>
      <c r="F1566" s="206">
        <f>C1566</f>
        <v>7706.3389999999999</v>
      </c>
      <c r="G1566" s="204">
        <f t="shared" si="121"/>
        <v>334.97957001399669</v>
      </c>
      <c r="H1566" s="206"/>
      <c r="I1566" s="102"/>
      <c r="K1566" s="66"/>
    </row>
    <row r="1567" spans="2:13">
      <c r="B1567" s="83" t="s">
        <v>30</v>
      </c>
      <c r="C1567" s="221">
        <f>Model!AL129</f>
        <v>9633.1020000000008</v>
      </c>
      <c r="D1567" s="204">
        <f t="shared" si="119"/>
        <v>418.73221069835779</v>
      </c>
      <c r="E1567" s="206"/>
      <c r="F1567" s="206">
        <f>C1567</f>
        <v>9633.1020000000008</v>
      </c>
      <c r="G1567" s="204">
        <f t="shared" si="121"/>
        <v>418.73221069835779</v>
      </c>
      <c r="H1567" s="206"/>
    </row>
    <row r="1568" spans="2:13">
      <c r="B1568" s="100" t="s">
        <v>98</v>
      </c>
      <c r="C1568" s="221"/>
      <c r="D1568" s="204"/>
      <c r="E1568" s="206"/>
      <c r="F1568" s="206"/>
      <c r="G1568" s="204"/>
      <c r="H1568" s="206"/>
    </row>
    <row r="1569" spans="2:9">
      <c r="B1569" s="100" t="s">
        <v>99</v>
      </c>
      <c r="C1569" s="221"/>
      <c r="D1569" s="204"/>
      <c r="E1569" s="206"/>
      <c r="F1569" s="206"/>
      <c r="G1569" s="204"/>
      <c r="H1569" s="206"/>
    </row>
    <row r="1570" spans="2:9">
      <c r="B1570" s="83" t="s">
        <v>99</v>
      </c>
      <c r="C1570" s="221">
        <v>0</v>
      </c>
      <c r="D1570" s="204">
        <f t="shared" ref="D1570:D1577" si="122">C1570*$H$1554</f>
        <v>0</v>
      </c>
      <c r="E1570" s="206"/>
      <c r="F1570" s="206">
        <f t="shared" ref="F1570:F1576" si="123">C1570</f>
        <v>0</v>
      </c>
      <c r="G1570" s="204">
        <f t="shared" ref="G1570:G1576" si="124">F1570*$H$1554</f>
        <v>0</v>
      </c>
      <c r="H1570" s="206"/>
    </row>
    <row r="1571" spans="2:9">
      <c r="B1571" s="83" t="s">
        <v>100</v>
      </c>
      <c r="C1571" s="221">
        <f>Model!AL123</f>
        <v>0</v>
      </c>
      <c r="D1571" s="204">
        <f t="shared" si="122"/>
        <v>0</v>
      </c>
      <c r="E1571" s="206"/>
      <c r="F1571" s="206">
        <f t="shared" si="123"/>
        <v>0</v>
      </c>
      <c r="G1571" s="204">
        <f t="shared" si="124"/>
        <v>0</v>
      </c>
      <c r="H1571" s="206"/>
    </row>
    <row r="1572" spans="2:9">
      <c r="B1572" s="83" t="s">
        <v>101</v>
      </c>
      <c r="C1572" s="221">
        <v>0</v>
      </c>
      <c r="D1572" s="204">
        <f t="shared" si="122"/>
        <v>0</v>
      </c>
      <c r="E1572" s="206"/>
      <c r="F1572" s="206">
        <f t="shared" si="123"/>
        <v>0</v>
      </c>
      <c r="G1572" s="204">
        <f t="shared" si="124"/>
        <v>0</v>
      </c>
      <c r="H1572" s="206"/>
    </row>
    <row r="1573" spans="2:9">
      <c r="B1573" s="83" t="s">
        <v>102</v>
      </c>
      <c r="C1573" s="221">
        <f>Model!AL124</f>
        <v>0</v>
      </c>
      <c r="D1573" s="204">
        <f t="shared" si="122"/>
        <v>0</v>
      </c>
      <c r="E1573" s="206"/>
      <c r="F1573" s="206">
        <f t="shared" si="123"/>
        <v>0</v>
      </c>
      <c r="G1573" s="204">
        <f t="shared" si="124"/>
        <v>0</v>
      </c>
      <c r="H1573" s="206"/>
    </row>
    <row r="1574" spans="2:9">
      <c r="B1574" s="83" t="s">
        <v>104</v>
      </c>
      <c r="C1574" s="221">
        <f>Model!AL144</f>
        <v>6945.9859999999999</v>
      </c>
      <c r="D1574" s="204">
        <f t="shared" si="122"/>
        <v>301.9285037425995</v>
      </c>
      <c r="E1574" s="206"/>
      <c r="F1574" s="206">
        <f t="shared" si="123"/>
        <v>6945.9859999999999</v>
      </c>
      <c r="G1574" s="204">
        <f t="shared" si="124"/>
        <v>301.9285037425995</v>
      </c>
      <c r="H1574" s="206"/>
    </row>
    <row r="1575" spans="2:9">
      <c r="B1575" s="83" t="s">
        <v>105</v>
      </c>
      <c r="C1575" s="221">
        <f>Model!AL155</f>
        <v>2642.9209999999998</v>
      </c>
      <c r="D1575" s="204">
        <f t="shared" si="122"/>
        <v>114.8826362506194</v>
      </c>
      <c r="E1575" s="206"/>
      <c r="F1575" s="206">
        <f t="shared" si="123"/>
        <v>2642.9209999999998</v>
      </c>
      <c r="G1575" s="204">
        <f t="shared" si="124"/>
        <v>114.8826362506194</v>
      </c>
      <c r="H1575" s="206"/>
    </row>
    <row r="1576" spans="2:9">
      <c r="B1576" s="83" t="s">
        <v>58</v>
      </c>
      <c r="C1576" s="221">
        <f>Model!AL157</f>
        <v>-557.05200000000002</v>
      </c>
      <c r="D1576" s="204">
        <f t="shared" si="122"/>
        <v>-24.213967155537393</v>
      </c>
      <c r="E1576" s="206"/>
      <c r="F1576" s="206">
        <f t="shared" si="123"/>
        <v>-557.05200000000002</v>
      </c>
      <c r="G1576" s="204">
        <f t="shared" si="124"/>
        <v>-24.213967155537393</v>
      </c>
      <c r="H1576" s="206"/>
    </row>
    <row r="1577" spans="2:9">
      <c r="B1577" s="161" t="s">
        <v>124</v>
      </c>
      <c r="C1577" s="222">
        <f>Model!AL170</f>
        <v>9502.6650000000009</v>
      </c>
      <c r="D1577" s="207">
        <f t="shared" si="122"/>
        <v>413.06236796578196</v>
      </c>
      <c r="E1577" s="207"/>
      <c r="F1577" s="207"/>
      <c r="G1577" s="207"/>
      <c r="H1577" s="207"/>
    </row>
    <row r="1578" spans="2:9">
      <c r="B1578" s="35" t="s">
        <v>12</v>
      </c>
      <c r="C1578" s="208">
        <f>SUM(C1557:C1577)</f>
        <v>142186.20000000001</v>
      </c>
      <c r="D1578" s="208">
        <f>SUM(D1557:D1577)</f>
        <v>6180.5576082137231</v>
      </c>
      <c r="E1578" s="36">
        <f>+C1578/C1583</f>
        <v>3.4380201658727665</v>
      </c>
      <c r="F1578" s="208">
        <f>SUM(F1557:F1577)</f>
        <v>132683.535</v>
      </c>
      <c r="G1578" s="208">
        <f>SUM(G1557:G1577)</f>
        <v>5767.4952402479412</v>
      </c>
      <c r="H1578" s="36">
        <f>+F1578/F1583</f>
        <v>3.2082485431728607</v>
      </c>
      <c r="I1578" s="145"/>
    </row>
    <row r="1579" spans="2:9">
      <c r="B1579" s="34" t="s">
        <v>13</v>
      </c>
      <c r="C1579" s="209">
        <f>+Model!AL165</f>
        <v>10336.11</v>
      </c>
      <c r="D1579" s="204">
        <f>C1579*$H$1554</f>
        <v>449.29060133707736</v>
      </c>
      <c r="E1579" s="210"/>
      <c r="F1579" s="209">
        <f>C1579</f>
        <v>10336.11</v>
      </c>
      <c r="G1579" s="204">
        <f>F1579*$H$1554</f>
        <v>449.29060133707736</v>
      </c>
      <c r="H1579" s="210"/>
    </row>
    <row r="1580" spans="2:9">
      <c r="B1580" s="35" t="s">
        <v>14</v>
      </c>
      <c r="C1580" s="208">
        <f>+C1578-C1579</f>
        <v>131850.09000000003</v>
      </c>
      <c r="D1580" s="208">
        <f>+D1578-D1579</f>
        <v>5731.2670068766456</v>
      </c>
      <c r="E1580" s="36">
        <f>+C1580/C1583</f>
        <v>3.1880960901419355</v>
      </c>
      <c r="F1580" s="208">
        <f>F1578-F1579</f>
        <v>122347.425</v>
      </c>
      <c r="G1580" s="208">
        <f>+G1578-G1579</f>
        <v>5318.2046389108637</v>
      </c>
      <c r="H1580" s="36">
        <f>+F1580/F1583</f>
        <v>2.9583244674420293</v>
      </c>
    </row>
    <row r="1581" spans="2:9">
      <c r="B1581" s="69" t="s">
        <v>16</v>
      </c>
      <c r="C1581" s="211">
        <f>+Model!AL186</f>
        <v>90926.214999999997</v>
      </c>
      <c r="D1581" s="204">
        <f>C1581*$H$1554</f>
        <v>3952.3857442165745</v>
      </c>
      <c r="E1581" s="212"/>
      <c r="F1581" s="211"/>
      <c r="G1581" s="204"/>
      <c r="H1581" s="212"/>
    </row>
    <row r="1582" spans="2:9">
      <c r="B1582" s="69" t="s">
        <v>18</v>
      </c>
      <c r="C1582" s="211">
        <f>C1578+C1581</f>
        <v>233112.41500000001</v>
      </c>
      <c r="D1582" s="211"/>
      <c r="E1582" s="212"/>
      <c r="F1582" s="211"/>
      <c r="G1582" s="211"/>
      <c r="H1582" s="212"/>
    </row>
    <row r="1583" spans="2:9">
      <c r="B1583" s="181" t="s">
        <v>20</v>
      </c>
      <c r="C1583" s="213">
        <f>+Model!AL92</f>
        <v>41357</v>
      </c>
      <c r="D1583" s="213"/>
      <c r="E1583" s="210"/>
      <c r="F1583" s="210">
        <f>C1583</f>
        <v>41357</v>
      </c>
      <c r="G1583" s="213"/>
      <c r="H1583" s="210"/>
    </row>
    <row r="1585" spans="2:7">
      <c r="B1585" s="101" t="s">
        <v>59</v>
      </c>
      <c r="C1585" s="229">
        <f>Model!AL179-Capitalisation!C1578</f>
        <v>0</v>
      </c>
      <c r="D1585" s="103"/>
      <c r="G1585" s="103"/>
    </row>
    <row r="1586" spans="2:7">
      <c r="B1586" s="101"/>
      <c r="C1586" s="103"/>
    </row>
    <row r="1587" spans="2:7">
      <c r="B1587" s="35" t="s">
        <v>60</v>
      </c>
      <c r="C1587" s="88">
        <f>C1580+Model!AL185</f>
        <v>327575.09000000003</v>
      </c>
    </row>
    <row r="1588" spans="2:7">
      <c r="B1588" s="35" t="s">
        <v>61</v>
      </c>
      <c r="C1588" s="36">
        <f>C1587/C1583</f>
        <v>7.9206685688033467</v>
      </c>
    </row>
    <row r="1590" spans="2:7" ht="13.5" thickBot="1"/>
    <row r="1591" spans="2:7">
      <c r="B1591" s="78" t="s">
        <v>209</v>
      </c>
      <c r="C1591" s="153" t="s">
        <v>4</v>
      </c>
      <c r="D1591" s="153" t="s">
        <v>5</v>
      </c>
      <c r="E1591" s="104"/>
      <c r="F1591" s="104"/>
    </row>
    <row r="1592" spans="2:7">
      <c r="B1592" s="79" t="s">
        <v>108</v>
      </c>
      <c r="C1592" s="214">
        <f>1700/H1554</f>
        <v>39109.180000000008</v>
      </c>
      <c r="D1592" s="202">
        <f>C1592*H1554</f>
        <v>1700.0000000000002</v>
      </c>
      <c r="E1592" s="105"/>
      <c r="F1592" s="105"/>
    </row>
    <row r="1593" spans="2:7">
      <c r="B1593" s="79" t="s">
        <v>63</v>
      </c>
      <c r="C1593" s="202">
        <f>C1579</f>
        <v>10336.11</v>
      </c>
      <c r="D1593" s="202">
        <f>C1593*H1554</f>
        <v>449.29060133707736</v>
      </c>
      <c r="E1593" s="105"/>
    </row>
    <row r="1594" spans="2:7" ht="13.5" thickBot="1">
      <c r="B1594" s="80" t="s">
        <v>64</v>
      </c>
      <c r="C1594" s="203">
        <f>SUM(C1592:C1593)</f>
        <v>49445.290000000008</v>
      </c>
      <c r="D1594" s="203">
        <f>SUM(D1592:D1593)</f>
        <v>2149.2906013370775</v>
      </c>
      <c r="E1594" s="105"/>
    </row>
    <row r="1596" spans="2:7">
      <c r="C1596" s="30"/>
    </row>
    <row r="1597" spans="2:7" ht="13.5" thickBot="1"/>
    <row r="1598" spans="2:7" ht="13.5" thickBot="1">
      <c r="B1598" s="185" t="s">
        <v>210</v>
      </c>
      <c r="C1598" s="189" t="s">
        <v>4</v>
      </c>
      <c r="D1598" s="186" t="s">
        <v>5</v>
      </c>
      <c r="E1598" s="66"/>
    </row>
    <row r="1599" spans="2:7">
      <c r="B1599" s="144">
        <v>2020</v>
      </c>
      <c r="C1599" s="246">
        <f>Model!AL114</f>
        <v>1480.23</v>
      </c>
      <c r="D1599" s="200">
        <f t="shared" ref="D1599:D1605" si="125">+C1599*$H$1554</f>
        <v>64.342719535413423</v>
      </c>
    </row>
    <row r="1600" spans="2:7">
      <c r="B1600" s="144">
        <v>2021</v>
      </c>
      <c r="C1600" s="199">
        <v>342.13</v>
      </c>
      <c r="D1600" s="200">
        <f t="shared" si="125"/>
        <v>14.871725768732556</v>
      </c>
    </row>
    <row r="1601" spans="2:13">
      <c r="B1601" s="144">
        <v>2022</v>
      </c>
      <c r="C1601" s="199">
        <v>18810.27</v>
      </c>
      <c r="D1601" s="200">
        <f t="shared" si="125"/>
        <v>817.6458570596468</v>
      </c>
      <c r="F1601" s="66" t="s">
        <v>211</v>
      </c>
    </row>
    <row r="1602" spans="2:13">
      <c r="B1602" s="144">
        <v>2023</v>
      </c>
      <c r="C1602" s="199">
        <v>7166.3869999999997</v>
      </c>
      <c r="D1602" s="200">
        <f t="shared" si="125"/>
        <v>311.50890660453626</v>
      </c>
      <c r="F1602" s="28" t="s">
        <v>70</v>
      </c>
      <c r="G1602" s="215">
        <v>0.59</v>
      </c>
    </row>
    <row r="1603" spans="2:13">
      <c r="B1603" s="144">
        <v>2024</v>
      </c>
      <c r="C1603" s="199">
        <v>18382.099999999999</v>
      </c>
      <c r="D1603" s="200">
        <f t="shared" si="125"/>
        <v>799.03413981065296</v>
      </c>
      <c r="F1603" s="28" t="s">
        <v>71</v>
      </c>
      <c r="G1603" s="215">
        <v>0.06</v>
      </c>
    </row>
    <row r="1604" spans="2:13">
      <c r="B1604" s="144" t="s">
        <v>206</v>
      </c>
      <c r="C1604" s="199">
        <v>57011.743999999999</v>
      </c>
      <c r="D1604" s="200">
        <f t="shared" si="125"/>
        <v>2478.1896424317765</v>
      </c>
      <c r="F1604" s="28" t="s">
        <v>72</v>
      </c>
      <c r="G1604" s="215">
        <v>0.33</v>
      </c>
    </row>
    <row r="1605" spans="2:13" ht="13.5" thickBot="1">
      <c r="B1605" s="144" t="s">
        <v>67</v>
      </c>
      <c r="C1605" s="246">
        <f>C1557</f>
        <v>29490.673999999999</v>
      </c>
      <c r="D1605" s="200">
        <f t="shared" si="125"/>
        <v>1281.9022490371824</v>
      </c>
      <c r="F1605" s="28" t="s">
        <v>73</v>
      </c>
      <c r="G1605" s="215">
        <v>0.02</v>
      </c>
    </row>
    <row r="1606" spans="2:13" ht="13.5" thickBot="1">
      <c r="B1606" s="185" t="s">
        <v>68</v>
      </c>
      <c r="C1606" s="198">
        <f>SUM(C1599:C1605)</f>
        <v>132683.535</v>
      </c>
      <c r="D1606" s="201">
        <f>SUM(D1599:D1605)</f>
        <v>5767.4952402479412</v>
      </c>
      <c r="G1606" s="127"/>
    </row>
    <row r="1607" spans="2:13">
      <c r="B1607" s="66"/>
      <c r="C1607" s="237"/>
      <c r="D1607" s="237"/>
      <c r="G1607" s="127"/>
    </row>
    <row r="1608" spans="2:13">
      <c r="B1608" s="238" t="s">
        <v>59</v>
      </c>
      <c r="C1608" s="239">
        <f>C1606-F1578</f>
        <v>0</v>
      </c>
      <c r="D1608" s="237"/>
      <c r="G1608" s="127"/>
    </row>
    <row r="1609" spans="2:13">
      <c r="B1609" s="66"/>
      <c r="C1609" s="237"/>
      <c r="D1609" s="237"/>
      <c r="G1609" s="127"/>
    </row>
    <row r="1610" spans="2:13">
      <c r="G1610" s="66" t="s">
        <v>212</v>
      </c>
      <c r="H1610" s="251">
        <f>Model!AK267</f>
        <v>4.2194092827004218E-2</v>
      </c>
      <c r="J1610" s="184" t="s">
        <v>8</v>
      </c>
    </row>
    <row r="1611" spans="2:13">
      <c r="B1611" s="391" t="s">
        <v>213</v>
      </c>
      <c r="C1611" s="391"/>
      <c r="D1611" s="391"/>
      <c r="E1611" s="391"/>
      <c r="F1611" s="391"/>
      <c r="G1611" s="391"/>
      <c r="H1611" s="391"/>
      <c r="I1611" s="82"/>
      <c r="J1611" s="392" t="s">
        <v>213</v>
      </c>
      <c r="K1611" s="392"/>
      <c r="L1611" s="392"/>
      <c r="M1611" s="175"/>
    </row>
    <row r="1612" spans="2:13" ht="25.5">
      <c r="B1612" s="26" t="s">
        <v>4</v>
      </c>
      <c r="C1612" s="106" t="s">
        <v>4</v>
      </c>
      <c r="D1612" s="106" t="s">
        <v>5</v>
      </c>
      <c r="E1612" s="166" t="s">
        <v>94</v>
      </c>
      <c r="F1612" s="106" t="s">
        <v>4</v>
      </c>
      <c r="G1612" s="106" t="s">
        <v>5</v>
      </c>
      <c r="H1612" s="166" t="s">
        <v>95</v>
      </c>
      <c r="I1612" s="27"/>
      <c r="J1612" s="26"/>
      <c r="K1612" s="106" t="s">
        <v>4</v>
      </c>
      <c r="L1612" s="106" t="s">
        <v>5</v>
      </c>
      <c r="M1612" s="106" t="s">
        <v>85</v>
      </c>
    </row>
    <row r="1613" spans="2:13">
      <c r="B1613" s="83" t="s">
        <v>10</v>
      </c>
      <c r="C1613" s="221">
        <f>Model!AK176</f>
        <v>30019.652999999998</v>
      </c>
      <c r="D1613" s="204">
        <f>C1613*$H$1610</f>
        <v>1266.6520253164556</v>
      </c>
      <c r="E1613" s="205"/>
      <c r="F1613" s="206">
        <f>C1613</f>
        <v>30019.652999999998</v>
      </c>
      <c r="G1613" s="204">
        <f>F1613*$H$1610</f>
        <v>1266.6520253164556</v>
      </c>
      <c r="H1613" s="205"/>
      <c r="I1613" s="27"/>
      <c r="J1613" s="26"/>
      <c r="K1613" s="106"/>
      <c r="L1613" s="106"/>
      <c r="M1613" s="106"/>
    </row>
    <row r="1614" spans="2:13">
      <c r="B1614" s="100" t="s">
        <v>11</v>
      </c>
      <c r="C1614" s="221"/>
      <c r="D1614" s="174"/>
      <c r="E1614" s="206"/>
      <c r="F1614" s="206"/>
      <c r="G1614" s="174"/>
      <c r="H1614" s="206"/>
      <c r="J1614" s="178" t="s">
        <v>12</v>
      </c>
      <c r="K1614" s="216">
        <f>113164.01+6972.562</f>
        <v>120136.572</v>
      </c>
      <c r="L1614" s="217">
        <f>K1614*$H$1610</f>
        <v>5069.0536708860755</v>
      </c>
      <c r="M1614" s="180">
        <f>+K1614/K1619</f>
        <v>3.0973411710109056</v>
      </c>
    </row>
    <row r="1615" spans="2:13">
      <c r="B1615" s="83" t="s">
        <v>21</v>
      </c>
      <c r="C1615" s="221">
        <f>Model!AK122</f>
        <v>4702.4399999999996</v>
      </c>
      <c r="D1615" s="204">
        <f t="shared" ref="D1615:D1623" si="126">C1615*$H$1610</f>
        <v>198.41518987341769</v>
      </c>
      <c r="E1615" s="206"/>
      <c r="F1615" s="206">
        <f t="shared" ref="F1615:F1620" si="127">C1615</f>
        <v>4702.4399999999996</v>
      </c>
      <c r="G1615" s="204">
        <f t="shared" ref="G1615:G1623" si="128">F1615*$H$1610</f>
        <v>198.41518987341769</v>
      </c>
      <c r="H1615" s="206"/>
      <c r="J1615" s="181" t="s">
        <v>13</v>
      </c>
      <c r="K1615" s="218">
        <f>C1635</f>
        <v>25442.819</v>
      </c>
      <c r="L1615" s="218">
        <f>K1615*$H$1610</f>
        <v>1073.5366666666666</v>
      </c>
      <c r="M1615" s="175"/>
    </row>
    <row r="1616" spans="2:13">
      <c r="B1616" s="83" t="s">
        <v>162</v>
      </c>
      <c r="C1616" s="221">
        <f>Model!AK121</f>
        <v>18809.759999999998</v>
      </c>
      <c r="D1616" s="204">
        <f t="shared" si="126"/>
        <v>793.66075949367075</v>
      </c>
      <c r="E1616" s="206"/>
      <c r="F1616" s="206">
        <f t="shared" si="127"/>
        <v>18809.759999999998</v>
      </c>
      <c r="G1616" s="204">
        <f t="shared" si="128"/>
        <v>793.66075949367075</v>
      </c>
      <c r="H1616" s="206"/>
      <c r="J1616" s="178" t="s">
        <v>14</v>
      </c>
      <c r="K1616" s="217">
        <f>+K1614-K1615</f>
        <v>94693.752999999997</v>
      </c>
      <c r="L1616" s="217">
        <f>+L1614-L1615</f>
        <v>3995.5170042194086</v>
      </c>
      <c r="M1616" s="180">
        <f>+K1616/K1619</f>
        <v>2.4413786320158817</v>
      </c>
    </row>
    <row r="1617" spans="2:13">
      <c r="B1617" s="83" t="s">
        <v>17</v>
      </c>
      <c r="C1617" s="221">
        <f>Model!AK120</f>
        <v>18809.759999999998</v>
      </c>
      <c r="D1617" s="204">
        <f t="shared" si="126"/>
        <v>793.66075949367075</v>
      </c>
      <c r="E1617" s="206"/>
      <c r="F1617" s="206">
        <f t="shared" si="127"/>
        <v>18809.759999999998</v>
      </c>
      <c r="G1617" s="204">
        <f t="shared" si="128"/>
        <v>793.66075949367075</v>
      </c>
      <c r="H1617" s="206"/>
      <c r="J1617" s="183" t="s">
        <v>16</v>
      </c>
      <c r="K1617" s="219">
        <f>C1637</f>
        <v>96419.002999999997</v>
      </c>
      <c r="L1617" s="219">
        <f>K1617*$H$1610</f>
        <v>4068.3123628691978</v>
      </c>
      <c r="M1617" s="175"/>
    </row>
    <row r="1618" spans="2:13">
      <c r="B1618" s="83" t="s">
        <v>15</v>
      </c>
      <c r="C1618" s="221">
        <f>Model!AK119</f>
        <v>11756.1</v>
      </c>
      <c r="D1618" s="204">
        <f t="shared" si="126"/>
        <v>496.03797468354429</v>
      </c>
      <c r="E1618" s="206"/>
      <c r="F1618" s="206">
        <f t="shared" si="127"/>
        <v>11756.1</v>
      </c>
      <c r="G1618" s="204">
        <f t="shared" si="128"/>
        <v>496.03797468354429</v>
      </c>
      <c r="H1618" s="206"/>
      <c r="J1618" s="183" t="s">
        <v>18</v>
      </c>
      <c r="K1618" s="219">
        <f>K1614+K1617</f>
        <v>216555.57500000001</v>
      </c>
      <c r="L1618" s="219"/>
      <c r="M1618" s="175"/>
    </row>
    <row r="1619" spans="2:13">
      <c r="B1619" s="83" t="s">
        <v>96</v>
      </c>
      <c r="C1619" s="221">
        <f>Model!AK132</f>
        <v>15282.93</v>
      </c>
      <c r="D1619" s="204">
        <f t="shared" si="126"/>
        <v>644.84936708860755</v>
      </c>
      <c r="E1619" s="206"/>
      <c r="F1619" s="206">
        <f t="shared" si="127"/>
        <v>15282.93</v>
      </c>
      <c r="G1619" s="204">
        <f t="shared" si="128"/>
        <v>644.84936708860755</v>
      </c>
      <c r="H1619" s="206"/>
      <c r="J1619" s="181" t="s">
        <v>20</v>
      </c>
      <c r="K1619" s="220">
        <f>C1639</f>
        <v>38787</v>
      </c>
      <c r="L1619" s="220"/>
      <c r="M1619" s="175"/>
    </row>
    <row r="1620" spans="2:13">
      <c r="B1620" s="83" t="s">
        <v>34</v>
      </c>
      <c r="C1620" s="221">
        <f>Model!AK133</f>
        <v>14107.32</v>
      </c>
      <c r="D1620" s="204">
        <f t="shared" si="126"/>
        <v>595.24556962025315</v>
      </c>
      <c r="E1620" s="206"/>
      <c r="F1620" s="206">
        <f t="shared" si="127"/>
        <v>14107.32</v>
      </c>
      <c r="G1620" s="204">
        <f t="shared" si="128"/>
        <v>595.24556962025315</v>
      </c>
      <c r="H1620" s="206"/>
      <c r="J1620" s="181"/>
      <c r="K1620" s="220"/>
      <c r="L1620" s="220"/>
      <c r="M1620" s="175"/>
    </row>
    <row r="1621" spans="2:13">
      <c r="B1621" s="100" t="s">
        <v>97</v>
      </c>
      <c r="C1621" s="221"/>
      <c r="D1621" s="204">
        <f t="shared" si="126"/>
        <v>0</v>
      </c>
      <c r="E1621" s="206"/>
      <c r="F1621" s="206"/>
      <c r="G1621" s="204">
        <f t="shared" si="128"/>
        <v>0</v>
      </c>
      <c r="H1621" s="206"/>
    </row>
    <row r="1622" spans="2:13">
      <c r="B1622" s="83" t="s">
        <v>26</v>
      </c>
      <c r="C1622" s="221">
        <f>Model!AK125</f>
        <v>7706.3389999999999</v>
      </c>
      <c r="D1622" s="204">
        <f t="shared" si="126"/>
        <v>325.16198312236287</v>
      </c>
      <c r="E1622" s="206"/>
      <c r="F1622" s="206">
        <f>C1622</f>
        <v>7706.3389999999999</v>
      </c>
      <c r="G1622" s="204">
        <f t="shared" si="128"/>
        <v>325.16198312236287</v>
      </c>
      <c r="H1622" s="206"/>
      <c r="I1622" s="102"/>
    </row>
    <row r="1623" spans="2:13">
      <c r="B1623" s="83" t="s">
        <v>30</v>
      </c>
      <c r="C1623" s="221">
        <f>Model!AK129</f>
        <v>9633.1010000000006</v>
      </c>
      <c r="D1623" s="204">
        <f t="shared" si="126"/>
        <v>406.45995780590715</v>
      </c>
      <c r="E1623" s="206"/>
      <c r="F1623" s="206">
        <f>C1623</f>
        <v>9633.1010000000006</v>
      </c>
      <c r="G1623" s="204">
        <f t="shared" si="128"/>
        <v>406.45995780590715</v>
      </c>
      <c r="H1623" s="206"/>
    </row>
    <row r="1624" spans="2:13">
      <c r="B1624" s="100" t="s">
        <v>98</v>
      </c>
      <c r="C1624" s="221"/>
      <c r="D1624" s="204"/>
      <c r="E1624" s="206"/>
      <c r="F1624" s="206"/>
      <c r="G1624" s="204"/>
      <c r="H1624" s="206"/>
    </row>
    <row r="1625" spans="2:13">
      <c r="B1625" s="100" t="s">
        <v>99</v>
      </c>
      <c r="C1625" s="221"/>
      <c r="D1625" s="204"/>
      <c r="E1625" s="206"/>
      <c r="F1625" s="206"/>
      <c r="G1625" s="204"/>
      <c r="H1625" s="206"/>
    </row>
    <row r="1626" spans="2:13">
      <c r="B1626" s="83" t="s">
        <v>99</v>
      </c>
      <c r="C1626" s="221">
        <v>0</v>
      </c>
      <c r="D1626" s="204">
        <f t="shared" ref="D1626:D1633" si="129">C1626*$H$1610</f>
        <v>0</v>
      </c>
      <c r="E1626" s="206"/>
      <c r="F1626" s="206">
        <f t="shared" ref="F1626:F1632" si="130">C1626</f>
        <v>0</v>
      </c>
      <c r="G1626" s="204">
        <f t="shared" ref="G1626:G1632" si="131">F1626*$H$1610</f>
        <v>0</v>
      </c>
      <c r="H1626" s="206"/>
    </row>
    <row r="1627" spans="2:13">
      <c r="B1627" s="83" t="s">
        <v>100</v>
      </c>
      <c r="C1627" s="221">
        <f>Model!AK123</f>
        <v>0</v>
      </c>
      <c r="D1627" s="204">
        <f t="shared" si="129"/>
        <v>0</v>
      </c>
      <c r="E1627" s="206"/>
      <c r="F1627" s="206">
        <f t="shared" si="130"/>
        <v>0</v>
      </c>
      <c r="G1627" s="204">
        <f t="shared" si="131"/>
        <v>0</v>
      </c>
      <c r="H1627" s="206"/>
    </row>
    <row r="1628" spans="2:13">
      <c r="B1628" s="83" t="s">
        <v>101</v>
      </c>
      <c r="C1628" s="221">
        <v>0</v>
      </c>
      <c r="D1628" s="204">
        <f t="shared" si="129"/>
        <v>0</v>
      </c>
      <c r="E1628" s="206"/>
      <c r="F1628" s="206">
        <f t="shared" si="130"/>
        <v>0</v>
      </c>
      <c r="G1628" s="204">
        <f t="shared" si="131"/>
        <v>0</v>
      </c>
      <c r="H1628" s="206"/>
    </row>
    <row r="1629" spans="2:13">
      <c r="B1629" s="83" t="s">
        <v>102</v>
      </c>
      <c r="C1629" s="221">
        <f>Model!AK124</f>
        <v>0</v>
      </c>
      <c r="D1629" s="204">
        <f t="shared" si="129"/>
        <v>0</v>
      </c>
      <c r="E1629" s="206"/>
      <c r="F1629" s="206">
        <f t="shared" si="130"/>
        <v>0</v>
      </c>
      <c r="G1629" s="204">
        <f t="shared" si="131"/>
        <v>0</v>
      </c>
      <c r="H1629" s="206"/>
    </row>
    <row r="1630" spans="2:13">
      <c r="B1630" s="83" t="s">
        <v>104</v>
      </c>
      <c r="C1630" s="221">
        <f>Model!AK144</f>
        <v>16557.428</v>
      </c>
      <c r="D1630" s="204">
        <f t="shared" si="129"/>
        <v>698.6256540084388</v>
      </c>
      <c r="E1630" s="206"/>
      <c r="F1630" s="206">
        <f t="shared" si="130"/>
        <v>16557.428</v>
      </c>
      <c r="G1630" s="204">
        <f t="shared" si="131"/>
        <v>698.6256540084388</v>
      </c>
      <c r="H1630" s="206"/>
    </row>
    <row r="1631" spans="2:13">
      <c r="B1631" s="83" t="s">
        <v>105</v>
      </c>
      <c r="C1631" s="221">
        <f>Model!AK155</f>
        <v>3343.489</v>
      </c>
      <c r="D1631" s="204">
        <f t="shared" si="129"/>
        <v>141.07548523206751</v>
      </c>
      <c r="E1631" s="206"/>
      <c r="F1631" s="206">
        <f t="shared" si="130"/>
        <v>3343.489</v>
      </c>
      <c r="G1631" s="204">
        <f t="shared" si="131"/>
        <v>141.07548523206751</v>
      </c>
      <c r="H1631" s="206"/>
    </row>
    <row r="1632" spans="2:13">
      <c r="B1632" s="83" t="s">
        <v>58</v>
      </c>
      <c r="C1632" s="221">
        <f>Model!AK157</f>
        <v>-572.09500000000003</v>
      </c>
      <c r="D1632" s="204">
        <f t="shared" si="129"/>
        <v>-24.139029535864978</v>
      </c>
      <c r="E1632" s="206"/>
      <c r="F1632" s="206">
        <f t="shared" si="130"/>
        <v>-572.09500000000003</v>
      </c>
      <c r="G1632" s="204">
        <f t="shared" si="131"/>
        <v>-24.139029535864978</v>
      </c>
      <c r="H1632" s="206"/>
    </row>
    <row r="1633" spans="1:16" s="27" customFormat="1">
      <c r="A1633" s="28"/>
      <c r="B1633" s="161" t="s">
        <v>124</v>
      </c>
      <c r="C1633" s="222">
        <f>Model!AK170</f>
        <v>9588.7630000000008</v>
      </c>
      <c r="D1633" s="207">
        <f t="shared" si="129"/>
        <v>404.58915611814348</v>
      </c>
      <c r="E1633" s="207"/>
      <c r="F1633" s="207"/>
      <c r="G1633" s="207"/>
      <c r="H1633" s="207"/>
      <c r="I1633" s="28"/>
      <c r="J1633" s="28"/>
      <c r="K1633" s="28"/>
      <c r="L1633" s="28"/>
      <c r="M1633" s="28"/>
      <c r="N1633" s="28"/>
      <c r="O1633" s="28"/>
      <c r="P1633" s="28"/>
    </row>
    <row r="1634" spans="1:16">
      <c r="B1634" s="35" t="s">
        <v>12</v>
      </c>
      <c r="C1634" s="208">
        <f>SUM(C1613:C1633)</f>
        <v>159744.98800000001</v>
      </c>
      <c r="D1634" s="208">
        <f>SUM(D1613:D1633)</f>
        <v>6740.2948523206742</v>
      </c>
      <c r="E1634" s="36">
        <f>+C1634/C1639</f>
        <v>4.1185187820661566</v>
      </c>
      <c r="F1634" s="208">
        <f>SUM(F1613:F1633)</f>
        <v>150156.22500000001</v>
      </c>
      <c r="G1634" s="208">
        <f>SUM(G1613:G1633)</f>
        <v>6335.7056962025308</v>
      </c>
      <c r="H1634" s="36">
        <f>+F1634/F1639</f>
        <v>3.8713028849872382</v>
      </c>
      <c r="I1634" s="145"/>
    </row>
    <row r="1635" spans="1:16">
      <c r="B1635" s="34" t="s">
        <v>13</v>
      </c>
      <c r="C1635" s="209">
        <f>+Model!AK165</f>
        <v>25442.819</v>
      </c>
      <c r="D1635" s="204">
        <f>C1635*$H$1610</f>
        <v>1073.5366666666666</v>
      </c>
      <c r="E1635" s="210"/>
      <c r="F1635" s="209">
        <f>C1635</f>
        <v>25442.819</v>
      </c>
      <c r="G1635" s="204">
        <f>F1635*$H$1610</f>
        <v>1073.5366666666666</v>
      </c>
      <c r="H1635" s="210"/>
    </row>
    <row r="1636" spans="1:16">
      <c r="B1636" s="35" t="s">
        <v>14</v>
      </c>
      <c r="C1636" s="208">
        <f>+C1634-C1635</f>
        <v>134302.16900000002</v>
      </c>
      <c r="D1636" s="208">
        <f>+D1634-D1635</f>
        <v>5666.7581856540073</v>
      </c>
      <c r="E1636" s="36">
        <f>+C1636/C1639</f>
        <v>3.4625562430711327</v>
      </c>
      <c r="F1636" s="208">
        <f>F1634-F1635</f>
        <v>124713.406</v>
      </c>
      <c r="G1636" s="208">
        <f>+G1634-G1635</f>
        <v>5262.169029535864</v>
      </c>
      <c r="H1636" s="36">
        <f>+F1636/F1639</f>
        <v>3.2153403459922139</v>
      </c>
    </row>
    <row r="1637" spans="1:16">
      <c r="B1637" s="69" t="s">
        <v>16</v>
      </c>
      <c r="C1637" s="211">
        <f>+Model!AK186</f>
        <v>96419.002999999997</v>
      </c>
      <c r="D1637" s="204">
        <f>C1637*$H$1610</f>
        <v>4068.3123628691978</v>
      </c>
      <c r="E1637" s="212"/>
      <c r="F1637" s="211"/>
      <c r="G1637" s="204"/>
      <c r="H1637" s="212"/>
    </row>
    <row r="1638" spans="1:16">
      <c r="B1638" s="69" t="s">
        <v>18</v>
      </c>
      <c r="C1638" s="211">
        <f>C1634+C1637</f>
        <v>256163.99100000001</v>
      </c>
      <c r="D1638" s="211"/>
      <c r="E1638" s="212"/>
      <c r="F1638" s="211"/>
      <c r="G1638" s="211"/>
      <c r="H1638" s="212"/>
    </row>
    <row r="1639" spans="1:16">
      <c r="B1639" s="181" t="s">
        <v>20</v>
      </c>
      <c r="C1639" s="213">
        <f>+Model!AK92</f>
        <v>38787</v>
      </c>
      <c r="D1639" s="213"/>
      <c r="E1639" s="210"/>
      <c r="F1639" s="210">
        <f>C1639</f>
        <v>38787</v>
      </c>
      <c r="G1639" s="213"/>
      <c r="H1639" s="210"/>
    </row>
    <row r="1641" spans="1:16">
      <c r="B1641" s="101" t="s">
        <v>59</v>
      </c>
      <c r="C1641" s="229">
        <f>Model!AK179-Capitalisation!C1634</f>
        <v>0</v>
      </c>
      <c r="D1641" s="103"/>
      <c r="G1641" s="103"/>
    </row>
    <row r="1642" spans="1:16">
      <c r="B1642" s="101"/>
      <c r="C1642" s="103"/>
    </row>
    <row r="1643" spans="1:16">
      <c r="B1643" s="35" t="s">
        <v>60</v>
      </c>
      <c r="C1643" s="88">
        <f>C1636+Model!AK185</f>
        <v>288308.16899999999</v>
      </c>
    </row>
    <row r="1644" spans="1:16">
      <c r="B1644" s="35" t="s">
        <v>61</v>
      </c>
      <c r="C1644" s="36">
        <f>C1643/C1639</f>
        <v>7.4331133885064586</v>
      </c>
    </row>
    <row r="1646" spans="1:16" ht="15" customHeight="1" thickBot="1"/>
    <row r="1647" spans="1:16" ht="15" customHeight="1">
      <c r="B1647" s="78" t="s">
        <v>214</v>
      </c>
      <c r="C1647" s="153" t="s">
        <v>4</v>
      </c>
      <c r="D1647" s="153" t="s">
        <v>5</v>
      </c>
      <c r="E1647" s="104"/>
      <c r="F1647" s="104"/>
    </row>
    <row r="1648" spans="1:16" ht="15" customHeight="1">
      <c r="B1648" s="79" t="s">
        <v>108</v>
      </c>
      <c r="C1648" s="214">
        <f>1300/H1610</f>
        <v>30810</v>
      </c>
      <c r="D1648" s="202">
        <f>C1648*H1610</f>
        <v>1300</v>
      </c>
      <c r="E1648" s="105"/>
      <c r="F1648" s="105"/>
    </row>
    <row r="1649" spans="2:7" ht="15" customHeight="1">
      <c r="B1649" s="79" t="s">
        <v>63</v>
      </c>
      <c r="C1649" s="202">
        <f>C1635</f>
        <v>25442.819</v>
      </c>
      <c r="D1649" s="202">
        <f>C1649*H1610</f>
        <v>1073.5366666666666</v>
      </c>
      <c r="E1649" s="105"/>
    </row>
    <row r="1650" spans="2:7" ht="13.5" thickBot="1">
      <c r="B1650" s="80" t="s">
        <v>64</v>
      </c>
      <c r="C1650" s="203">
        <f>SUM(C1648:C1649)</f>
        <v>56252.819000000003</v>
      </c>
      <c r="D1650" s="203">
        <f>SUM(D1648:D1649)</f>
        <v>2373.5366666666669</v>
      </c>
      <c r="E1650" s="105"/>
    </row>
    <row r="1652" spans="2:7">
      <c r="C1652" s="30"/>
    </row>
    <row r="1653" spans="2:7" ht="13.5" thickBot="1"/>
    <row r="1654" spans="2:7" ht="13.5" thickBot="1">
      <c r="B1654" s="185" t="s">
        <v>215</v>
      </c>
      <c r="C1654" s="189" t="s">
        <v>4</v>
      </c>
      <c r="D1654" s="186" t="s">
        <v>5</v>
      </c>
      <c r="E1654" s="66"/>
    </row>
    <row r="1655" spans="2:7">
      <c r="B1655" s="144">
        <v>2020</v>
      </c>
      <c r="C1655" s="199">
        <f>Model!AK114</f>
        <v>6972.5619999999999</v>
      </c>
      <c r="D1655" s="200">
        <f t="shared" ref="D1655:D1661" si="132">+C1655*$H$1610</f>
        <v>294.2009282700422</v>
      </c>
    </row>
    <row r="1656" spans="2:7">
      <c r="B1656" s="144">
        <v>2021</v>
      </c>
      <c r="C1656" s="199">
        <v>408.74799999999999</v>
      </c>
      <c r="D1656" s="200">
        <f t="shared" si="132"/>
        <v>17.246751054852318</v>
      </c>
    </row>
    <row r="1657" spans="2:7">
      <c r="B1657" s="144">
        <v>2022</v>
      </c>
      <c r="C1657" s="199">
        <v>19267.754000000001</v>
      </c>
      <c r="D1657" s="200">
        <f t="shared" si="132"/>
        <v>812.98540084388185</v>
      </c>
      <c r="F1657" s="66" t="s">
        <v>216</v>
      </c>
    </row>
    <row r="1658" spans="2:7">
      <c r="B1658" s="144">
        <v>2023</v>
      </c>
      <c r="C1658" s="199">
        <v>16641.452000000001</v>
      </c>
      <c r="D1658" s="200">
        <f t="shared" si="132"/>
        <v>702.17097046413505</v>
      </c>
      <c r="F1658" s="28" t="s">
        <v>70</v>
      </c>
      <c r="G1658" s="215">
        <v>0.63</v>
      </c>
    </row>
    <row r="1659" spans="2:7">
      <c r="B1659" s="144">
        <v>2024</v>
      </c>
      <c r="C1659" s="199">
        <v>18811.349999999999</v>
      </c>
      <c r="D1659" s="200">
        <f t="shared" si="132"/>
        <v>793.72784810126575</v>
      </c>
      <c r="F1659" s="28" t="s">
        <v>71</v>
      </c>
      <c r="G1659" s="215">
        <v>0.05</v>
      </c>
    </row>
    <row r="1660" spans="2:7">
      <c r="B1660" s="144" t="s">
        <v>206</v>
      </c>
      <c r="C1660" s="199">
        <v>58034.705999999998</v>
      </c>
      <c r="D1660" s="200">
        <f t="shared" si="132"/>
        <v>2448.7217721518987</v>
      </c>
      <c r="F1660" s="28" t="s">
        <v>72</v>
      </c>
      <c r="G1660" s="215">
        <v>0.31</v>
      </c>
    </row>
    <row r="1661" spans="2:7" ht="13.5" thickBot="1">
      <c r="B1661" s="144" t="s">
        <v>67</v>
      </c>
      <c r="C1661" s="246">
        <f>C1613</f>
        <v>30019.652999999998</v>
      </c>
      <c r="D1661" s="200">
        <f t="shared" si="132"/>
        <v>1266.6520253164556</v>
      </c>
      <c r="F1661" s="28" t="s">
        <v>73</v>
      </c>
      <c r="G1661" s="215">
        <v>0.01</v>
      </c>
    </row>
    <row r="1662" spans="2:7" ht="13.5" thickBot="1">
      <c r="B1662" s="185" t="s">
        <v>68</v>
      </c>
      <c r="C1662" s="198">
        <f>SUM(C1655:C1661)</f>
        <v>150156.22500000001</v>
      </c>
      <c r="D1662" s="201">
        <f>SUM(D1655:D1661)</f>
        <v>6335.7056962025317</v>
      </c>
      <c r="G1662" s="127"/>
    </row>
    <row r="1663" spans="2:7">
      <c r="B1663" s="66"/>
      <c r="C1663" s="237"/>
      <c r="D1663" s="237"/>
      <c r="G1663" s="127"/>
    </row>
    <row r="1664" spans="2:7">
      <c r="B1664" s="238" t="s">
        <v>59</v>
      </c>
      <c r="C1664" s="239">
        <f>C1662-F1634</f>
        <v>0</v>
      </c>
      <c r="D1664" s="237"/>
      <c r="G1664" s="127"/>
    </row>
    <row r="1665" spans="2:13" ht="12" customHeight="1">
      <c r="B1665" s="66"/>
      <c r="C1665" s="237"/>
      <c r="D1665" s="237"/>
      <c r="G1665" s="127"/>
    </row>
    <row r="1666" spans="2:13">
      <c r="G1666" s="66" t="s">
        <v>217</v>
      </c>
      <c r="H1666" s="241">
        <f>Model!AJ267</f>
        <v>5.2829271642831861E-2</v>
      </c>
      <c r="J1666" s="184" t="s">
        <v>8</v>
      </c>
    </row>
    <row r="1667" spans="2:13">
      <c r="B1667" s="391" t="s">
        <v>218</v>
      </c>
      <c r="C1667" s="391"/>
      <c r="D1667" s="391"/>
      <c r="E1667" s="391"/>
      <c r="F1667" s="391"/>
      <c r="G1667" s="391"/>
      <c r="H1667" s="391"/>
      <c r="I1667" s="82"/>
      <c r="J1667" s="392" t="s">
        <v>218</v>
      </c>
      <c r="K1667" s="392"/>
      <c r="L1667" s="392"/>
      <c r="M1667" s="175"/>
    </row>
    <row r="1668" spans="2:13" ht="25.5">
      <c r="B1668" s="26" t="s">
        <v>4</v>
      </c>
      <c r="C1668" s="106" t="s">
        <v>4</v>
      </c>
      <c r="D1668" s="106" t="s">
        <v>5</v>
      </c>
      <c r="E1668" s="166" t="s">
        <v>94</v>
      </c>
      <c r="F1668" s="106" t="s">
        <v>4</v>
      </c>
      <c r="G1668" s="106" t="s">
        <v>5</v>
      </c>
      <c r="H1668" s="166" t="s">
        <v>95</v>
      </c>
      <c r="I1668" s="27"/>
      <c r="J1668" s="26"/>
      <c r="K1668" s="106" t="s">
        <v>4</v>
      </c>
      <c r="L1668" s="106" t="s">
        <v>5</v>
      </c>
      <c r="M1668" s="106" t="s">
        <v>85</v>
      </c>
    </row>
    <row r="1669" spans="2:13">
      <c r="B1669" s="83" t="s">
        <v>10</v>
      </c>
      <c r="C1669" s="221">
        <f>Model!AJ176</f>
        <v>25340.366000000002</v>
      </c>
      <c r="D1669" s="204">
        <f>C1669*$H$1666</f>
        <v>1338.7130789427808</v>
      </c>
      <c r="E1669" s="205"/>
      <c r="F1669" s="206">
        <f>C1669</f>
        <v>25340.366000000002</v>
      </c>
      <c r="G1669" s="204">
        <f>F1669*$H$1666</f>
        <v>1338.7130789427808</v>
      </c>
      <c r="H1669" s="205"/>
      <c r="I1669" s="27"/>
      <c r="J1669" s="26"/>
      <c r="K1669" s="106"/>
      <c r="L1669" s="106"/>
      <c r="M1669" s="106"/>
    </row>
    <row r="1670" spans="2:13">
      <c r="B1670" s="100" t="s">
        <v>11</v>
      </c>
      <c r="C1670" s="221"/>
      <c r="D1670" s="174"/>
      <c r="E1670" s="206"/>
      <c r="F1670" s="206"/>
      <c r="G1670" s="174"/>
      <c r="H1670" s="206"/>
      <c r="J1670" s="178" t="s">
        <v>12</v>
      </c>
      <c r="K1670" s="216">
        <f>81263.659+5408.118</f>
        <v>86671.777000000002</v>
      </c>
      <c r="L1670" s="217">
        <f>K1670*$H$1666</f>
        <v>4578.8068508999468</v>
      </c>
      <c r="M1670" s="180">
        <f>+K1670/K1675</f>
        <v>2.288484593245848</v>
      </c>
    </row>
    <row r="1671" spans="2:13">
      <c r="B1671" s="83" t="s">
        <v>21</v>
      </c>
      <c r="C1671" s="221">
        <f>Model!AJ122</f>
        <v>3769.04</v>
      </c>
      <c r="D1671" s="204">
        <f t="shared" ref="D1671:D1676" si="133">C1671*$H$1666</f>
        <v>199.11563799269899</v>
      </c>
      <c r="E1671" s="206"/>
      <c r="F1671" s="206">
        <f t="shared" ref="F1671:F1676" si="134">C1671</f>
        <v>3769.04</v>
      </c>
      <c r="G1671" s="204">
        <f t="shared" ref="G1671:G1676" si="135">F1671*$H$1666</f>
        <v>199.11563799269899</v>
      </c>
      <c r="H1671" s="206"/>
      <c r="J1671" s="181" t="s">
        <v>13</v>
      </c>
      <c r="K1671" s="218">
        <f>C1691</f>
        <v>6251.2849999999999</v>
      </c>
      <c r="L1671" s="218">
        <f>K1671*$H$1666</f>
        <v>330.25083338176017</v>
      </c>
      <c r="M1671" s="175"/>
    </row>
    <row r="1672" spans="2:13">
      <c r="B1672" s="83" t="s">
        <v>162</v>
      </c>
      <c r="C1672" s="221">
        <f>Model!AJ121</f>
        <v>15076.16</v>
      </c>
      <c r="D1672" s="204">
        <f t="shared" si="133"/>
        <v>796.46255197079597</v>
      </c>
      <c r="E1672" s="206"/>
      <c r="F1672" s="206">
        <f t="shared" si="134"/>
        <v>15076.16</v>
      </c>
      <c r="G1672" s="204">
        <f t="shared" si="135"/>
        <v>796.46255197079597</v>
      </c>
      <c r="H1672" s="206"/>
      <c r="J1672" s="178" t="s">
        <v>14</v>
      </c>
      <c r="K1672" s="217">
        <f>+K1670-K1671</f>
        <v>80420.491999999998</v>
      </c>
      <c r="L1672" s="217">
        <f>+L1670-L1671</f>
        <v>4248.5560175181863</v>
      </c>
      <c r="M1672" s="180">
        <f>+K1672/K1675</f>
        <v>2.123425448208486</v>
      </c>
    </row>
    <row r="1673" spans="2:13">
      <c r="B1673" s="83" t="s">
        <v>17</v>
      </c>
      <c r="C1673" s="221">
        <f>Model!AJ120</f>
        <v>15076.16</v>
      </c>
      <c r="D1673" s="204">
        <f t="shared" si="133"/>
        <v>796.46255197079597</v>
      </c>
      <c r="E1673" s="206"/>
      <c r="F1673" s="206">
        <f t="shared" si="134"/>
        <v>15076.16</v>
      </c>
      <c r="G1673" s="204">
        <f t="shared" si="135"/>
        <v>796.46255197079597</v>
      </c>
      <c r="H1673" s="206"/>
      <c r="J1673" s="183" t="s">
        <v>16</v>
      </c>
      <c r="K1673" s="219">
        <f>C1693</f>
        <v>78311.436000000002</v>
      </c>
      <c r="L1673" s="219">
        <f>K1673*$H$1666</f>
        <v>4137.1361251842418</v>
      </c>
      <c r="M1673" s="175"/>
    </row>
    <row r="1674" spans="2:13">
      <c r="B1674" s="83" t="s">
        <v>15</v>
      </c>
      <c r="C1674" s="221">
        <f>Model!AJ119</f>
        <v>9422.6</v>
      </c>
      <c r="D1674" s="204">
        <f t="shared" si="133"/>
        <v>497.7890949817475</v>
      </c>
      <c r="E1674" s="206"/>
      <c r="F1674" s="206">
        <f t="shared" si="134"/>
        <v>9422.6</v>
      </c>
      <c r="G1674" s="204">
        <f t="shared" si="135"/>
        <v>497.7890949817475</v>
      </c>
      <c r="H1674" s="206"/>
      <c r="J1674" s="183" t="s">
        <v>18</v>
      </c>
      <c r="K1674" s="219">
        <f>K1670+K1673</f>
        <v>164983.21299999999</v>
      </c>
      <c r="L1674" s="219"/>
      <c r="M1674" s="175"/>
    </row>
    <row r="1675" spans="2:13">
      <c r="B1675" s="83" t="s">
        <v>96</v>
      </c>
      <c r="C1675" s="221">
        <f>Model!AJ132</f>
        <v>12249.38</v>
      </c>
      <c r="D1675" s="204">
        <f t="shared" si="133"/>
        <v>647.12582347627165</v>
      </c>
      <c r="E1675" s="206"/>
      <c r="F1675" s="206">
        <f t="shared" si="134"/>
        <v>12249.38</v>
      </c>
      <c r="G1675" s="204">
        <f t="shared" si="135"/>
        <v>647.12582347627165</v>
      </c>
      <c r="H1675" s="206"/>
      <c r="J1675" s="181" t="s">
        <v>20</v>
      </c>
      <c r="K1675" s="220">
        <f>C1695</f>
        <v>37873</v>
      </c>
      <c r="L1675" s="220"/>
      <c r="M1675" s="175"/>
    </row>
    <row r="1676" spans="2:13">
      <c r="B1676" s="83" t="s">
        <v>34</v>
      </c>
      <c r="C1676" s="221">
        <f>Model!AJ133</f>
        <v>11307.12</v>
      </c>
      <c r="D1676" s="204">
        <f t="shared" si="133"/>
        <v>597.34691397809706</v>
      </c>
      <c r="E1676" s="206"/>
      <c r="F1676" s="206">
        <f t="shared" si="134"/>
        <v>11307.12</v>
      </c>
      <c r="G1676" s="204">
        <f t="shared" si="135"/>
        <v>597.34691397809706</v>
      </c>
      <c r="H1676" s="206"/>
      <c r="J1676" s="181"/>
      <c r="K1676" s="220"/>
      <c r="L1676" s="220"/>
      <c r="M1676" s="175"/>
    </row>
    <row r="1677" spans="2:13">
      <c r="B1677" s="100" t="s">
        <v>97</v>
      </c>
      <c r="C1677" s="221"/>
      <c r="D1677" s="204"/>
      <c r="E1677" s="206"/>
      <c r="F1677" s="206"/>
      <c r="G1677" s="204"/>
      <c r="H1677" s="206"/>
    </row>
    <row r="1678" spans="2:13">
      <c r="B1678" s="83" t="s">
        <v>26</v>
      </c>
      <c r="C1678" s="221">
        <f>Model!AJ125</f>
        <v>7706.3379999999997</v>
      </c>
      <c r="D1678" s="204">
        <f>C1678*$H$1666</f>
        <v>407.12022357347757</v>
      </c>
      <c r="E1678" s="206"/>
      <c r="F1678" s="206">
        <f>C1678</f>
        <v>7706.3379999999997</v>
      </c>
      <c r="G1678" s="204">
        <f>F1678*$H$1666</f>
        <v>407.12022357347757</v>
      </c>
      <c r="H1678" s="206"/>
      <c r="I1678" s="102"/>
    </row>
    <row r="1679" spans="2:13">
      <c r="B1679" s="83" t="s">
        <v>30</v>
      </c>
      <c r="C1679" s="221">
        <f>Model!AJ129</f>
        <v>9633.1020000000008</v>
      </c>
      <c r="D1679" s="204">
        <f>C1679*$H$1666</f>
        <v>508.90976232110694</v>
      </c>
      <c r="E1679" s="206"/>
      <c r="F1679" s="206">
        <f>C1679</f>
        <v>9633.1020000000008</v>
      </c>
      <c r="G1679" s="204">
        <f>F1679*$H$1666</f>
        <v>508.90976232110694</v>
      </c>
      <c r="H1679" s="206"/>
    </row>
    <row r="1680" spans="2:13">
      <c r="B1680" s="100" t="s">
        <v>98</v>
      </c>
      <c r="C1680" s="221"/>
      <c r="D1680" s="204"/>
      <c r="E1680" s="206"/>
      <c r="F1680" s="206"/>
      <c r="G1680" s="204"/>
      <c r="H1680" s="206"/>
    </row>
    <row r="1681" spans="2:9">
      <c r="B1681" s="100" t="s">
        <v>99</v>
      </c>
      <c r="C1681" s="221"/>
      <c r="D1681" s="204"/>
      <c r="E1681" s="206"/>
      <c r="F1681" s="206"/>
      <c r="G1681" s="204"/>
      <c r="H1681" s="206"/>
    </row>
    <row r="1682" spans="2:9">
      <c r="B1682" s="83" t="s">
        <v>99</v>
      </c>
      <c r="C1682" s="221">
        <v>0</v>
      </c>
      <c r="D1682" s="204">
        <f t="shared" ref="D1682:D1689" si="136">C1682*$H$1666</f>
        <v>0</v>
      </c>
      <c r="E1682" s="206"/>
      <c r="F1682" s="206">
        <f t="shared" ref="F1682:F1688" si="137">C1682</f>
        <v>0</v>
      </c>
      <c r="G1682" s="204">
        <f t="shared" ref="G1682:G1688" si="138">F1682*$H$1666</f>
        <v>0</v>
      </c>
      <c r="H1682" s="206"/>
    </row>
    <row r="1683" spans="2:9">
      <c r="B1683" s="83" t="s">
        <v>100</v>
      </c>
      <c r="C1683" s="221">
        <f>Model!AJ123</f>
        <v>0</v>
      </c>
      <c r="D1683" s="204">
        <f t="shared" si="136"/>
        <v>0</v>
      </c>
      <c r="E1683" s="206"/>
      <c r="F1683" s="206">
        <f t="shared" si="137"/>
        <v>0</v>
      </c>
      <c r="G1683" s="204">
        <f t="shared" si="138"/>
        <v>0</v>
      </c>
      <c r="H1683" s="206"/>
    </row>
    <row r="1684" spans="2:9">
      <c r="B1684" s="83" t="s">
        <v>101</v>
      </c>
      <c r="C1684" s="221">
        <v>0</v>
      </c>
      <c r="D1684" s="204">
        <f t="shared" si="136"/>
        <v>0</v>
      </c>
      <c r="E1684" s="206"/>
      <c r="F1684" s="206">
        <f t="shared" si="137"/>
        <v>0</v>
      </c>
      <c r="G1684" s="204">
        <f t="shared" si="138"/>
        <v>0</v>
      </c>
      <c r="H1684" s="206"/>
    </row>
    <row r="1685" spans="2:9">
      <c r="B1685" s="83" t="s">
        <v>102</v>
      </c>
      <c r="C1685" s="221">
        <f>Model!AJ124</f>
        <v>0</v>
      </c>
      <c r="D1685" s="204">
        <f t="shared" si="136"/>
        <v>0</v>
      </c>
      <c r="E1685" s="206"/>
      <c r="F1685" s="206">
        <f t="shared" si="137"/>
        <v>0</v>
      </c>
      <c r="G1685" s="204">
        <f t="shared" si="138"/>
        <v>0</v>
      </c>
      <c r="H1685" s="206"/>
    </row>
    <row r="1686" spans="2:9">
      <c r="B1686" s="83" t="s">
        <v>104</v>
      </c>
      <c r="C1686" s="221">
        <f>Model!I144</f>
        <v>865.26700000000005</v>
      </c>
      <c r="D1686" s="204">
        <f t="shared" si="136"/>
        <v>45.711425386578199</v>
      </c>
      <c r="E1686" s="206"/>
      <c r="F1686" s="206">
        <f t="shared" si="137"/>
        <v>865.26700000000005</v>
      </c>
      <c r="G1686" s="204">
        <f t="shared" si="138"/>
        <v>45.711425386578199</v>
      </c>
      <c r="H1686" s="206"/>
    </row>
    <row r="1687" spans="2:9">
      <c r="B1687" s="83" t="s">
        <v>105</v>
      </c>
      <c r="C1687" s="221">
        <f>Model!AJ155</f>
        <v>2152.203</v>
      </c>
      <c r="D1687" s="204">
        <f t="shared" si="136"/>
        <v>113.69931691751766</v>
      </c>
      <c r="E1687" s="206"/>
      <c r="F1687" s="206">
        <f t="shared" si="137"/>
        <v>2152.203</v>
      </c>
      <c r="G1687" s="204">
        <f t="shared" si="138"/>
        <v>113.69931691751766</v>
      </c>
      <c r="H1687" s="206"/>
    </row>
    <row r="1688" spans="2:9">
      <c r="B1688" s="83" t="s">
        <v>58</v>
      </c>
      <c r="C1688" s="221">
        <f>Model!AJ157</f>
        <v>-585.59400000000005</v>
      </c>
      <c r="D1688" s="204">
        <f t="shared" si="136"/>
        <v>-30.936504498412482</v>
      </c>
      <c r="E1688" s="206"/>
      <c r="F1688" s="206">
        <f t="shared" si="137"/>
        <v>-585.59400000000005</v>
      </c>
      <c r="G1688" s="204">
        <f t="shared" si="138"/>
        <v>-30.936504498412482</v>
      </c>
      <c r="H1688" s="206"/>
    </row>
    <row r="1689" spans="2:9">
      <c r="B1689" s="161" t="s">
        <v>124</v>
      </c>
      <c r="C1689" s="222">
        <f>Model!AJ170</f>
        <v>8931.14</v>
      </c>
      <c r="D1689" s="207">
        <f t="shared" si="136"/>
        <v>471.82562114016133</v>
      </c>
      <c r="E1689" s="207"/>
      <c r="F1689" s="207"/>
      <c r="G1689" s="207"/>
      <c r="H1689" s="207"/>
    </row>
    <row r="1690" spans="2:9">
      <c r="B1690" s="35" t="s">
        <v>12</v>
      </c>
      <c r="C1690" s="208">
        <f>SUM(C1669:C1689)</f>
        <v>120943.28200000002</v>
      </c>
      <c r="D1690" s="208">
        <f>SUM(D1669:D1689)</f>
        <v>6389.3454981536179</v>
      </c>
      <c r="E1690" s="36">
        <f>+C1690/C1695</f>
        <v>3.1933905948828984</v>
      </c>
      <c r="F1690" s="208">
        <f>SUM(F1669:F1689)</f>
        <v>112012.14200000002</v>
      </c>
      <c r="G1690" s="208">
        <f>SUM(G1669:G1689)</f>
        <v>5917.5198770134566</v>
      </c>
      <c r="H1690" s="36">
        <f>+F1690/F1695</f>
        <v>2.957572465872786</v>
      </c>
      <c r="I1690" s="145"/>
    </row>
    <row r="1691" spans="2:9">
      <c r="B1691" s="34" t="s">
        <v>13</v>
      </c>
      <c r="C1691" s="209">
        <f>+Model!AJ165</f>
        <v>6251.2849999999999</v>
      </c>
      <c r="D1691" s="204">
        <f>C1691*$H$1666</f>
        <v>330.25083338176017</v>
      </c>
      <c r="E1691" s="210"/>
      <c r="F1691" s="209">
        <f>C1691</f>
        <v>6251.2849999999999</v>
      </c>
      <c r="G1691" s="204">
        <f>F1691*$H$1666</f>
        <v>330.25083338176017</v>
      </c>
      <c r="H1691" s="210"/>
    </row>
    <row r="1692" spans="2:9">
      <c r="B1692" s="35" t="s">
        <v>14</v>
      </c>
      <c r="C1692" s="208">
        <f>+C1690-C1691</f>
        <v>114691.99700000002</v>
      </c>
      <c r="D1692" s="208">
        <f>+D1690-D1691</f>
        <v>6059.0946647718574</v>
      </c>
      <c r="E1692" s="36">
        <f>+C1692/C1695</f>
        <v>3.0283314498455369</v>
      </c>
      <c r="F1692" s="208">
        <f>F1690-F1691</f>
        <v>105760.85700000002</v>
      </c>
      <c r="G1692" s="208">
        <f>+G1690-G1691</f>
        <v>5587.2690436316961</v>
      </c>
      <c r="H1692" s="36">
        <f>+F1692/F1695</f>
        <v>2.792513320835424</v>
      </c>
    </row>
    <row r="1693" spans="2:9">
      <c r="B1693" s="69" t="s">
        <v>16</v>
      </c>
      <c r="C1693" s="211">
        <f>+Model!AJ186</f>
        <v>78311.436000000002</v>
      </c>
      <c r="D1693" s="204">
        <f>C1693*$H$1666</f>
        <v>4137.1361251842418</v>
      </c>
      <c r="E1693" s="212"/>
      <c r="F1693" s="211"/>
      <c r="G1693" s="204"/>
      <c r="H1693" s="212"/>
    </row>
    <row r="1694" spans="2:9">
      <c r="B1694" s="69" t="s">
        <v>18</v>
      </c>
      <c r="C1694" s="211">
        <f>C1690+C1693</f>
        <v>199254.71800000002</v>
      </c>
      <c r="D1694" s="211"/>
      <c r="E1694" s="212"/>
      <c r="F1694" s="211"/>
      <c r="G1694" s="211"/>
      <c r="H1694" s="212"/>
    </row>
    <row r="1695" spans="2:9">
      <c r="B1695" s="181" t="s">
        <v>20</v>
      </c>
      <c r="C1695" s="213">
        <f>+Model!AJ92</f>
        <v>37873</v>
      </c>
      <c r="D1695" s="213"/>
      <c r="E1695" s="210"/>
      <c r="F1695" s="210">
        <f>C1695</f>
        <v>37873</v>
      </c>
      <c r="G1695" s="213"/>
      <c r="H1695" s="210"/>
    </row>
    <row r="1697" spans="2:7">
      <c r="B1697" s="101" t="s">
        <v>59</v>
      </c>
      <c r="C1697" s="229">
        <f>Model!AJ179-Capitalisation!C1690</f>
        <v>9.9999997473787516E-4</v>
      </c>
      <c r="D1697" s="103"/>
      <c r="G1697" s="103"/>
    </row>
    <row r="1698" spans="2:7">
      <c r="B1698" s="101"/>
      <c r="C1698" s="103"/>
    </row>
    <row r="1699" spans="2:7">
      <c r="B1699" s="35" t="s">
        <v>60</v>
      </c>
      <c r="C1699" s="88">
        <f>C1692+Model!AJ185</f>
        <v>270138.99700000003</v>
      </c>
    </row>
    <row r="1700" spans="2:7">
      <c r="B1700" s="35" t="s">
        <v>61</v>
      </c>
      <c r="C1700" s="36">
        <f>C1699/C1695</f>
        <v>7.1327594064373043</v>
      </c>
    </row>
    <row r="1702" spans="2:7" ht="13.5" thickBot="1"/>
    <row r="1703" spans="2:7">
      <c r="B1703" s="78" t="s">
        <v>219</v>
      </c>
      <c r="C1703" s="153" t="s">
        <v>4</v>
      </c>
      <c r="D1703" s="153" t="s">
        <v>5</v>
      </c>
      <c r="E1703" s="104"/>
      <c r="F1703" s="104"/>
    </row>
    <row r="1704" spans="2:7">
      <c r="B1704" s="79" t="s">
        <v>108</v>
      </c>
      <c r="C1704" s="214">
        <f>2000/H1666</f>
        <v>37857.800000000003</v>
      </c>
      <c r="D1704" s="202">
        <f>C1704*H1666</f>
        <v>2000.0000000000002</v>
      </c>
      <c r="E1704" s="105"/>
      <c r="F1704" s="105"/>
    </row>
    <row r="1705" spans="2:7">
      <c r="B1705" s="79" t="s">
        <v>63</v>
      </c>
      <c r="C1705" s="202">
        <f>C1691</f>
        <v>6251.2849999999999</v>
      </c>
      <c r="D1705" s="202">
        <f>C1705*H1666</f>
        <v>330.25083338176017</v>
      </c>
      <c r="E1705" s="105"/>
      <c r="F1705" s="105"/>
    </row>
    <row r="1706" spans="2:7" ht="13.5" thickBot="1">
      <c r="B1706" s="80" t="s">
        <v>64</v>
      </c>
      <c r="C1706" s="203">
        <f>SUM(C1704:C1705)</f>
        <v>44109.085000000006</v>
      </c>
      <c r="D1706" s="203">
        <f>SUM(D1704:D1705)</f>
        <v>2330.2508333817605</v>
      </c>
      <c r="E1706" s="105"/>
      <c r="F1706" s="105"/>
    </row>
    <row r="1708" spans="2:7">
      <c r="C1708" s="30"/>
    </row>
    <row r="1709" spans="2:7" ht="13.5" thickBot="1"/>
    <row r="1710" spans="2:7" ht="13.5" thickBot="1">
      <c r="B1710" s="185" t="s">
        <v>220</v>
      </c>
      <c r="C1710" s="189" t="s">
        <v>4</v>
      </c>
      <c r="D1710" s="186" t="s">
        <v>5</v>
      </c>
      <c r="E1710" s="66"/>
    </row>
    <row r="1711" spans="2:7">
      <c r="B1711" s="144">
        <v>2020</v>
      </c>
      <c r="C1711" s="199">
        <f>Model!AJ114</f>
        <v>5408.1180000000004</v>
      </c>
      <c r="D1711" s="200">
        <f t="shared" ref="D1711:D1718" si="139">+C1711*$H$1666</f>
        <v>285.70693489848856</v>
      </c>
    </row>
    <row r="1712" spans="2:7">
      <c r="B1712" s="144">
        <v>2021</v>
      </c>
      <c r="C1712" s="199">
        <v>57.726999999999997</v>
      </c>
      <c r="D1712" s="200">
        <f t="shared" si="139"/>
        <v>3.0496753641257546</v>
      </c>
    </row>
    <row r="1713" spans="2:13">
      <c r="B1713" s="144">
        <v>2022</v>
      </c>
      <c r="C1713" s="199">
        <v>15788.173000000001</v>
      </c>
      <c r="D1713" s="200">
        <f t="shared" si="139"/>
        <v>834.07768016102364</v>
      </c>
      <c r="F1713" s="66" t="s">
        <v>221</v>
      </c>
    </row>
    <row r="1714" spans="2:13">
      <c r="B1714" s="144">
        <v>2023</v>
      </c>
      <c r="C1714" s="199">
        <v>308.72399999999999</v>
      </c>
      <c r="D1714" s="200">
        <f t="shared" si="139"/>
        <v>16.309664058661625</v>
      </c>
      <c r="F1714" s="28" t="s">
        <v>70</v>
      </c>
      <c r="G1714" s="215">
        <v>0.56999999999999995</v>
      </c>
    </row>
    <row r="1715" spans="2:13">
      <c r="B1715" s="144">
        <v>2024</v>
      </c>
      <c r="C1715" s="199">
        <v>15255.346</v>
      </c>
      <c r="D1715" s="200">
        <f t="shared" si="139"/>
        <v>805.92881783938844</v>
      </c>
      <c r="F1715" s="28" t="s">
        <v>71</v>
      </c>
      <c r="G1715" s="215">
        <v>0.05</v>
      </c>
    </row>
    <row r="1716" spans="2:13">
      <c r="B1716" s="144">
        <v>2025</v>
      </c>
      <c r="C1716" s="199">
        <v>27.431999999999999</v>
      </c>
      <c r="D1716" s="200">
        <f t="shared" si="139"/>
        <v>1.4492125797061635</v>
      </c>
      <c r="F1716" s="28" t="s">
        <v>72</v>
      </c>
      <c r="G1716" s="215">
        <v>0.38</v>
      </c>
    </row>
    <row r="1717" spans="2:13">
      <c r="B1717" s="144" t="s">
        <v>180</v>
      </c>
      <c r="C1717" s="199">
        <v>49826.256999999998</v>
      </c>
      <c r="D1717" s="200">
        <f t="shared" si="139"/>
        <v>2632.2848659985525</v>
      </c>
    </row>
    <row r="1718" spans="2:13" ht="13.5" thickBot="1">
      <c r="B1718" s="144" t="s">
        <v>67</v>
      </c>
      <c r="C1718" s="246">
        <f>C1669</f>
        <v>25340.366000000002</v>
      </c>
      <c r="D1718" s="200">
        <f t="shared" si="139"/>
        <v>1338.7130789427808</v>
      </c>
    </row>
    <row r="1719" spans="2:13" ht="13.5" thickBot="1">
      <c r="B1719" s="185" t="s">
        <v>68</v>
      </c>
      <c r="C1719" s="198">
        <f>SUM(C1711:C1718)</f>
        <v>112012.14300000001</v>
      </c>
      <c r="D1719" s="201">
        <f>SUM(D1711:D1718)</f>
        <v>5917.5199298427278</v>
      </c>
      <c r="G1719" s="127"/>
    </row>
    <row r="1720" spans="2:13">
      <c r="B1720" s="66"/>
      <c r="C1720" s="237"/>
      <c r="D1720" s="237"/>
      <c r="G1720" s="127"/>
    </row>
    <row r="1721" spans="2:13">
      <c r="B1721" s="238" t="s">
        <v>59</v>
      </c>
      <c r="C1721" s="239">
        <f>C1719-F1690</f>
        <v>9.9999998928979039E-4</v>
      </c>
      <c r="D1721" s="237"/>
      <c r="G1721" s="127"/>
    </row>
    <row r="1722" spans="2:13">
      <c r="B1722" s="66"/>
      <c r="C1722" s="237"/>
      <c r="D1722" s="237"/>
      <c r="G1722" s="127"/>
    </row>
    <row r="1723" spans="2:13">
      <c r="G1723" s="66" t="s">
        <v>222</v>
      </c>
      <c r="H1723" s="28">
        <f>Model!AI267</f>
        <v>5.067E-2</v>
      </c>
      <c r="J1723" s="184" t="s">
        <v>8</v>
      </c>
    </row>
    <row r="1724" spans="2:13">
      <c r="B1724" s="391" t="s">
        <v>223</v>
      </c>
      <c r="C1724" s="391"/>
      <c r="D1724" s="391"/>
      <c r="E1724" s="391"/>
      <c r="F1724" s="391"/>
      <c r="G1724" s="391"/>
      <c r="H1724" s="391"/>
      <c r="I1724" s="82"/>
      <c r="J1724" s="392" t="s">
        <v>223</v>
      </c>
      <c r="K1724" s="392"/>
      <c r="L1724" s="392"/>
      <c r="M1724" s="175"/>
    </row>
    <row r="1725" spans="2:13" ht="25.5">
      <c r="B1725" s="26" t="s">
        <v>4</v>
      </c>
      <c r="C1725" s="106" t="s">
        <v>4</v>
      </c>
      <c r="D1725" s="106" t="s">
        <v>5</v>
      </c>
      <c r="E1725" s="166" t="s">
        <v>94</v>
      </c>
      <c r="F1725" s="106" t="s">
        <v>4</v>
      </c>
      <c r="G1725" s="106" t="s">
        <v>5</v>
      </c>
      <c r="H1725" s="166" t="s">
        <v>95</v>
      </c>
      <c r="I1725" s="27"/>
      <c r="J1725" s="26"/>
      <c r="K1725" s="106" t="s">
        <v>4</v>
      </c>
      <c r="L1725" s="106" t="s">
        <v>5</v>
      </c>
      <c r="M1725" s="106" t="s">
        <v>85</v>
      </c>
    </row>
    <row r="1726" spans="2:13">
      <c r="B1726" s="83" t="s">
        <v>10</v>
      </c>
      <c r="C1726" s="221">
        <f>Model!AI176</f>
        <v>22639.865000000002</v>
      </c>
      <c r="D1726" s="204">
        <f>C1726*$H$1723</f>
        <v>1147.1619595500001</v>
      </c>
      <c r="E1726" s="205"/>
      <c r="F1726" s="206">
        <f>C1726</f>
        <v>22639.865000000002</v>
      </c>
      <c r="G1726" s="204">
        <f>F1726*$H$1723</f>
        <v>1147.1619595500001</v>
      </c>
      <c r="H1726" s="205"/>
      <c r="I1726" s="27"/>
      <c r="J1726" s="26"/>
      <c r="K1726" s="106"/>
      <c r="L1726" s="106"/>
      <c r="M1726" s="106"/>
    </row>
    <row r="1727" spans="2:13">
      <c r="B1727" s="100" t="s">
        <v>11</v>
      </c>
      <c r="C1727" s="221"/>
      <c r="D1727" s="174"/>
      <c r="E1727" s="206"/>
      <c r="F1727" s="206"/>
      <c r="G1727" s="174"/>
      <c r="H1727" s="206"/>
      <c r="J1727" s="178" t="s">
        <v>12</v>
      </c>
      <c r="K1727" s="216">
        <f>83655.73+18296.519</f>
        <v>101952.249</v>
      </c>
      <c r="L1727" s="217">
        <f>K1727*$H$1723</f>
        <v>5165.9204568300001</v>
      </c>
      <c r="M1727" s="180">
        <f>+K1727/K1732</f>
        <v>2.6824095507407129</v>
      </c>
    </row>
    <row r="1728" spans="2:13">
      <c r="B1728" s="83" t="s">
        <v>21</v>
      </c>
      <c r="C1728" s="221">
        <f>Model!AI122</f>
        <v>15709.04</v>
      </c>
      <c r="D1728" s="204">
        <f t="shared" ref="D1728:D1733" si="140">C1728*$H$1723</f>
        <v>795.97705680000001</v>
      </c>
      <c r="E1728" s="206"/>
      <c r="F1728" s="206">
        <f t="shared" ref="F1728:F1733" si="141">C1728</f>
        <v>15709.04</v>
      </c>
      <c r="G1728" s="204">
        <f>F1728*$H$1723</f>
        <v>795.97705680000001</v>
      </c>
      <c r="H1728" s="206"/>
      <c r="J1728" s="181" t="s">
        <v>13</v>
      </c>
      <c r="K1728" s="218">
        <f>C1747</f>
        <v>17060.194</v>
      </c>
      <c r="L1728" s="218">
        <f>K1728*$H$1723</f>
        <v>864.44002997999996</v>
      </c>
      <c r="M1728" s="175"/>
    </row>
    <row r="1729" spans="2:13">
      <c r="B1729" s="83" t="s">
        <v>162</v>
      </c>
      <c r="C1729" s="221">
        <f>Model!AI121</f>
        <v>15709.04</v>
      </c>
      <c r="D1729" s="204">
        <f t="shared" si="140"/>
        <v>795.97705680000001</v>
      </c>
      <c r="E1729" s="206"/>
      <c r="F1729" s="206">
        <f t="shared" si="141"/>
        <v>15709.04</v>
      </c>
      <c r="G1729" s="204">
        <f t="shared" ref="G1729:G1744" si="142">F1729*$H$1723</f>
        <v>795.97705680000001</v>
      </c>
      <c r="H1729" s="206"/>
      <c r="J1729" s="178" t="s">
        <v>14</v>
      </c>
      <c r="K1729" s="217">
        <f>+K1727-K1728</f>
        <v>84892.054999999993</v>
      </c>
      <c r="L1729" s="217">
        <f>+L1727-L1728</f>
        <v>4301.4804268500002</v>
      </c>
      <c r="M1729" s="180">
        <f>+K1729/K1732</f>
        <v>2.233548169339608</v>
      </c>
    </row>
    <row r="1730" spans="2:13">
      <c r="B1730" s="83" t="s">
        <v>17</v>
      </c>
      <c r="C1730" s="221">
        <f>Model!AI120</f>
        <v>15709.04</v>
      </c>
      <c r="D1730" s="204">
        <f t="shared" si="140"/>
        <v>795.97705680000001</v>
      </c>
      <c r="E1730" s="206"/>
      <c r="F1730" s="206">
        <f t="shared" si="141"/>
        <v>15709.04</v>
      </c>
      <c r="G1730" s="204">
        <f t="shared" si="142"/>
        <v>795.97705680000001</v>
      </c>
      <c r="H1730" s="206"/>
      <c r="J1730" s="183" t="s">
        <v>16</v>
      </c>
      <c r="K1730" s="219">
        <f>C1749</f>
        <v>81751.436000000002</v>
      </c>
      <c r="L1730" s="219">
        <f>K1730*$H$1723</f>
        <v>4142.3452621200004</v>
      </c>
      <c r="M1730" s="175"/>
    </row>
    <row r="1731" spans="2:13">
      <c r="B1731" s="83" t="s">
        <v>15</v>
      </c>
      <c r="C1731" s="221">
        <f>Model!AI119</f>
        <v>9818.15</v>
      </c>
      <c r="D1731" s="204">
        <f t="shared" si="140"/>
        <v>497.48566049999999</v>
      </c>
      <c r="E1731" s="206"/>
      <c r="F1731" s="206">
        <f t="shared" si="141"/>
        <v>9818.15</v>
      </c>
      <c r="G1731" s="204">
        <f t="shared" si="142"/>
        <v>497.48566049999999</v>
      </c>
      <c r="H1731" s="206"/>
      <c r="J1731" s="183" t="s">
        <v>18</v>
      </c>
      <c r="K1731" s="219">
        <f>K1727+K1730</f>
        <v>183703.685</v>
      </c>
      <c r="L1731" s="219"/>
      <c r="M1731" s="175"/>
    </row>
    <row r="1732" spans="2:13">
      <c r="B1732" s="83" t="s">
        <v>96</v>
      </c>
      <c r="C1732" s="221">
        <f>Model!AI132</f>
        <v>12763.594999999999</v>
      </c>
      <c r="D1732" s="204">
        <f t="shared" si="140"/>
        <v>646.73135864999995</v>
      </c>
      <c r="E1732" s="206"/>
      <c r="F1732" s="206">
        <f t="shared" si="141"/>
        <v>12763.594999999999</v>
      </c>
      <c r="G1732" s="204">
        <f t="shared" si="142"/>
        <v>646.73135864999995</v>
      </c>
      <c r="H1732" s="206"/>
      <c r="J1732" s="181" t="s">
        <v>20</v>
      </c>
      <c r="K1732" s="220">
        <f>C1751</f>
        <v>38007.711749999995</v>
      </c>
      <c r="L1732" s="220"/>
      <c r="M1732" s="175"/>
    </row>
    <row r="1733" spans="2:13">
      <c r="B1733" s="83" t="s">
        <v>34</v>
      </c>
      <c r="C1733" s="221">
        <f>Model!AI133</f>
        <v>11781.78</v>
      </c>
      <c r="D1733" s="204">
        <f t="shared" si="140"/>
        <v>596.98279260000004</v>
      </c>
      <c r="E1733" s="206"/>
      <c r="F1733" s="206">
        <f t="shared" si="141"/>
        <v>11781.78</v>
      </c>
      <c r="G1733" s="204">
        <f t="shared" si="142"/>
        <v>596.98279260000004</v>
      </c>
      <c r="H1733" s="206"/>
      <c r="J1733" s="181"/>
      <c r="K1733" s="220"/>
      <c r="L1733" s="220"/>
      <c r="M1733" s="175"/>
    </row>
    <row r="1734" spans="2:13">
      <c r="B1734" s="100" t="s">
        <v>97</v>
      </c>
      <c r="C1734" s="221"/>
      <c r="D1734" s="204"/>
      <c r="E1734" s="206"/>
      <c r="F1734" s="206"/>
      <c r="G1734" s="204"/>
      <c r="H1734" s="206"/>
    </row>
    <row r="1735" spans="2:13">
      <c r="B1735" s="83" t="s">
        <v>26</v>
      </c>
      <c r="C1735" s="221">
        <f>Model!AI125</f>
        <v>7706.3389999999999</v>
      </c>
      <c r="D1735" s="204">
        <f>C1735*$H$1723</f>
        <v>390.48019713000002</v>
      </c>
      <c r="E1735" s="206"/>
      <c r="F1735" s="206">
        <f>C1735</f>
        <v>7706.3389999999999</v>
      </c>
      <c r="G1735" s="204">
        <f t="shared" si="142"/>
        <v>390.48019713000002</v>
      </c>
      <c r="H1735" s="206"/>
      <c r="I1735" s="102"/>
    </row>
    <row r="1736" spans="2:13">
      <c r="B1736" s="83" t="s">
        <v>30</v>
      </c>
      <c r="C1736" s="221">
        <f>Model!AI129</f>
        <v>9633.1020000000008</v>
      </c>
      <c r="D1736" s="204">
        <f>C1736*$H$1723</f>
        <v>488.10927834000006</v>
      </c>
      <c r="E1736" s="206"/>
      <c r="F1736" s="206">
        <f>C1736</f>
        <v>9633.1020000000008</v>
      </c>
      <c r="G1736" s="204">
        <f t="shared" si="142"/>
        <v>488.10927834000006</v>
      </c>
      <c r="H1736" s="206"/>
    </row>
    <row r="1737" spans="2:13">
      <c r="B1737" s="100" t="s">
        <v>98</v>
      </c>
      <c r="C1737" s="221"/>
      <c r="D1737" s="204"/>
      <c r="E1737" s="206"/>
      <c r="F1737" s="206"/>
      <c r="G1737" s="204"/>
      <c r="H1737" s="206"/>
    </row>
    <row r="1738" spans="2:13">
      <c r="B1738" s="100" t="s">
        <v>99</v>
      </c>
      <c r="C1738" s="221"/>
      <c r="D1738" s="204"/>
      <c r="E1738" s="206"/>
      <c r="F1738" s="206"/>
      <c r="G1738" s="204"/>
      <c r="H1738" s="206"/>
    </row>
    <row r="1739" spans="2:13">
      <c r="B1739" s="83" t="s">
        <v>99</v>
      </c>
      <c r="C1739" s="221">
        <v>0</v>
      </c>
      <c r="D1739" s="204">
        <f t="shared" ref="D1739:D1745" si="143">C1739*$H$1723</f>
        <v>0</v>
      </c>
      <c r="E1739" s="206"/>
      <c r="F1739" s="206">
        <f t="shared" ref="F1739:F1744" si="144">C1739</f>
        <v>0</v>
      </c>
      <c r="G1739" s="204">
        <f t="shared" si="142"/>
        <v>0</v>
      </c>
      <c r="H1739" s="206"/>
    </row>
    <row r="1740" spans="2:13">
      <c r="B1740" s="83" t="s">
        <v>100</v>
      </c>
      <c r="C1740" s="221">
        <f>Model!AI123</f>
        <v>0</v>
      </c>
      <c r="D1740" s="204">
        <f t="shared" si="143"/>
        <v>0</v>
      </c>
      <c r="E1740" s="206"/>
      <c r="F1740" s="206">
        <f t="shared" si="144"/>
        <v>0</v>
      </c>
      <c r="G1740" s="204">
        <f t="shared" si="142"/>
        <v>0</v>
      </c>
      <c r="H1740" s="206"/>
    </row>
    <row r="1741" spans="2:13">
      <c r="B1741" s="83" t="s">
        <v>101</v>
      </c>
      <c r="C1741" s="221">
        <v>0</v>
      </c>
      <c r="D1741" s="204">
        <f t="shared" si="143"/>
        <v>0</v>
      </c>
      <c r="E1741" s="206"/>
      <c r="F1741" s="206">
        <f t="shared" si="144"/>
        <v>0</v>
      </c>
      <c r="G1741" s="204">
        <f t="shared" si="142"/>
        <v>0</v>
      </c>
      <c r="H1741" s="206"/>
    </row>
    <row r="1742" spans="2:13">
      <c r="B1742" s="83" t="s">
        <v>102</v>
      </c>
      <c r="C1742" s="221">
        <f>Model!AI124</f>
        <v>0</v>
      </c>
      <c r="D1742" s="204">
        <f t="shared" si="143"/>
        <v>0</v>
      </c>
      <c r="E1742" s="206"/>
      <c r="F1742" s="206">
        <f t="shared" si="144"/>
        <v>0</v>
      </c>
      <c r="G1742" s="204">
        <f t="shared" si="142"/>
        <v>0</v>
      </c>
      <c r="H1742" s="206"/>
    </row>
    <row r="1743" spans="2:13">
      <c r="B1743" s="83" t="s">
        <v>105</v>
      </c>
      <c r="C1743" s="221">
        <f>Model!AI155</f>
        <v>3722.0929999999998</v>
      </c>
      <c r="D1743" s="204">
        <f t="shared" si="143"/>
        <v>188.59845231</v>
      </c>
      <c r="E1743" s="206"/>
      <c r="F1743" s="206">
        <f t="shared" si="144"/>
        <v>3722.0929999999998</v>
      </c>
      <c r="G1743" s="204">
        <f t="shared" si="142"/>
        <v>188.59845231</v>
      </c>
      <c r="H1743" s="206"/>
    </row>
    <row r="1744" spans="2:13">
      <c r="B1744" s="83" t="s">
        <v>58</v>
      </c>
      <c r="C1744" s="221">
        <f>Model!AI157</f>
        <v>-599.92999999999995</v>
      </c>
      <c r="D1744" s="204">
        <f t="shared" si="143"/>
        <v>-30.398453099999998</v>
      </c>
      <c r="E1744" s="206"/>
      <c r="F1744" s="206">
        <f t="shared" si="144"/>
        <v>-599.92999999999995</v>
      </c>
      <c r="G1744" s="204">
        <f t="shared" si="142"/>
        <v>-30.398453099999998</v>
      </c>
      <c r="H1744" s="206"/>
    </row>
    <row r="1745" spans="2:9">
      <c r="B1745" s="161" t="s">
        <v>124</v>
      </c>
      <c r="C1745" s="222">
        <f>Model!AI170</f>
        <v>9111.0560000000005</v>
      </c>
      <c r="D1745" s="207">
        <f t="shared" si="143"/>
        <v>461.65720752000004</v>
      </c>
      <c r="E1745" s="207"/>
      <c r="F1745" s="207"/>
      <c r="G1745" s="207"/>
      <c r="H1745" s="207"/>
    </row>
    <row r="1746" spans="2:9">
      <c r="B1746" s="35" t="s">
        <v>12</v>
      </c>
      <c r="C1746" s="208">
        <f>SUM(C1726:C1745)</f>
        <v>133703.16999999998</v>
      </c>
      <c r="D1746" s="208">
        <f>SUM(D1726:D1745)</f>
        <v>6774.7396239</v>
      </c>
      <c r="E1746" s="36">
        <f>+C1746/C1751</f>
        <v>3.5177905704886325</v>
      </c>
      <c r="F1746" s="208">
        <f>SUM(F1726:F1745)</f>
        <v>124592.11399999999</v>
      </c>
      <c r="G1746" s="208">
        <f>SUM(G1726:G1745)</f>
        <v>6313.0824163799998</v>
      </c>
      <c r="H1746" s="36">
        <f>+F1746/F1751</f>
        <v>3.2780745870606114</v>
      </c>
      <c r="I1746" s="145"/>
    </row>
    <row r="1747" spans="2:9">
      <c r="B1747" s="34" t="s">
        <v>13</v>
      </c>
      <c r="C1747" s="209">
        <f>+Model!AI165</f>
        <v>17060.194</v>
      </c>
      <c r="D1747" s="204">
        <f>C1747*$H$1723</f>
        <v>864.44002997999996</v>
      </c>
      <c r="E1747" s="210"/>
      <c r="F1747" s="209">
        <f>C1747</f>
        <v>17060.194</v>
      </c>
      <c r="G1747" s="204">
        <f>F1747*$H$1780</f>
        <v>887.64189381999995</v>
      </c>
      <c r="H1747" s="210"/>
    </row>
    <row r="1748" spans="2:9">
      <c r="B1748" s="35" t="s">
        <v>14</v>
      </c>
      <c r="C1748" s="208">
        <f>+C1746-C1747</f>
        <v>116642.97599999998</v>
      </c>
      <c r="D1748" s="208">
        <f>+D1746-D1747</f>
        <v>5910.29959392</v>
      </c>
      <c r="E1748" s="36">
        <f>+C1748/C1751</f>
        <v>3.0689291890875277</v>
      </c>
      <c r="F1748" s="208">
        <f>F1746-F1747</f>
        <v>107531.91999999998</v>
      </c>
      <c r="G1748" s="208">
        <f>+G1746-G1747</f>
        <v>5425.4405225600003</v>
      </c>
      <c r="H1748" s="36">
        <f>+F1748/F1751</f>
        <v>2.8292132056595065</v>
      </c>
    </row>
    <row r="1749" spans="2:9">
      <c r="B1749" s="69" t="s">
        <v>16</v>
      </c>
      <c r="C1749" s="211">
        <f>+Model!AI186</f>
        <v>81751.436000000002</v>
      </c>
      <c r="D1749" s="204">
        <f>C1749*$H$1723</f>
        <v>4142.3452621200004</v>
      </c>
      <c r="E1749" s="212"/>
      <c r="F1749" s="211"/>
      <c r="G1749" s="204"/>
      <c r="H1749" s="212"/>
    </row>
    <row r="1750" spans="2:9">
      <c r="B1750" s="69" t="s">
        <v>18</v>
      </c>
      <c r="C1750" s="211">
        <f>C1746+C1749</f>
        <v>215454.60599999997</v>
      </c>
      <c r="D1750" s="211"/>
      <c r="E1750" s="212"/>
      <c r="F1750" s="211"/>
      <c r="G1750" s="211"/>
      <c r="H1750" s="212"/>
    </row>
    <row r="1751" spans="2:9">
      <c r="B1751" s="181" t="s">
        <v>20</v>
      </c>
      <c r="C1751" s="213">
        <f>+Model!AI92</f>
        <v>38007.711749999995</v>
      </c>
      <c r="D1751" s="213"/>
      <c r="E1751" s="210"/>
      <c r="F1751" s="210">
        <f>C1751</f>
        <v>38007.711749999995</v>
      </c>
      <c r="G1751" s="213"/>
      <c r="H1751" s="210"/>
    </row>
    <row r="1753" spans="2:9">
      <c r="B1753" s="101" t="s">
        <v>59</v>
      </c>
      <c r="C1753" s="229">
        <f>Model!AI179-Capitalisation!C1746</f>
        <v>0</v>
      </c>
      <c r="D1753" s="103"/>
      <c r="G1753" s="103"/>
    </row>
    <row r="1754" spans="2:9">
      <c r="B1754" s="101"/>
      <c r="C1754" s="103"/>
    </row>
    <row r="1755" spans="2:9">
      <c r="B1755" s="35" t="s">
        <v>60</v>
      </c>
      <c r="C1755" s="88">
        <f>C1748+Model!AI185</f>
        <v>280354.576</v>
      </c>
    </row>
    <row r="1756" spans="2:9">
      <c r="B1756" s="35" t="s">
        <v>61</v>
      </c>
      <c r="C1756" s="36">
        <f>C1755/C1751</f>
        <v>7.3762550569753795</v>
      </c>
    </row>
    <row r="1758" spans="2:9" ht="13.5" thickBot="1"/>
    <row r="1759" spans="2:9">
      <c r="B1759" s="78" t="s">
        <v>224</v>
      </c>
      <c r="C1759" s="153" t="s">
        <v>4</v>
      </c>
      <c r="D1759" s="153" t="s">
        <v>5</v>
      </c>
      <c r="E1759" s="104"/>
      <c r="F1759" s="104"/>
    </row>
    <row r="1760" spans="2:9">
      <c r="B1760" s="79" t="s">
        <v>108</v>
      </c>
      <c r="C1760" s="214">
        <f>2000/H1723</f>
        <v>39471.087428458653</v>
      </c>
      <c r="D1760" s="202">
        <f>C1760*H1723</f>
        <v>2000</v>
      </c>
      <c r="E1760" s="105"/>
      <c r="F1760" s="105"/>
    </row>
    <row r="1761" spans="2:16">
      <c r="B1761" s="79" t="s">
        <v>63</v>
      </c>
      <c r="C1761" s="202">
        <f>C1747</f>
        <v>17060.194</v>
      </c>
      <c r="D1761" s="202">
        <f>C1761*H1723</f>
        <v>864.44002997999996</v>
      </c>
      <c r="E1761" s="105"/>
      <c r="F1761" s="105"/>
    </row>
    <row r="1762" spans="2:16" ht="13.5" thickBot="1">
      <c r="B1762" s="80" t="s">
        <v>64</v>
      </c>
      <c r="C1762" s="203">
        <f>SUM(C1760:C1761)</f>
        <v>56531.281428458649</v>
      </c>
      <c r="D1762" s="203">
        <f>SUM(D1760:D1761)</f>
        <v>2864.44002998</v>
      </c>
      <c r="E1762" s="105"/>
      <c r="F1762" s="105"/>
    </row>
    <row r="1764" spans="2:16">
      <c r="C1764" s="30"/>
    </row>
    <row r="1765" spans="2:16" ht="13.5" thickBot="1"/>
    <row r="1766" spans="2:16" ht="13.5" thickBot="1">
      <c r="B1766" s="185" t="s">
        <v>225</v>
      </c>
      <c r="C1766" s="189" t="s">
        <v>4</v>
      </c>
      <c r="D1766" s="186" t="s">
        <v>5</v>
      </c>
      <c r="E1766" s="66"/>
    </row>
    <row r="1767" spans="2:16">
      <c r="B1767" s="144">
        <v>2019</v>
      </c>
      <c r="C1767" s="199">
        <f>Model!AI114</f>
        <v>18296.518999999997</v>
      </c>
      <c r="D1767" s="200">
        <f>+C1767*$H$1723</f>
        <v>927.08461772999988</v>
      </c>
      <c r="P1767" s="27"/>
    </row>
    <row r="1768" spans="2:16">
      <c r="B1768" s="144">
        <v>2020</v>
      </c>
      <c r="C1768" s="199">
        <v>1.931</v>
      </c>
      <c r="D1768" s="200">
        <f t="shared" ref="D1768:D1774" si="145">+C1768*$H$1723</f>
        <v>9.7843769999999997E-2</v>
      </c>
    </row>
    <row r="1769" spans="2:16">
      <c r="B1769" s="144">
        <v>2021</v>
      </c>
      <c r="C1769" s="199">
        <v>596.78899999999999</v>
      </c>
      <c r="D1769" s="200">
        <f t="shared" si="145"/>
        <v>30.23929863</v>
      </c>
      <c r="F1769" s="66" t="s">
        <v>226</v>
      </c>
    </row>
    <row r="1770" spans="2:16">
      <c r="B1770" s="144">
        <v>2022</v>
      </c>
      <c r="C1770" s="199">
        <v>15919.349</v>
      </c>
      <c r="D1770" s="200">
        <f t="shared" si="145"/>
        <v>806.63341382999999</v>
      </c>
      <c r="F1770" s="28" t="s">
        <v>70</v>
      </c>
      <c r="G1770" s="215">
        <v>0.59</v>
      </c>
    </row>
    <row r="1771" spans="2:16">
      <c r="B1771" s="144">
        <v>2023</v>
      </c>
      <c r="C1771" s="199">
        <v>193.19</v>
      </c>
      <c r="D1771" s="200">
        <f t="shared" si="145"/>
        <v>9.7889373000000006</v>
      </c>
      <c r="F1771" s="28" t="s">
        <v>71</v>
      </c>
      <c r="G1771" s="215">
        <v>0.05</v>
      </c>
    </row>
    <row r="1772" spans="2:16">
      <c r="B1772" s="144">
        <v>2024</v>
      </c>
      <c r="C1772" s="199">
        <v>15702.61</v>
      </c>
      <c r="D1772" s="200">
        <f t="shared" si="145"/>
        <v>795.6512487</v>
      </c>
      <c r="F1772" s="28" t="s">
        <v>72</v>
      </c>
      <c r="G1772" s="215">
        <v>0.36</v>
      </c>
    </row>
    <row r="1773" spans="2:16">
      <c r="B1773" s="144" t="s">
        <v>206</v>
      </c>
      <c r="C1773" s="199">
        <v>51241.860999999997</v>
      </c>
      <c r="D1773" s="200">
        <f t="shared" si="145"/>
        <v>2596.4250968699998</v>
      </c>
    </row>
    <row r="1774" spans="2:16" ht="13.5" thickBot="1">
      <c r="B1774" s="144" t="s">
        <v>67</v>
      </c>
      <c r="C1774" s="246">
        <f>C1726</f>
        <v>22639.865000000002</v>
      </c>
      <c r="D1774" s="200">
        <f t="shared" si="145"/>
        <v>1147.1619595500001</v>
      </c>
    </row>
    <row r="1775" spans="2:16" ht="13.5" thickBot="1">
      <c r="B1775" s="185" t="s">
        <v>68</v>
      </c>
      <c r="C1775" s="198">
        <f>SUM(C1767:C1774)</f>
        <v>124592.114</v>
      </c>
      <c r="D1775" s="201">
        <f>SUM(D1767:D1774)</f>
        <v>6313.0824163800007</v>
      </c>
      <c r="G1775" s="127"/>
    </row>
    <row r="1776" spans="2:16">
      <c r="B1776" s="66"/>
      <c r="C1776" s="237"/>
      <c r="D1776" s="237"/>
      <c r="G1776" s="127"/>
    </row>
    <row r="1777" spans="2:13">
      <c r="B1777" s="238" t="s">
        <v>59</v>
      </c>
      <c r="C1777" s="239">
        <f>C1775-F1746</f>
        <v>0</v>
      </c>
      <c r="D1777" s="237"/>
      <c r="G1777" s="127"/>
    </row>
    <row r="1778" spans="2:13">
      <c r="B1778" s="66"/>
      <c r="C1778" s="237"/>
      <c r="D1778" s="237"/>
      <c r="G1778" s="127"/>
    </row>
    <row r="1779" spans="2:13">
      <c r="B1779" s="66"/>
      <c r="C1779" s="237"/>
      <c r="D1779" s="237"/>
      <c r="G1779" s="127"/>
    </row>
    <row r="1780" spans="2:13">
      <c r="G1780" s="66" t="s">
        <v>227</v>
      </c>
      <c r="H1780" s="28">
        <f>Model!AH267</f>
        <v>5.203E-2</v>
      </c>
      <c r="J1780" s="184" t="s">
        <v>8</v>
      </c>
    </row>
    <row r="1781" spans="2:13">
      <c r="B1781" s="391" t="s">
        <v>228</v>
      </c>
      <c r="C1781" s="391"/>
      <c r="D1781" s="391"/>
      <c r="E1781" s="391"/>
      <c r="F1781" s="391"/>
      <c r="G1781" s="391"/>
      <c r="H1781" s="391"/>
      <c r="I1781" s="82"/>
      <c r="J1781" s="392" t="s">
        <v>228</v>
      </c>
      <c r="K1781" s="392"/>
      <c r="L1781" s="392"/>
      <c r="M1781" s="175"/>
    </row>
    <row r="1782" spans="2:13" ht="25.5">
      <c r="B1782" s="26" t="s">
        <v>4</v>
      </c>
      <c r="C1782" s="106" t="s">
        <v>4</v>
      </c>
      <c r="D1782" s="106" t="s">
        <v>5</v>
      </c>
      <c r="E1782" s="166" t="s">
        <v>94</v>
      </c>
      <c r="F1782" s="106" t="s">
        <v>4</v>
      </c>
      <c r="G1782" s="106" t="s">
        <v>5</v>
      </c>
      <c r="H1782" s="166" t="s">
        <v>95</v>
      </c>
      <c r="I1782" s="27"/>
      <c r="J1782" s="26"/>
      <c r="K1782" s="106" t="s">
        <v>4</v>
      </c>
      <c r="L1782" s="106" t="s">
        <v>5</v>
      </c>
      <c r="M1782" s="106" t="s">
        <v>85</v>
      </c>
    </row>
    <row r="1783" spans="2:13">
      <c r="B1783" s="83" t="s">
        <v>10</v>
      </c>
      <c r="C1783" s="221">
        <f>Model!AH176</f>
        <v>21708.3</v>
      </c>
      <c r="D1783" s="204">
        <f>C1783*$H$1780</f>
        <v>1129.482849</v>
      </c>
      <c r="E1783" s="205"/>
      <c r="F1783" s="206">
        <f>C1783</f>
        <v>21708.3</v>
      </c>
      <c r="G1783" s="204">
        <f>F1783*$H$1780</f>
        <v>1129.482849</v>
      </c>
      <c r="H1783" s="205"/>
      <c r="I1783" s="27"/>
      <c r="J1783" s="26"/>
      <c r="K1783" s="106"/>
      <c r="L1783" s="106"/>
      <c r="M1783" s="106"/>
    </row>
    <row r="1784" spans="2:13">
      <c r="B1784" s="100" t="s">
        <v>11</v>
      </c>
      <c r="C1784" s="221"/>
      <c r="D1784" s="174"/>
      <c r="E1784" s="206"/>
      <c r="F1784" s="206"/>
      <c r="G1784" s="174"/>
      <c r="H1784" s="206"/>
      <c r="J1784" s="178" t="s">
        <v>12</v>
      </c>
      <c r="K1784" s="216">
        <f>18496.216+70618.432</f>
        <v>89114.648000000001</v>
      </c>
      <c r="L1784" s="217">
        <f>K1784*$H$1780</f>
        <v>4636.6351354400003</v>
      </c>
      <c r="M1784" s="180">
        <f>+K1784/K1789</f>
        <v>2.3692245934486662</v>
      </c>
    </row>
    <row r="1785" spans="2:13">
      <c r="B1785" s="83" t="s">
        <v>21</v>
      </c>
      <c r="C1785" s="221">
        <f>Model!AH122</f>
        <v>15334.8</v>
      </c>
      <c r="D1785" s="204">
        <f>C1785*$H$1780</f>
        <v>797.86964399999999</v>
      </c>
      <c r="E1785" s="206"/>
      <c r="F1785" s="206">
        <f>C1785</f>
        <v>15334.8</v>
      </c>
      <c r="G1785" s="204">
        <f>F1785*$H$1780</f>
        <v>797.86964399999999</v>
      </c>
      <c r="H1785" s="206"/>
      <c r="J1785" s="181" t="s">
        <v>13</v>
      </c>
      <c r="K1785" s="218">
        <f>C1803</f>
        <v>5688.8069999999998</v>
      </c>
      <c r="L1785" s="218">
        <f>K1785*$H$1780</f>
        <v>295.98862821</v>
      </c>
      <c r="M1785" s="175"/>
    </row>
    <row r="1786" spans="2:13">
      <c r="B1786" s="83" t="s">
        <v>162</v>
      </c>
      <c r="C1786" s="221">
        <f>Model!AH121</f>
        <v>15334.8</v>
      </c>
      <c r="D1786" s="204">
        <f>C1786*$H$1780</f>
        <v>797.86964399999999</v>
      </c>
      <c r="E1786" s="206"/>
      <c r="F1786" s="206">
        <f>C1786</f>
        <v>15334.8</v>
      </c>
      <c r="G1786" s="204">
        <f>F1786*$H$1780</f>
        <v>797.86964399999999</v>
      </c>
      <c r="H1786" s="206"/>
      <c r="J1786" s="178" t="s">
        <v>14</v>
      </c>
      <c r="K1786" s="217">
        <f>+K1784-K1785</f>
        <v>83425.841</v>
      </c>
      <c r="L1786" s="217">
        <f>+L1784-L1785</f>
        <v>4340.6465072300007</v>
      </c>
      <c r="M1786" s="180">
        <f>+K1786/K1789</f>
        <v>2.2179805302753155</v>
      </c>
    </row>
    <row r="1787" spans="2:13">
      <c r="B1787" s="83" t="s">
        <v>17</v>
      </c>
      <c r="C1787" s="221">
        <f>Model!AH120</f>
        <v>15334.8</v>
      </c>
      <c r="D1787" s="204">
        <f>C1787*$H$1780</f>
        <v>797.86964399999999</v>
      </c>
      <c r="E1787" s="206"/>
      <c r="F1787" s="206">
        <f>C1787</f>
        <v>15334.8</v>
      </c>
      <c r="G1787" s="204">
        <f>F1787*$H$1780</f>
        <v>797.86964399999999</v>
      </c>
      <c r="H1787" s="206"/>
      <c r="J1787" s="183" t="s">
        <v>16</v>
      </c>
      <c r="K1787" s="219">
        <f>C1805</f>
        <v>81446.982999999993</v>
      </c>
      <c r="L1787" s="219">
        <f>K1787*$H$1780</f>
        <v>4237.6865254899994</v>
      </c>
      <c r="M1787" s="175"/>
    </row>
    <row r="1788" spans="2:13">
      <c r="B1788" s="83" t="s">
        <v>15</v>
      </c>
      <c r="C1788" s="221">
        <f>Model!AH119</f>
        <v>9584.25</v>
      </c>
      <c r="D1788" s="204">
        <f>C1788*$H$1780</f>
        <v>498.66852749999998</v>
      </c>
      <c r="E1788" s="206"/>
      <c r="F1788" s="206">
        <f>C1788</f>
        <v>9584.25</v>
      </c>
      <c r="G1788" s="204">
        <f>F1788*$H$1780</f>
        <v>498.66852749999998</v>
      </c>
      <c r="H1788" s="206"/>
      <c r="J1788" s="183" t="s">
        <v>18</v>
      </c>
      <c r="K1788" s="219">
        <f>K1784+K1787</f>
        <v>170561.63099999999</v>
      </c>
      <c r="L1788" s="219"/>
      <c r="M1788" s="175"/>
    </row>
    <row r="1789" spans="2:13">
      <c r="B1789" s="83" t="s">
        <v>96</v>
      </c>
      <c r="C1789" s="221">
        <f>Model!AH132</f>
        <v>12459.525</v>
      </c>
      <c r="D1789" s="204">
        <f>C1789*$H$1780</f>
        <v>648.26908574999993</v>
      </c>
      <c r="E1789" s="206"/>
      <c r="F1789" s="206">
        <f>C1789</f>
        <v>12459.525</v>
      </c>
      <c r="G1789" s="204">
        <f>F1789*$H$1780</f>
        <v>648.26908574999993</v>
      </c>
      <c r="H1789" s="206"/>
      <c r="J1789" s="181" t="s">
        <v>229</v>
      </c>
      <c r="K1789" s="220">
        <f>C1807</f>
        <v>37613.423499999997</v>
      </c>
      <c r="L1789" s="220"/>
      <c r="M1789" s="175"/>
    </row>
    <row r="1790" spans="2:13">
      <c r="B1790" s="100" t="s">
        <v>97</v>
      </c>
      <c r="C1790" s="221"/>
      <c r="D1790" s="204"/>
      <c r="E1790" s="206"/>
      <c r="F1790" s="206"/>
      <c r="G1790" s="204"/>
      <c r="H1790" s="206"/>
    </row>
    <row r="1791" spans="2:13">
      <c r="B1791" s="83" t="s">
        <v>26</v>
      </c>
      <c r="C1791" s="221">
        <f>Model!AH125</f>
        <v>7706.3389999999999</v>
      </c>
      <c r="D1791" s="204">
        <f t="shared" ref="D1791:D1801" si="146">C1791*$H$1780</f>
        <v>400.96081816999998</v>
      </c>
      <c r="E1791" s="206"/>
      <c r="F1791" s="206">
        <f>C1791</f>
        <v>7706.3389999999999</v>
      </c>
      <c r="G1791" s="204">
        <f t="shared" ref="G1791:G1801" si="147">F1791*$H$1780</f>
        <v>400.96081816999998</v>
      </c>
      <c r="H1791" s="206"/>
      <c r="I1791" s="102"/>
    </row>
    <row r="1792" spans="2:13">
      <c r="B1792" s="83" t="s">
        <v>30</v>
      </c>
      <c r="C1792" s="221">
        <f>Model!AH129</f>
        <v>9633.1020000000008</v>
      </c>
      <c r="D1792" s="204">
        <f t="shared" si="146"/>
        <v>501.21029706000002</v>
      </c>
      <c r="E1792" s="206"/>
      <c r="F1792" s="206">
        <f>C1792</f>
        <v>9633.1020000000008</v>
      </c>
      <c r="G1792" s="204">
        <f t="shared" si="147"/>
        <v>501.21029706000002</v>
      </c>
      <c r="H1792" s="206"/>
    </row>
    <row r="1793" spans="2:9">
      <c r="B1793" s="100" t="s">
        <v>98</v>
      </c>
      <c r="C1793" s="221"/>
      <c r="D1793" s="204">
        <f t="shared" si="146"/>
        <v>0</v>
      </c>
      <c r="E1793" s="206"/>
      <c r="F1793" s="206"/>
      <c r="G1793" s="204">
        <f t="shared" si="147"/>
        <v>0</v>
      </c>
      <c r="H1793" s="206"/>
    </row>
    <row r="1794" spans="2:9">
      <c r="B1794" s="100" t="s">
        <v>99</v>
      </c>
      <c r="C1794" s="221"/>
      <c r="D1794" s="204">
        <f t="shared" si="146"/>
        <v>0</v>
      </c>
      <c r="E1794" s="206"/>
      <c r="F1794" s="206">
        <f t="shared" ref="F1794:F1800" si="148">C1794</f>
        <v>0</v>
      </c>
      <c r="G1794" s="204">
        <f t="shared" si="147"/>
        <v>0</v>
      </c>
      <c r="H1794" s="206"/>
    </row>
    <row r="1795" spans="2:9">
      <c r="B1795" s="83" t="s">
        <v>99</v>
      </c>
      <c r="C1795" s="221">
        <v>0</v>
      </c>
      <c r="D1795" s="204">
        <f t="shared" si="146"/>
        <v>0</v>
      </c>
      <c r="E1795" s="206"/>
      <c r="F1795" s="206">
        <f t="shared" si="148"/>
        <v>0</v>
      </c>
      <c r="G1795" s="204">
        <f t="shared" si="147"/>
        <v>0</v>
      </c>
      <c r="H1795" s="206"/>
    </row>
    <row r="1796" spans="2:9">
      <c r="B1796" s="83" t="s">
        <v>100</v>
      </c>
      <c r="C1796" s="221">
        <f>Model!AH123</f>
        <v>0</v>
      </c>
      <c r="D1796" s="204">
        <f t="shared" si="146"/>
        <v>0</v>
      </c>
      <c r="E1796" s="206"/>
      <c r="F1796" s="206">
        <f t="shared" si="148"/>
        <v>0</v>
      </c>
      <c r="G1796" s="204">
        <f t="shared" si="147"/>
        <v>0</v>
      </c>
      <c r="H1796" s="206"/>
    </row>
    <row r="1797" spans="2:9">
      <c r="B1797" s="83" t="s">
        <v>101</v>
      </c>
      <c r="C1797" s="221">
        <v>0</v>
      </c>
      <c r="D1797" s="204">
        <f t="shared" si="146"/>
        <v>0</v>
      </c>
      <c r="E1797" s="206"/>
      <c r="F1797" s="206">
        <f t="shared" si="148"/>
        <v>0</v>
      </c>
      <c r="G1797" s="204">
        <f t="shared" si="147"/>
        <v>0</v>
      </c>
      <c r="H1797" s="206"/>
    </row>
    <row r="1798" spans="2:9">
      <c r="B1798" s="83" t="s">
        <v>102</v>
      </c>
      <c r="C1798" s="221">
        <f>Model!AH124</f>
        <v>0</v>
      </c>
      <c r="D1798" s="204">
        <f t="shared" si="146"/>
        <v>0</v>
      </c>
      <c r="E1798" s="206"/>
      <c r="F1798" s="206">
        <f t="shared" si="148"/>
        <v>0</v>
      </c>
      <c r="G1798" s="204">
        <f t="shared" si="147"/>
        <v>0</v>
      </c>
      <c r="H1798" s="206"/>
    </row>
    <row r="1799" spans="2:9">
      <c r="B1799" s="83" t="s">
        <v>105</v>
      </c>
      <c r="C1799" s="221">
        <f>Model!AH155</f>
        <v>4065.873</v>
      </c>
      <c r="D1799" s="204">
        <f t="shared" si="146"/>
        <v>211.54737219</v>
      </c>
      <c r="E1799" s="206"/>
      <c r="F1799" s="206">
        <f t="shared" si="148"/>
        <v>4065.873</v>
      </c>
      <c r="G1799" s="204">
        <f t="shared" si="147"/>
        <v>211.54737219</v>
      </c>
      <c r="H1799" s="206"/>
    </row>
    <row r="1800" spans="2:9">
      <c r="B1800" s="83" t="str">
        <f>+Model!B77</f>
        <v>Other Finance</v>
      </c>
      <c r="C1800" s="221">
        <f>Model!AH157</f>
        <v>-338.84100000000001</v>
      </c>
      <c r="D1800" s="204">
        <f t="shared" si="146"/>
        <v>-17.629897230000001</v>
      </c>
      <c r="E1800" s="206"/>
      <c r="F1800" s="206">
        <f t="shared" si="148"/>
        <v>-338.84100000000001</v>
      </c>
      <c r="G1800" s="204">
        <f t="shared" si="147"/>
        <v>-17.629897230000001</v>
      </c>
      <c r="H1800" s="206"/>
    </row>
    <row r="1801" spans="2:9">
      <c r="B1801" s="161" t="s">
        <v>124</v>
      </c>
      <c r="C1801" s="222">
        <f>Model!AH170</f>
        <v>9188.4740000000002</v>
      </c>
      <c r="D1801" s="207">
        <f t="shared" si="146"/>
        <v>478.07630222</v>
      </c>
      <c r="E1801" s="207"/>
      <c r="F1801" s="207"/>
      <c r="G1801" s="207">
        <f t="shared" si="147"/>
        <v>0</v>
      </c>
      <c r="H1801" s="207"/>
    </row>
    <row r="1802" spans="2:9">
      <c r="B1802" s="35" t="s">
        <v>12</v>
      </c>
      <c r="C1802" s="208">
        <f>SUM(C1783:C1801)</f>
        <v>120011.42199999999</v>
      </c>
      <c r="D1802" s="208">
        <f>SUM(D1783:D1801)</f>
        <v>6244.1942866599984</v>
      </c>
      <c r="E1802" s="36">
        <f>+C1802/C1807</f>
        <v>3.1906540493449103</v>
      </c>
      <c r="F1802" s="208">
        <f>SUM(F1783:F1801)</f>
        <v>110822.94799999999</v>
      </c>
      <c r="G1802" s="208">
        <f>SUM(G1783:G1801)</f>
        <v>5766.1179844399985</v>
      </c>
      <c r="H1802" s="36">
        <f>+F1802/F1807</f>
        <v>2.9463669532766672</v>
      </c>
      <c r="I1802" s="145"/>
    </row>
    <row r="1803" spans="2:9">
      <c r="B1803" s="34" t="s">
        <v>13</v>
      </c>
      <c r="C1803" s="209">
        <f>+Model!AH165</f>
        <v>5688.8069999999998</v>
      </c>
      <c r="D1803" s="204">
        <f>C1803*$H$1780</f>
        <v>295.98862821</v>
      </c>
      <c r="E1803" s="210"/>
      <c r="F1803" s="209">
        <f>C1803</f>
        <v>5688.8069999999998</v>
      </c>
      <c r="G1803" s="204">
        <f>F1803*$H$1780</f>
        <v>295.98862821</v>
      </c>
      <c r="H1803" s="210"/>
    </row>
    <row r="1804" spans="2:9">
      <c r="B1804" s="35" t="s">
        <v>14</v>
      </c>
      <c r="C1804" s="208">
        <f>+C1802-C1803</f>
        <v>114322.61499999999</v>
      </c>
      <c r="D1804" s="208">
        <f>+D1802-D1803</f>
        <v>5948.2056584499987</v>
      </c>
      <c r="E1804" s="36">
        <f>+C1804/C1807</f>
        <v>3.0394099861715591</v>
      </c>
      <c r="F1804" s="208">
        <f>F1802-F1803</f>
        <v>105134.14099999999</v>
      </c>
      <c r="G1804" s="208">
        <f>+G1802-G1803</f>
        <v>5470.1293562299988</v>
      </c>
      <c r="H1804" s="36">
        <f>+F1804/F1807</f>
        <v>2.7951228901033165</v>
      </c>
    </row>
    <row r="1805" spans="2:9">
      <c r="B1805" s="69" t="s">
        <v>16</v>
      </c>
      <c r="C1805" s="211">
        <f>+Model!AH186</f>
        <v>81446.982999999993</v>
      </c>
      <c r="D1805" s="204">
        <f>C1805*$H$1780</f>
        <v>4237.6865254899994</v>
      </c>
      <c r="E1805" s="212"/>
      <c r="F1805" s="211"/>
      <c r="G1805" s="204"/>
      <c r="H1805" s="212"/>
    </row>
    <row r="1806" spans="2:9">
      <c r="B1806" s="69" t="s">
        <v>18</v>
      </c>
      <c r="C1806" s="211">
        <f>C1802+C1805</f>
        <v>201458.40499999997</v>
      </c>
      <c r="D1806" s="211"/>
      <c r="E1806" s="212"/>
      <c r="F1806" s="211"/>
      <c r="G1806" s="211"/>
      <c r="H1806" s="212"/>
    </row>
    <row r="1807" spans="2:9">
      <c r="B1807" s="34" t="s">
        <v>229</v>
      </c>
      <c r="C1807" s="213">
        <f>+Model!AH92</f>
        <v>37613.423499999997</v>
      </c>
      <c r="D1807" s="213"/>
      <c r="E1807" s="210"/>
      <c r="F1807" s="210">
        <f>C1807</f>
        <v>37613.423499999997</v>
      </c>
      <c r="G1807" s="213"/>
      <c r="H1807" s="210"/>
    </row>
    <row r="1809" spans="2:7">
      <c r="B1809" s="101" t="s">
        <v>59</v>
      </c>
      <c r="C1809" s="229">
        <f>Model!AH179-Capitalisation!C1802</f>
        <v>0</v>
      </c>
      <c r="D1809" s="103"/>
      <c r="G1809" s="103"/>
    </row>
    <row r="1810" spans="2:7">
      <c r="B1810" s="101"/>
      <c r="C1810" s="103"/>
    </row>
    <row r="1811" spans="2:7">
      <c r="B1811" s="35" t="s">
        <v>60</v>
      </c>
      <c r="C1811" s="88">
        <f>C1804+Model!AH185</f>
        <v>301015.01500000001</v>
      </c>
    </row>
    <row r="1812" spans="2:7">
      <c r="B1812" s="35" t="s">
        <v>61</v>
      </c>
      <c r="C1812" s="36">
        <f>C1811/C1807</f>
        <v>8.0028613986706105</v>
      </c>
    </row>
    <row r="1814" spans="2:7" ht="13.5" thickBot="1"/>
    <row r="1815" spans="2:7">
      <c r="B1815" s="78" t="s">
        <v>230</v>
      </c>
      <c r="C1815" s="153" t="s">
        <v>4</v>
      </c>
      <c r="D1815" s="153" t="s">
        <v>5</v>
      </c>
      <c r="E1815" s="104"/>
      <c r="F1815" s="104"/>
    </row>
    <row r="1816" spans="2:7">
      <c r="B1816" s="79" t="s">
        <v>108</v>
      </c>
      <c r="C1816" s="214">
        <f>2000/H1780</f>
        <v>38439.361906592349</v>
      </c>
      <c r="D1816" s="202">
        <f>C1816*H1780</f>
        <v>2000</v>
      </c>
      <c r="E1816" s="105"/>
      <c r="F1816" s="105"/>
    </row>
    <row r="1817" spans="2:7">
      <c r="B1817" s="79" t="s">
        <v>63</v>
      </c>
      <c r="C1817" s="202">
        <f>C1803</f>
        <v>5688.8069999999998</v>
      </c>
      <c r="D1817" s="202">
        <f>C1817*H1780</f>
        <v>295.98862821</v>
      </c>
      <c r="E1817" s="105"/>
      <c r="F1817" s="105"/>
    </row>
    <row r="1818" spans="2:7" ht="13.5" thickBot="1">
      <c r="B1818" s="80" t="s">
        <v>64</v>
      </c>
      <c r="C1818" s="203">
        <f>SUM(C1816:C1817)</f>
        <v>44128.168906592349</v>
      </c>
      <c r="D1818" s="203">
        <f>SUM(D1816:D1817)</f>
        <v>2295.9886282100001</v>
      </c>
      <c r="E1818" s="105"/>
      <c r="F1818" s="105"/>
    </row>
    <row r="1820" spans="2:7">
      <c r="C1820" s="30"/>
    </row>
    <row r="1821" spans="2:7" ht="13.5" thickBot="1"/>
    <row r="1822" spans="2:7" ht="13.5" thickBot="1">
      <c r="B1822" s="185" t="s">
        <v>231</v>
      </c>
      <c r="C1822" s="189" t="s">
        <v>4</v>
      </c>
      <c r="D1822" s="186" t="s">
        <v>5</v>
      </c>
      <c r="E1822" s="66"/>
    </row>
    <row r="1823" spans="2:7">
      <c r="B1823" s="144">
        <v>2019</v>
      </c>
      <c r="C1823" s="199">
        <f>Model!AH114</f>
        <v>18496.216</v>
      </c>
      <c r="D1823" s="200">
        <f>+C1823*$H$1780</f>
        <v>962.35811848000003</v>
      </c>
    </row>
    <row r="1824" spans="2:7">
      <c r="B1824" s="144">
        <v>2020</v>
      </c>
      <c r="C1824" s="199">
        <v>60.027999999999999</v>
      </c>
      <c r="D1824" s="200">
        <f t="shared" ref="D1824:D1830" si="149">+C1824*$H$1780</f>
        <v>3.1232568399999998</v>
      </c>
    </row>
    <row r="1825" spans="2:13">
      <c r="B1825" s="144">
        <v>2021</v>
      </c>
      <c r="C1825" s="199">
        <v>455.60899999999998</v>
      </c>
      <c r="D1825" s="200">
        <f t="shared" si="149"/>
        <v>23.70533627</v>
      </c>
      <c r="F1825" s="66" t="s">
        <v>232</v>
      </c>
    </row>
    <row r="1826" spans="2:13">
      <c r="B1826" s="144">
        <v>2022</v>
      </c>
      <c r="C1826" s="199">
        <v>15418.758</v>
      </c>
      <c r="D1826" s="200">
        <f t="shared" si="149"/>
        <v>802.23797874000002</v>
      </c>
      <c r="F1826" s="28" t="s">
        <v>70</v>
      </c>
      <c r="G1826" s="215">
        <v>0.57999999999999996</v>
      </c>
    </row>
    <row r="1827" spans="2:13">
      <c r="B1827" s="144">
        <v>2023</v>
      </c>
      <c r="C1827" s="199">
        <v>201.09700000000001</v>
      </c>
      <c r="D1827" s="200">
        <f t="shared" si="149"/>
        <v>10.46307691</v>
      </c>
      <c r="F1827" s="28" t="s">
        <v>71</v>
      </c>
      <c r="G1827" s="215">
        <v>0.05</v>
      </c>
    </row>
    <row r="1828" spans="2:13">
      <c r="B1828" s="144">
        <v>2024</v>
      </c>
      <c r="C1828" s="199">
        <v>15323.986000000001</v>
      </c>
      <c r="D1828" s="200">
        <f t="shared" si="149"/>
        <v>797.30699158000004</v>
      </c>
      <c r="F1828" s="28" t="s">
        <v>72</v>
      </c>
      <c r="G1828" s="215">
        <v>0.37</v>
      </c>
    </row>
    <row r="1829" spans="2:13">
      <c r="B1829" s="144" t="s">
        <v>206</v>
      </c>
      <c r="C1829" s="199">
        <v>39158.953999999998</v>
      </c>
      <c r="D1829" s="200">
        <f t="shared" si="149"/>
        <v>2037.4403766199998</v>
      </c>
    </row>
    <row r="1830" spans="2:13" ht="13.5" thickBot="1">
      <c r="B1830" s="144" t="s">
        <v>67</v>
      </c>
      <c r="C1830" s="246">
        <f>C1783</f>
        <v>21708.3</v>
      </c>
      <c r="D1830" s="200">
        <f t="shared" si="149"/>
        <v>1129.482849</v>
      </c>
    </row>
    <row r="1831" spans="2:13" ht="13.5" thickBot="1">
      <c r="B1831" s="185" t="s">
        <v>68</v>
      </c>
      <c r="C1831" s="198">
        <f>SUM(C1823:C1830)</f>
        <v>110822.948</v>
      </c>
      <c r="D1831" s="201">
        <f>SUM(D1823:D1830)</f>
        <v>5766.1179844399994</v>
      </c>
      <c r="G1831" s="127"/>
    </row>
    <row r="1832" spans="2:13">
      <c r="B1832" s="66"/>
      <c r="C1832" s="237"/>
      <c r="D1832" s="237"/>
      <c r="G1832" s="127"/>
    </row>
    <row r="1833" spans="2:13">
      <c r="B1833" s="238" t="s">
        <v>59</v>
      </c>
      <c r="C1833" s="239">
        <f>C1831-F1802</f>
        <v>0</v>
      </c>
      <c r="D1833" s="237"/>
      <c r="G1833" s="127"/>
    </row>
    <row r="1834" spans="2:13">
      <c r="B1834" s="66"/>
      <c r="C1834" s="237"/>
      <c r="D1834" s="237"/>
      <c r="G1834" s="127"/>
    </row>
    <row r="1835" spans="2:13">
      <c r="B1835" s="66"/>
      <c r="C1835" s="237"/>
      <c r="D1835" s="237"/>
      <c r="G1835" s="127"/>
    </row>
    <row r="1837" spans="2:13">
      <c r="G1837" s="66" t="s">
        <v>233</v>
      </c>
      <c r="H1837" s="28">
        <f>Model!AG267</f>
        <v>5.1470000000000002E-2</v>
      </c>
      <c r="J1837" s="184" t="s">
        <v>8</v>
      </c>
    </row>
    <row r="1838" spans="2:13">
      <c r="B1838" s="391" t="s">
        <v>234</v>
      </c>
      <c r="C1838" s="391"/>
      <c r="D1838" s="391"/>
      <c r="E1838" s="391"/>
      <c r="F1838" s="391"/>
      <c r="G1838" s="391"/>
      <c r="H1838" s="391"/>
      <c r="I1838" s="82"/>
      <c r="J1838" s="392" t="s">
        <v>234</v>
      </c>
      <c r="K1838" s="392"/>
      <c r="L1838" s="392"/>
      <c r="M1838" s="175"/>
    </row>
    <row r="1839" spans="2:13" ht="25.5">
      <c r="B1839" s="26" t="s">
        <v>4</v>
      </c>
      <c r="C1839" s="106" t="s">
        <v>4</v>
      </c>
      <c r="D1839" s="106" t="s">
        <v>5</v>
      </c>
      <c r="E1839" s="166" t="s">
        <v>94</v>
      </c>
      <c r="F1839" s="106" t="s">
        <v>4</v>
      </c>
      <c r="G1839" s="106" t="s">
        <v>5</v>
      </c>
      <c r="H1839" s="166" t="s">
        <v>95</v>
      </c>
      <c r="I1839" s="27"/>
      <c r="J1839" s="26"/>
      <c r="K1839" s="106" t="s">
        <v>4</v>
      </c>
      <c r="L1839" s="106" t="s">
        <v>5</v>
      </c>
      <c r="M1839" s="106" t="s">
        <v>85</v>
      </c>
    </row>
    <row r="1840" spans="2:13">
      <c r="B1840" s="83" t="s">
        <v>10</v>
      </c>
      <c r="C1840" s="221">
        <f>Model!AG176</f>
        <v>21928.170000000002</v>
      </c>
      <c r="D1840" s="204">
        <f>C1840*$H$1837</f>
        <v>1128.6429099000002</v>
      </c>
      <c r="E1840" s="205"/>
      <c r="F1840" s="206">
        <f>C1840</f>
        <v>21928.170000000002</v>
      </c>
      <c r="G1840" s="204">
        <f>F1840*$H$1837</f>
        <v>1128.6429099000002</v>
      </c>
      <c r="H1840" s="205"/>
      <c r="I1840" s="27"/>
      <c r="J1840" s="26"/>
      <c r="K1840" s="106"/>
      <c r="L1840" s="106"/>
      <c r="M1840" s="106"/>
    </row>
    <row r="1841" spans="2:15">
      <c r="B1841" s="100" t="s">
        <v>11</v>
      </c>
      <c r="C1841" s="221"/>
      <c r="D1841" s="174"/>
      <c r="E1841" s="206"/>
      <c r="F1841" s="206"/>
      <c r="G1841" s="206"/>
      <c r="H1841" s="206"/>
      <c r="J1841" s="178" t="s">
        <v>12</v>
      </c>
      <c r="K1841" s="216">
        <f>87667.274+2339.895</f>
        <v>90007.169000000009</v>
      </c>
      <c r="L1841" s="217">
        <f>K1841*$H$1837</f>
        <v>4632.6689884300004</v>
      </c>
      <c r="M1841" s="180">
        <f>+K1841/K1846</f>
        <v>2.3774855366126362</v>
      </c>
      <c r="O1841" s="27"/>
    </row>
    <row r="1842" spans="2:15">
      <c r="B1842" s="83" t="s">
        <v>21</v>
      </c>
      <c r="C1842" s="221">
        <f>Model!AG122</f>
        <v>15503.44</v>
      </c>
      <c r="D1842" s="204">
        <f t="shared" ref="D1842:D1858" si="150">C1842*$H$1837</f>
        <v>797.96205680000003</v>
      </c>
      <c r="E1842" s="206"/>
      <c r="F1842" s="206">
        <f>C1842</f>
        <v>15503.44</v>
      </c>
      <c r="G1842" s="204">
        <f>F1842*$H$1837</f>
        <v>797.96205680000003</v>
      </c>
      <c r="H1842" s="206"/>
      <c r="J1842" s="181" t="s">
        <v>13</v>
      </c>
      <c r="K1842" s="218">
        <f>C1860</f>
        <v>7104.8980000000001</v>
      </c>
      <c r="L1842" s="218">
        <f>K1842*$H$1837</f>
        <v>365.68910006000004</v>
      </c>
      <c r="M1842" s="175"/>
    </row>
    <row r="1843" spans="2:15">
      <c r="B1843" s="83" t="s">
        <v>162</v>
      </c>
      <c r="C1843" s="221">
        <f>Model!AG121</f>
        <v>15503.44</v>
      </c>
      <c r="D1843" s="204">
        <f t="shared" si="150"/>
        <v>797.96205680000003</v>
      </c>
      <c r="E1843" s="206"/>
      <c r="F1843" s="206">
        <f>C1843</f>
        <v>15503.44</v>
      </c>
      <c r="G1843" s="204">
        <f t="shared" ref="G1843:G1857" si="151">F1843*$H$1837</f>
        <v>797.96205680000003</v>
      </c>
      <c r="H1843" s="206"/>
      <c r="J1843" s="178" t="s">
        <v>14</v>
      </c>
      <c r="K1843" s="217">
        <f>+K1841-K1842</f>
        <v>82902.271000000008</v>
      </c>
      <c r="L1843" s="217">
        <f>+L1841-L1842</f>
        <v>4266.9798883700005</v>
      </c>
      <c r="M1843" s="180">
        <f>+K1843/K1846</f>
        <v>2.1898139053217105</v>
      </c>
    </row>
    <row r="1844" spans="2:15">
      <c r="B1844" s="83" t="s">
        <v>17</v>
      </c>
      <c r="C1844" s="221">
        <f>Model!AG120</f>
        <v>15503.44</v>
      </c>
      <c r="D1844" s="204">
        <f t="shared" si="150"/>
        <v>797.96205680000003</v>
      </c>
      <c r="E1844" s="206"/>
      <c r="F1844" s="206">
        <f>C1844</f>
        <v>15503.44</v>
      </c>
      <c r="G1844" s="204">
        <f t="shared" si="151"/>
        <v>797.96205680000003</v>
      </c>
      <c r="H1844" s="206"/>
      <c r="J1844" s="183" t="s">
        <v>16</v>
      </c>
      <c r="K1844" s="219">
        <f>C1862</f>
        <v>84077.974000000002</v>
      </c>
      <c r="L1844" s="219">
        <f>K1844*$H$1837</f>
        <v>4327.4933217799999</v>
      </c>
      <c r="M1844" s="175"/>
    </row>
    <row r="1845" spans="2:15">
      <c r="B1845" s="83" t="s">
        <v>15</v>
      </c>
      <c r="C1845" s="221">
        <f>Model!AG119</f>
        <v>9689.65</v>
      </c>
      <c r="D1845" s="204">
        <f t="shared" si="150"/>
        <v>498.72628550000002</v>
      </c>
      <c r="E1845" s="206"/>
      <c r="F1845" s="206">
        <f>C1845</f>
        <v>9689.65</v>
      </c>
      <c r="G1845" s="204">
        <f t="shared" si="151"/>
        <v>498.72628550000002</v>
      </c>
      <c r="H1845" s="206"/>
      <c r="J1845" s="183" t="s">
        <v>18</v>
      </c>
      <c r="K1845" s="219">
        <f>K1841+K1844</f>
        <v>174085.14300000001</v>
      </c>
      <c r="L1845" s="219"/>
      <c r="M1845" s="175"/>
    </row>
    <row r="1846" spans="2:15">
      <c r="B1846" s="83" t="s">
        <v>96</v>
      </c>
      <c r="C1846" s="221">
        <f>Model!AG132</f>
        <v>12596.545</v>
      </c>
      <c r="D1846" s="204">
        <f t="shared" si="150"/>
        <v>648.34417115000008</v>
      </c>
      <c r="E1846" s="206"/>
      <c r="F1846" s="206">
        <f>C1846</f>
        <v>12596.545</v>
      </c>
      <c r="G1846" s="204">
        <f t="shared" si="151"/>
        <v>648.34417115000008</v>
      </c>
      <c r="H1846" s="206"/>
      <c r="J1846" s="181" t="s">
        <v>235</v>
      </c>
      <c r="K1846" s="220">
        <f>C1864</f>
        <v>37858.135249999999</v>
      </c>
      <c r="L1846" s="220"/>
      <c r="M1846" s="175"/>
    </row>
    <row r="1847" spans="2:15">
      <c r="B1847" s="100" t="s">
        <v>97</v>
      </c>
      <c r="C1847" s="221"/>
      <c r="D1847" s="204">
        <f t="shared" si="150"/>
        <v>0</v>
      </c>
      <c r="E1847" s="206"/>
      <c r="F1847" s="206"/>
      <c r="G1847" s="204">
        <f t="shared" si="151"/>
        <v>0</v>
      </c>
      <c r="H1847" s="206"/>
    </row>
    <row r="1848" spans="2:15">
      <c r="B1848" s="83" t="s">
        <v>26</v>
      </c>
      <c r="C1848" s="221">
        <f>Model!AG125</f>
        <v>7829.6819999999998</v>
      </c>
      <c r="D1848" s="204">
        <f t="shared" si="150"/>
        <v>402.99373254</v>
      </c>
      <c r="E1848" s="206"/>
      <c r="F1848" s="206">
        <f>C1848</f>
        <v>7829.6819999999998</v>
      </c>
      <c r="G1848" s="204">
        <f t="shared" si="151"/>
        <v>402.99373254</v>
      </c>
      <c r="H1848" s="206"/>
      <c r="I1848" s="102"/>
    </row>
    <row r="1849" spans="2:15">
      <c r="B1849" s="83" t="s">
        <v>30</v>
      </c>
      <c r="C1849" s="221">
        <f>Model!AG129</f>
        <v>9723.1020000000008</v>
      </c>
      <c r="D1849" s="204">
        <f t="shared" si="150"/>
        <v>500.44805994000006</v>
      </c>
      <c r="E1849" s="206"/>
      <c r="F1849" s="206">
        <f>C1849</f>
        <v>9723.1020000000008</v>
      </c>
      <c r="G1849" s="204">
        <f t="shared" si="151"/>
        <v>500.44805994000006</v>
      </c>
      <c r="H1849" s="206"/>
    </row>
    <row r="1850" spans="2:15">
      <c r="B1850" s="100" t="s">
        <v>98</v>
      </c>
      <c r="C1850" s="221"/>
      <c r="D1850" s="204">
        <f t="shared" si="150"/>
        <v>0</v>
      </c>
      <c r="E1850" s="206"/>
      <c r="F1850" s="206"/>
      <c r="G1850" s="204">
        <f t="shared" si="151"/>
        <v>0</v>
      </c>
      <c r="H1850" s="206"/>
    </row>
    <row r="1851" spans="2:15">
      <c r="B1851" s="100" t="s">
        <v>99</v>
      </c>
      <c r="C1851" s="221"/>
      <c r="D1851" s="204">
        <f t="shared" si="150"/>
        <v>0</v>
      </c>
      <c r="E1851" s="206"/>
      <c r="F1851" s="206">
        <f t="shared" ref="F1851:F1857" si="152">C1851</f>
        <v>0</v>
      </c>
      <c r="G1851" s="204">
        <f t="shared" si="151"/>
        <v>0</v>
      </c>
      <c r="H1851" s="206"/>
    </row>
    <row r="1852" spans="2:15">
      <c r="B1852" s="83" t="s">
        <v>99</v>
      </c>
      <c r="C1852" s="221">
        <v>0</v>
      </c>
      <c r="D1852" s="204">
        <f t="shared" si="150"/>
        <v>0</v>
      </c>
      <c r="E1852" s="206"/>
      <c r="F1852" s="206">
        <f t="shared" si="152"/>
        <v>0</v>
      </c>
      <c r="G1852" s="204">
        <f t="shared" si="151"/>
        <v>0</v>
      </c>
      <c r="H1852" s="206"/>
    </row>
    <row r="1853" spans="2:15">
      <c r="B1853" s="83" t="s">
        <v>100</v>
      </c>
      <c r="C1853" s="221">
        <f>Model!AG123</f>
        <v>0</v>
      </c>
      <c r="D1853" s="204">
        <f t="shared" si="150"/>
        <v>0</v>
      </c>
      <c r="E1853" s="206"/>
      <c r="F1853" s="206">
        <f t="shared" si="152"/>
        <v>0</v>
      </c>
      <c r="G1853" s="204">
        <f t="shared" si="151"/>
        <v>0</v>
      </c>
      <c r="H1853" s="206"/>
    </row>
    <row r="1854" spans="2:15">
      <c r="B1854" s="83" t="s">
        <v>101</v>
      </c>
      <c r="C1854" s="221">
        <v>0</v>
      </c>
      <c r="D1854" s="204">
        <f t="shared" si="150"/>
        <v>0</v>
      </c>
      <c r="E1854" s="206"/>
      <c r="F1854" s="206">
        <f t="shared" si="152"/>
        <v>0</v>
      </c>
      <c r="G1854" s="204">
        <f t="shared" si="151"/>
        <v>0</v>
      </c>
      <c r="H1854" s="206"/>
    </row>
    <row r="1855" spans="2:15">
      <c r="B1855" s="83" t="s">
        <v>102</v>
      </c>
      <c r="C1855" s="221">
        <f>Model!AG124</f>
        <v>0</v>
      </c>
      <c r="D1855" s="204">
        <f t="shared" si="150"/>
        <v>0</v>
      </c>
      <c r="E1855" s="206"/>
      <c r="F1855" s="206">
        <f t="shared" si="152"/>
        <v>0</v>
      </c>
      <c r="G1855" s="204">
        <f t="shared" si="151"/>
        <v>0</v>
      </c>
      <c r="H1855" s="206"/>
    </row>
    <row r="1856" spans="2:15">
      <c r="B1856" s="83" t="s">
        <v>105</v>
      </c>
      <c r="C1856" s="221">
        <f>Model!AG155</f>
        <v>4009.5639999999999</v>
      </c>
      <c r="D1856" s="204">
        <f t="shared" si="150"/>
        <v>206.37225907999999</v>
      </c>
      <c r="E1856" s="206"/>
      <c r="F1856" s="206">
        <f t="shared" si="152"/>
        <v>4009.5639999999999</v>
      </c>
      <c r="G1856" s="204">
        <f t="shared" si="151"/>
        <v>206.37225907999999</v>
      </c>
      <c r="H1856" s="206"/>
    </row>
    <row r="1857" spans="2:9">
      <c r="B1857" s="83" t="str">
        <f>+Model!B157</f>
        <v>Less; Debt issuance costs</v>
      </c>
      <c r="C1857" s="221">
        <f>Model!AG157</f>
        <v>-351.69400000000002</v>
      </c>
      <c r="D1857" s="204">
        <f t="shared" si="150"/>
        <v>-18.101690180000002</v>
      </c>
      <c r="E1857" s="206"/>
      <c r="F1857" s="206">
        <f t="shared" si="152"/>
        <v>-351.69400000000002</v>
      </c>
      <c r="G1857" s="204">
        <f t="shared" si="151"/>
        <v>-18.101690180000002</v>
      </c>
      <c r="H1857" s="206"/>
    </row>
    <row r="1858" spans="2:9">
      <c r="B1858" s="161" t="s">
        <v>124</v>
      </c>
      <c r="C1858" s="222">
        <f>Model!AG170</f>
        <v>9220.0650000000005</v>
      </c>
      <c r="D1858" s="207">
        <f t="shared" si="150"/>
        <v>474.55674555000002</v>
      </c>
      <c r="E1858" s="207"/>
      <c r="F1858" s="207"/>
      <c r="G1858" s="207"/>
      <c r="H1858" s="207"/>
    </row>
    <row r="1859" spans="2:9">
      <c r="B1859" s="35" t="s">
        <v>12</v>
      </c>
      <c r="C1859" s="208">
        <f>SUM(C1840:C1858)</f>
        <v>121155.40399999999</v>
      </c>
      <c r="D1859" s="208">
        <f>SUM(D1840:D1858)</f>
        <v>6235.8686438800005</v>
      </c>
      <c r="E1859" s="36">
        <f>+C1859/C1864</f>
        <v>3.2002475346431649</v>
      </c>
      <c r="F1859" s="208">
        <f>SUM(F1840:F1858)</f>
        <v>111935.33899999999</v>
      </c>
      <c r="G1859" s="208">
        <f>SUM(G1840:G1858)</f>
        <v>5761.3118983300001</v>
      </c>
      <c r="H1859" s="36">
        <f>+F1859/F1864</f>
        <v>2.9567050321106345</v>
      </c>
      <c r="I1859" s="145"/>
    </row>
    <row r="1860" spans="2:9">
      <c r="B1860" s="34" t="s">
        <v>13</v>
      </c>
      <c r="C1860" s="209">
        <f>+Model!AG165</f>
        <v>7104.8980000000001</v>
      </c>
      <c r="D1860" s="204">
        <f>C1860*$H$1837</f>
        <v>365.68910006000004</v>
      </c>
      <c r="E1860" s="210"/>
      <c r="F1860" s="209">
        <f>C1860</f>
        <v>7104.8980000000001</v>
      </c>
      <c r="G1860" s="209">
        <f>F1860*$H$1837</f>
        <v>365.68910006000004</v>
      </c>
      <c r="H1860" s="210"/>
    </row>
    <row r="1861" spans="2:9">
      <c r="B1861" s="35" t="s">
        <v>14</v>
      </c>
      <c r="C1861" s="208">
        <f>+C1859-C1860</f>
        <v>114050.50599999999</v>
      </c>
      <c r="D1861" s="208">
        <f>+D1859-D1860</f>
        <v>5870.1795438200006</v>
      </c>
      <c r="E1861" s="36">
        <f>+C1861/C1864</f>
        <v>3.0125759033522392</v>
      </c>
      <c r="F1861" s="208">
        <f>F1859-F1860</f>
        <v>104830.44099999999</v>
      </c>
      <c r="G1861" s="208">
        <f>G1859-G1860</f>
        <v>5395.6227982700002</v>
      </c>
      <c r="H1861" s="36">
        <f>+F1861/F1864</f>
        <v>2.7690334008197088</v>
      </c>
    </row>
    <row r="1862" spans="2:9">
      <c r="B1862" s="69" t="s">
        <v>16</v>
      </c>
      <c r="C1862" s="211">
        <f>+Model!AG186</f>
        <v>84077.974000000002</v>
      </c>
      <c r="D1862" s="204">
        <f>C1862*$H$1837</f>
        <v>4327.4933217799999</v>
      </c>
      <c r="E1862" s="212"/>
      <c r="F1862" s="212"/>
      <c r="G1862" s="212"/>
      <c r="H1862" s="212"/>
    </row>
    <row r="1863" spans="2:9">
      <c r="B1863" s="69" t="s">
        <v>18</v>
      </c>
      <c r="C1863" s="211">
        <f>C1859+C1862</f>
        <v>205233.378</v>
      </c>
      <c r="D1863" s="211"/>
      <c r="E1863" s="212"/>
      <c r="F1863" s="212"/>
      <c r="G1863" s="212"/>
      <c r="H1863" s="212"/>
    </row>
    <row r="1864" spans="2:9">
      <c r="B1864" s="34" t="s">
        <v>235</v>
      </c>
      <c r="C1864" s="213">
        <f>+Model!AG92</f>
        <v>37858.135249999999</v>
      </c>
      <c r="D1864" s="213"/>
      <c r="E1864" s="210"/>
      <c r="F1864" s="210">
        <f>C1864</f>
        <v>37858.135249999999</v>
      </c>
      <c r="G1864" s="210"/>
      <c r="H1864" s="210"/>
    </row>
    <row r="1866" spans="2:9">
      <c r="B1866" s="101" t="s">
        <v>59</v>
      </c>
      <c r="C1866" s="229">
        <f>Model!AG179-Capitalisation!C1859</f>
        <v>0</v>
      </c>
      <c r="D1866" s="103"/>
    </row>
    <row r="1867" spans="2:9">
      <c r="B1867" s="101"/>
      <c r="C1867" s="103"/>
    </row>
    <row r="1868" spans="2:9">
      <c r="B1868" s="35" t="s">
        <v>60</v>
      </c>
      <c r="C1868" s="88">
        <f>C1861+Model!AG185</f>
        <v>303663.50599999999</v>
      </c>
    </row>
    <row r="1869" spans="2:9">
      <c r="B1869" s="35" t="s">
        <v>61</v>
      </c>
      <c r="C1869" s="36">
        <f>C1868/C1864</f>
        <v>8.0210898924293961</v>
      </c>
    </row>
    <row r="1871" spans="2:9" ht="13.5" thickBot="1"/>
    <row r="1872" spans="2:9">
      <c r="B1872" s="78" t="s">
        <v>236</v>
      </c>
      <c r="C1872" s="153" t="s">
        <v>4</v>
      </c>
      <c r="D1872" s="153" t="s">
        <v>5</v>
      </c>
      <c r="E1872" s="104"/>
      <c r="F1872" s="104"/>
    </row>
    <row r="1873" spans="2:7">
      <c r="B1873" s="79" t="s">
        <v>108</v>
      </c>
      <c r="C1873" s="214">
        <f>2000/H1837</f>
        <v>38857.586943850787</v>
      </c>
      <c r="D1873" s="202">
        <f>C1873*H1837</f>
        <v>2000</v>
      </c>
      <c r="E1873" s="105"/>
      <c r="F1873" s="105"/>
    </row>
    <row r="1874" spans="2:7">
      <c r="B1874" s="79" t="s">
        <v>63</v>
      </c>
      <c r="C1874" s="202">
        <f>C1860</f>
        <v>7104.8980000000001</v>
      </c>
      <c r="D1874" s="202">
        <f>C1874*H1837</f>
        <v>365.68910006000004</v>
      </c>
      <c r="E1874" s="105"/>
      <c r="F1874" s="105"/>
    </row>
    <row r="1875" spans="2:7" ht="13.5" thickBot="1">
      <c r="B1875" s="80" t="s">
        <v>64</v>
      </c>
      <c r="C1875" s="203">
        <f>SUM(C1873:C1874)</f>
        <v>45962.484943850788</v>
      </c>
      <c r="D1875" s="203">
        <f>SUM(D1873:D1874)</f>
        <v>2365.6891000599999</v>
      </c>
      <c r="E1875" s="105"/>
      <c r="F1875" s="105"/>
    </row>
    <row r="1877" spans="2:7">
      <c r="C1877" s="30"/>
    </row>
    <row r="1878" spans="2:7" ht="13.5" thickBot="1"/>
    <row r="1879" spans="2:7" ht="13.5" thickBot="1">
      <c r="B1879" s="185" t="s">
        <v>237</v>
      </c>
      <c r="C1879" s="189" t="s">
        <v>4</v>
      </c>
      <c r="D1879" s="186" t="s">
        <v>5</v>
      </c>
      <c r="E1879" s="66"/>
      <c r="F1879" s="66" t="s">
        <v>238</v>
      </c>
    </row>
    <row r="1880" spans="2:7">
      <c r="B1880" s="144">
        <v>2020</v>
      </c>
      <c r="C1880" s="199">
        <v>15900.168</v>
      </c>
      <c r="D1880" s="200">
        <f t="shared" ref="D1880:D1885" si="153">+C1880*$H$1837</f>
        <v>818.38164696000001</v>
      </c>
      <c r="F1880" s="28" t="s">
        <v>70</v>
      </c>
      <c r="G1880" s="215">
        <v>0.57999999999999996</v>
      </c>
    </row>
    <row r="1881" spans="2:7">
      <c r="B1881" s="144">
        <v>2021</v>
      </c>
      <c r="C1881" s="199">
        <v>537.59400000000005</v>
      </c>
      <c r="D1881" s="200">
        <f t="shared" si="153"/>
        <v>27.669963180000003</v>
      </c>
      <c r="F1881" s="28" t="s">
        <v>71</v>
      </c>
      <c r="G1881" s="215">
        <v>0.05</v>
      </c>
    </row>
    <row r="1882" spans="2:7">
      <c r="B1882" s="144">
        <v>2022</v>
      </c>
      <c r="C1882" s="199">
        <v>15898.837</v>
      </c>
      <c r="D1882" s="200">
        <f t="shared" si="153"/>
        <v>818.31314039000006</v>
      </c>
      <c r="F1882" s="28" t="s">
        <v>72</v>
      </c>
      <c r="G1882" s="215">
        <v>0.37</v>
      </c>
    </row>
    <row r="1883" spans="2:7">
      <c r="B1883" s="144">
        <v>2023</v>
      </c>
      <c r="C1883" s="199">
        <v>228.44900000000001</v>
      </c>
      <c r="D1883" s="200">
        <f t="shared" si="153"/>
        <v>11.75827003</v>
      </c>
      <c r="G1883" s="50"/>
    </row>
    <row r="1884" spans="2:7">
      <c r="B1884" s="144">
        <v>2024</v>
      </c>
      <c r="C1884" s="199">
        <v>15484.259</v>
      </c>
      <c r="D1884" s="200">
        <f t="shared" si="153"/>
        <v>796.97481073000006</v>
      </c>
    </row>
    <row r="1885" spans="2:7" ht="13.5" thickBot="1">
      <c r="B1885" s="144" t="s">
        <v>206</v>
      </c>
      <c r="C1885" s="199">
        <v>39617.966999999997</v>
      </c>
      <c r="D1885" s="200">
        <f t="shared" si="153"/>
        <v>2039.13676149</v>
      </c>
    </row>
    <row r="1886" spans="2:7" ht="13.5" thickBot="1">
      <c r="B1886" s="185" t="s">
        <v>68</v>
      </c>
      <c r="C1886" s="198">
        <f>SUM(C1880:C1885)</f>
        <v>87667.274000000005</v>
      </c>
      <c r="D1886" s="201">
        <f>SUM(D1880:D1885)</f>
        <v>4512.2345927799997</v>
      </c>
      <c r="G1886" s="127"/>
    </row>
    <row r="1890" spans="2:13">
      <c r="G1890" s="66" t="s">
        <v>239</v>
      </c>
      <c r="H1890" s="28">
        <f>Model!AF267</f>
        <v>5.0900000000000001E-2</v>
      </c>
      <c r="J1890" s="184" t="s">
        <v>8</v>
      </c>
    </row>
    <row r="1891" spans="2:13">
      <c r="B1891" s="391" t="s">
        <v>240</v>
      </c>
      <c r="C1891" s="391"/>
      <c r="D1891" s="391"/>
      <c r="E1891" s="391"/>
      <c r="F1891" s="391"/>
      <c r="G1891" s="391"/>
      <c r="H1891" s="391"/>
      <c r="I1891" s="82"/>
      <c r="J1891" s="392" t="s">
        <v>240</v>
      </c>
      <c r="K1891" s="392"/>
      <c r="L1891" s="392"/>
      <c r="M1891" s="175"/>
    </row>
    <row r="1892" spans="2:13" ht="25.5">
      <c r="B1892" s="26" t="s">
        <v>4</v>
      </c>
      <c r="C1892" s="106" t="s">
        <v>4</v>
      </c>
      <c r="D1892" s="106" t="s">
        <v>5</v>
      </c>
      <c r="E1892" s="166" t="s">
        <v>94</v>
      </c>
      <c r="F1892" s="106" t="s">
        <v>4</v>
      </c>
      <c r="G1892" s="106" t="s">
        <v>5</v>
      </c>
      <c r="H1892" s="166" t="s">
        <v>95</v>
      </c>
      <c r="I1892" s="27"/>
      <c r="J1892" s="26"/>
      <c r="K1892" s="106" t="s">
        <v>4</v>
      </c>
      <c r="L1892" s="106" t="s">
        <v>5</v>
      </c>
      <c r="M1892" s="106" t="s">
        <v>85</v>
      </c>
    </row>
    <row r="1893" spans="2:13">
      <c r="B1893" s="100" t="s">
        <v>11</v>
      </c>
      <c r="C1893" s="87"/>
      <c r="D1893" s="87"/>
      <c r="E1893" s="84"/>
      <c r="F1893" s="84"/>
      <c r="G1893" s="84"/>
      <c r="H1893" s="84"/>
      <c r="J1893" s="178" t="s">
        <v>12</v>
      </c>
      <c r="K1893" s="179">
        <v>89846</v>
      </c>
      <c r="L1893" s="179">
        <f>K1893*$H$1890</f>
        <v>4573.1614</v>
      </c>
      <c r="M1893" s="180">
        <f>+K1893/K1898</f>
        <v>2.8338117016243496</v>
      </c>
    </row>
    <row r="1894" spans="2:13">
      <c r="B1894" s="83" t="s">
        <v>21</v>
      </c>
      <c r="C1894" s="87">
        <f>Model!AF122</f>
        <v>15746.32</v>
      </c>
      <c r="D1894" s="193">
        <f t="shared" ref="D1894:D1910" si="154">C1894*$H$1890</f>
        <v>801.48768800000005</v>
      </c>
      <c r="E1894" s="84"/>
      <c r="F1894" s="108">
        <f>C1894</f>
        <v>15746.32</v>
      </c>
      <c r="G1894" s="193">
        <f>F1894*$H$1890</f>
        <v>801.48768800000005</v>
      </c>
      <c r="H1894" s="84"/>
      <c r="J1894" s="181" t="s">
        <v>13</v>
      </c>
      <c r="K1894" s="182">
        <f>C1912</f>
        <v>7583.817</v>
      </c>
      <c r="L1894" s="182">
        <f>K1894*$H$1890</f>
        <v>386.01628529999999</v>
      </c>
      <c r="M1894" s="175"/>
    </row>
    <row r="1895" spans="2:13">
      <c r="B1895" s="83" t="s">
        <v>162</v>
      </c>
      <c r="C1895" s="87">
        <f>Model!AF121</f>
        <v>15746.32</v>
      </c>
      <c r="D1895" s="193">
        <f t="shared" si="154"/>
        <v>801.48768800000005</v>
      </c>
      <c r="E1895" s="84"/>
      <c r="F1895" s="108">
        <f>C1895</f>
        <v>15746.32</v>
      </c>
      <c r="G1895" s="193">
        <f t="shared" ref="G1895:G1909" si="155">F1895*$H$1890</f>
        <v>801.48768800000005</v>
      </c>
      <c r="H1895" s="84"/>
      <c r="J1895" s="178" t="s">
        <v>14</v>
      </c>
      <c r="K1895" s="179">
        <f>+K1893-K1894</f>
        <v>82262.183000000005</v>
      </c>
      <c r="L1895" s="179">
        <f>+L1893-L1894</f>
        <v>4187.1451146999998</v>
      </c>
      <c r="M1895" s="180">
        <f>+K1895/K1898</f>
        <v>2.5946123008989121</v>
      </c>
    </row>
    <row r="1896" spans="2:13">
      <c r="B1896" s="83" t="s">
        <v>17</v>
      </c>
      <c r="C1896" s="87">
        <f>Model!AF120</f>
        <v>15746.32</v>
      </c>
      <c r="D1896" s="193">
        <f t="shared" si="154"/>
        <v>801.48768800000005</v>
      </c>
      <c r="E1896" s="84"/>
      <c r="F1896" s="108">
        <f>C1896</f>
        <v>15746.32</v>
      </c>
      <c r="G1896" s="193">
        <f t="shared" si="155"/>
        <v>801.48768800000005</v>
      </c>
      <c r="H1896" s="84"/>
      <c r="J1896" s="183" t="s">
        <v>16</v>
      </c>
      <c r="K1896" s="176">
        <f>C1914</f>
        <v>84573.872000000003</v>
      </c>
      <c r="L1896" s="176">
        <f>K1896*$H$1890</f>
        <v>4304.8100848000004</v>
      </c>
      <c r="M1896" s="175"/>
    </row>
    <row r="1897" spans="2:13">
      <c r="B1897" s="83" t="s">
        <v>15</v>
      </c>
      <c r="C1897" s="87">
        <f>Model!AF119</f>
        <v>9841.4500000000007</v>
      </c>
      <c r="D1897" s="193">
        <f t="shared" si="154"/>
        <v>500.92980500000004</v>
      </c>
      <c r="E1897" s="84"/>
      <c r="F1897" s="108">
        <f>C1897</f>
        <v>9841.4500000000007</v>
      </c>
      <c r="G1897" s="193">
        <f t="shared" si="155"/>
        <v>500.92980500000004</v>
      </c>
      <c r="H1897" s="84"/>
      <c r="J1897" s="183" t="s">
        <v>18</v>
      </c>
      <c r="K1897" s="176">
        <f>K1893+K1896</f>
        <v>174419.872</v>
      </c>
      <c r="L1897" s="176"/>
      <c r="M1897" s="175"/>
    </row>
    <row r="1898" spans="2:13">
      <c r="B1898" s="83" t="s">
        <v>96</v>
      </c>
      <c r="C1898" s="87">
        <f>Model!AF132</f>
        <v>12793.885</v>
      </c>
      <c r="D1898" s="193">
        <f t="shared" si="154"/>
        <v>651.20874650000007</v>
      </c>
      <c r="E1898" s="84"/>
      <c r="F1898" s="108">
        <f>C1898</f>
        <v>12793.885</v>
      </c>
      <c r="G1898" s="193">
        <f t="shared" si="155"/>
        <v>651.20874650000007</v>
      </c>
      <c r="H1898" s="84"/>
      <c r="J1898" s="181" t="s">
        <v>241</v>
      </c>
      <c r="K1898" s="177">
        <f>C1916</f>
        <v>31705</v>
      </c>
      <c r="L1898" s="177"/>
      <c r="M1898" s="175"/>
    </row>
    <row r="1899" spans="2:13">
      <c r="B1899" s="100" t="s">
        <v>97</v>
      </c>
      <c r="C1899" s="87"/>
      <c r="D1899" s="193">
        <f t="shared" si="154"/>
        <v>0</v>
      </c>
      <c r="E1899" s="84"/>
      <c r="F1899" s="108"/>
      <c r="G1899" s="193"/>
      <c r="H1899" s="84"/>
    </row>
    <row r="1900" spans="2:13">
      <c r="B1900" s="83" t="s">
        <v>26</v>
      </c>
      <c r="C1900" s="87">
        <f>Model!AF125</f>
        <v>7829.6819999999998</v>
      </c>
      <c r="D1900" s="193">
        <f t="shared" si="154"/>
        <v>398.53081379999998</v>
      </c>
      <c r="E1900" s="84"/>
      <c r="F1900" s="108">
        <f>C1900</f>
        <v>7829.6819999999998</v>
      </c>
      <c r="G1900" s="193">
        <f t="shared" si="155"/>
        <v>398.53081379999998</v>
      </c>
      <c r="H1900" s="84"/>
      <c r="I1900" s="102"/>
    </row>
    <row r="1901" spans="2:13">
      <c r="B1901" s="83" t="s">
        <v>30</v>
      </c>
      <c r="C1901" s="87">
        <f>Model!AF129</f>
        <v>9723.1020000000008</v>
      </c>
      <c r="D1901" s="193">
        <f t="shared" si="154"/>
        <v>494.90589180000006</v>
      </c>
      <c r="E1901" s="84"/>
      <c r="F1901" s="108">
        <f>C1901</f>
        <v>9723.1020000000008</v>
      </c>
      <c r="G1901" s="193">
        <f t="shared" si="155"/>
        <v>494.90589180000006</v>
      </c>
      <c r="H1901" s="84"/>
    </row>
    <row r="1902" spans="2:13">
      <c r="B1902" s="100" t="s">
        <v>98</v>
      </c>
      <c r="C1902" s="87"/>
      <c r="D1902" s="193">
        <f t="shared" si="154"/>
        <v>0</v>
      </c>
      <c r="E1902" s="84"/>
      <c r="F1902" s="108"/>
      <c r="G1902" s="193"/>
      <c r="H1902" s="84"/>
    </row>
    <row r="1903" spans="2:13">
      <c r="B1903" s="100" t="s">
        <v>99</v>
      </c>
      <c r="C1903" s="87"/>
      <c r="D1903" s="193">
        <f t="shared" si="154"/>
        <v>0</v>
      </c>
      <c r="E1903" s="84"/>
      <c r="F1903" s="108">
        <f t="shared" ref="F1903:F1909" si="156">C1903</f>
        <v>0</v>
      </c>
      <c r="G1903" s="193">
        <f t="shared" si="155"/>
        <v>0</v>
      </c>
      <c r="H1903" s="84"/>
    </row>
    <row r="1904" spans="2:13">
      <c r="B1904" s="83" t="s">
        <v>99</v>
      </c>
      <c r="C1904" s="87">
        <v>0</v>
      </c>
      <c r="D1904" s="193">
        <f t="shared" si="154"/>
        <v>0</v>
      </c>
      <c r="E1904" s="84"/>
      <c r="F1904" s="108">
        <f t="shared" si="156"/>
        <v>0</v>
      </c>
      <c r="G1904" s="193">
        <f t="shared" si="155"/>
        <v>0</v>
      </c>
      <c r="H1904" s="84"/>
    </row>
    <row r="1905" spans="2:9">
      <c r="B1905" s="83" t="s">
        <v>100</v>
      </c>
      <c r="C1905" s="87">
        <f>Model!AF123</f>
        <v>0</v>
      </c>
      <c r="D1905" s="193">
        <f t="shared" si="154"/>
        <v>0</v>
      </c>
      <c r="E1905" s="84"/>
      <c r="F1905" s="108">
        <f t="shared" si="156"/>
        <v>0</v>
      </c>
      <c r="G1905" s="193">
        <f t="shared" si="155"/>
        <v>0</v>
      </c>
      <c r="H1905" s="84"/>
    </row>
    <row r="1906" spans="2:9">
      <c r="B1906" s="83" t="s">
        <v>101</v>
      </c>
      <c r="C1906" s="87">
        <v>0</v>
      </c>
      <c r="D1906" s="193">
        <f t="shared" si="154"/>
        <v>0</v>
      </c>
      <c r="E1906" s="84"/>
      <c r="F1906" s="108">
        <f t="shared" si="156"/>
        <v>0</v>
      </c>
      <c r="G1906" s="193">
        <f t="shared" si="155"/>
        <v>0</v>
      </c>
      <c r="H1906" s="84"/>
    </row>
    <row r="1907" spans="2:9">
      <c r="B1907" s="83" t="s">
        <v>102</v>
      </c>
      <c r="C1907" s="87">
        <f>Model!AF124</f>
        <v>0</v>
      </c>
      <c r="D1907" s="193">
        <f t="shared" si="154"/>
        <v>0</v>
      </c>
      <c r="E1907" s="84"/>
      <c r="F1907" s="108">
        <f t="shared" si="156"/>
        <v>0</v>
      </c>
      <c r="G1907" s="193">
        <f t="shared" si="155"/>
        <v>0</v>
      </c>
      <c r="H1907" s="84"/>
    </row>
    <row r="1908" spans="2:9">
      <c r="B1908" s="83" t="s">
        <v>105</v>
      </c>
      <c r="C1908" s="87">
        <f>Model!AF155</f>
        <v>2783.0050000000001</v>
      </c>
      <c r="D1908" s="193">
        <f t="shared" si="154"/>
        <v>141.6549545</v>
      </c>
      <c r="E1908" s="84"/>
      <c r="F1908" s="108">
        <f t="shared" si="156"/>
        <v>2783.0050000000001</v>
      </c>
      <c r="G1908" s="193">
        <f t="shared" si="155"/>
        <v>141.6549545</v>
      </c>
      <c r="H1908" s="84"/>
    </row>
    <row r="1909" spans="2:9">
      <c r="B1909" s="83" t="s">
        <v>242</v>
      </c>
      <c r="C1909" s="87">
        <f>Model!AF157</f>
        <v>-364.28199999999998</v>
      </c>
      <c r="D1909" s="193">
        <f t="shared" si="154"/>
        <v>-18.541953799999998</v>
      </c>
      <c r="E1909" s="84"/>
      <c r="F1909" s="108">
        <f t="shared" si="156"/>
        <v>-364.28199999999998</v>
      </c>
      <c r="G1909" s="193">
        <f t="shared" si="155"/>
        <v>-18.541953799999998</v>
      </c>
      <c r="H1909" s="84"/>
    </row>
    <row r="1910" spans="2:9">
      <c r="B1910" s="161" t="s">
        <v>124</v>
      </c>
      <c r="C1910" s="162">
        <f>Model!AF170</f>
        <v>9182.223</v>
      </c>
      <c r="D1910" s="194">
        <f t="shared" si="154"/>
        <v>467.37515070000001</v>
      </c>
      <c r="E1910" s="163"/>
      <c r="F1910" s="163"/>
      <c r="G1910" s="164"/>
      <c r="H1910" s="163"/>
    </row>
    <row r="1911" spans="2:9">
      <c r="B1911" s="35" t="s">
        <v>12</v>
      </c>
      <c r="C1911" s="88">
        <f>SUM(C1893:C1910)</f>
        <v>99028.024999999994</v>
      </c>
      <c r="D1911" s="88">
        <f>SUM(D1893:D1910)</f>
        <v>5040.5264725000006</v>
      </c>
      <c r="E1911" s="36">
        <f>+C1911/C1916</f>
        <v>3.1234198076013246</v>
      </c>
      <c r="F1911" s="88">
        <f>SUM(F1893:F1910)</f>
        <v>89845.801999999996</v>
      </c>
      <c r="G1911" s="88">
        <f>SUM(G1893:G1910)</f>
        <v>4573.1513218000009</v>
      </c>
      <c r="H1911" s="36">
        <f>+F1911/F1916</f>
        <v>2.8338054565525943</v>
      </c>
      <c r="I1911" s="145"/>
    </row>
    <row r="1912" spans="2:9">
      <c r="B1912" s="34" t="s">
        <v>13</v>
      </c>
      <c r="C1912" s="89">
        <f>+Model!AF165</f>
        <v>7583.817</v>
      </c>
      <c r="D1912" s="89">
        <f>C1912*$H$1890</f>
        <v>386.01628529999999</v>
      </c>
      <c r="E1912" s="37"/>
      <c r="F1912" s="89">
        <f>C1912</f>
        <v>7583.817</v>
      </c>
      <c r="G1912" s="89">
        <f>F1912*$H$1890</f>
        <v>386.01628529999999</v>
      </c>
      <c r="H1912" s="37"/>
    </row>
    <row r="1913" spans="2:9">
      <c r="B1913" s="35" t="s">
        <v>14</v>
      </c>
      <c r="C1913" s="88">
        <f>+C1911-C1912</f>
        <v>91444.207999999999</v>
      </c>
      <c r="D1913" s="88">
        <f>+D1911-D1912</f>
        <v>4654.5101872000005</v>
      </c>
      <c r="E1913" s="36">
        <f>+C1913/C1916</f>
        <v>2.8842204068758872</v>
      </c>
      <c r="F1913" s="88">
        <f>F1911-F1912</f>
        <v>82261.985000000001</v>
      </c>
      <c r="G1913" s="88">
        <f>G1911-G1912</f>
        <v>4187.1350365000008</v>
      </c>
      <c r="H1913" s="36">
        <f>+F1913/F1916</f>
        <v>2.5946060558271564</v>
      </c>
    </row>
    <row r="1914" spans="2:9">
      <c r="B1914" s="69" t="s">
        <v>16</v>
      </c>
      <c r="C1914" s="90">
        <f>+Model!AF186</f>
        <v>84573.872000000003</v>
      </c>
      <c r="D1914" s="90">
        <f>C1914*$H$1890</f>
        <v>4304.8100848000004</v>
      </c>
      <c r="E1914" s="70"/>
      <c r="F1914" s="70"/>
      <c r="G1914" s="70"/>
      <c r="H1914" s="70"/>
    </row>
    <row r="1915" spans="2:9">
      <c r="B1915" s="69" t="s">
        <v>18</v>
      </c>
      <c r="C1915" s="90">
        <f>C1911+C1914</f>
        <v>183601.897</v>
      </c>
      <c r="D1915" s="90"/>
      <c r="E1915" s="70"/>
      <c r="F1915" s="70"/>
      <c r="G1915" s="70"/>
      <c r="H1915" s="70"/>
    </row>
    <row r="1916" spans="2:9">
      <c r="B1916" s="34" t="s">
        <v>243</v>
      </c>
      <c r="C1916" s="6">
        <f>+Model!AF91</f>
        <v>31705</v>
      </c>
      <c r="D1916" s="6"/>
      <c r="E1916" s="34"/>
      <c r="F1916" s="165">
        <f>C1916</f>
        <v>31705</v>
      </c>
      <c r="G1916" s="165"/>
      <c r="H1916" s="34"/>
    </row>
    <row r="1918" spans="2:9">
      <c r="B1918" s="101" t="s">
        <v>59</v>
      </c>
      <c r="C1918" s="103">
        <f>Model!AF173-Capitalisation!C1911</f>
        <v>0</v>
      </c>
    </row>
    <row r="1919" spans="2:9">
      <c r="B1919" s="101"/>
      <c r="C1919" s="103"/>
    </row>
    <row r="1920" spans="2:9">
      <c r="B1920" s="35" t="s">
        <v>60</v>
      </c>
      <c r="C1920" s="88">
        <f>C1913+Model!AF185</f>
        <v>274375.408</v>
      </c>
    </row>
    <row r="1921" spans="2:7">
      <c r="B1921" s="35" t="s">
        <v>61</v>
      </c>
      <c r="C1921" s="36">
        <f>C1920/C1916</f>
        <v>8.6540106607790577</v>
      </c>
    </row>
    <row r="1923" spans="2:7" ht="13.5" thickBot="1"/>
    <row r="1924" spans="2:7">
      <c r="B1924" s="78" t="s">
        <v>244</v>
      </c>
      <c r="C1924" s="153" t="s">
        <v>4</v>
      </c>
      <c r="D1924" s="153" t="s">
        <v>5</v>
      </c>
      <c r="E1924" s="104"/>
      <c r="F1924" s="104"/>
    </row>
    <row r="1925" spans="2:7">
      <c r="B1925" s="79" t="s">
        <v>108</v>
      </c>
      <c r="C1925" s="192">
        <f>2000/H1890</f>
        <v>39292.73084479371</v>
      </c>
      <c r="D1925" s="111">
        <f>C1925*H1890</f>
        <v>1999.9999999999998</v>
      </c>
      <c r="E1925" s="105"/>
      <c r="F1925" s="105"/>
    </row>
    <row r="1926" spans="2:7">
      <c r="B1926" s="79" t="s">
        <v>63</v>
      </c>
      <c r="C1926" s="111">
        <f>+C1912</f>
        <v>7583.817</v>
      </c>
      <c r="D1926" s="111">
        <f>C1926*H1890</f>
        <v>386.01628529999999</v>
      </c>
      <c r="E1926" s="105"/>
      <c r="F1926" s="105"/>
    </row>
    <row r="1927" spans="2:7" ht="13.5" thickBot="1">
      <c r="B1927" s="80" t="s">
        <v>64</v>
      </c>
      <c r="C1927" s="112">
        <f>SUM(C1925:C1926)</f>
        <v>46876.547844793713</v>
      </c>
      <c r="D1927" s="112">
        <f>SUM(D1925:D1926)</f>
        <v>2386.0162852999997</v>
      </c>
      <c r="E1927" s="105"/>
      <c r="F1927" s="105"/>
    </row>
    <row r="1929" spans="2:7">
      <c r="C1929" s="30"/>
    </row>
    <row r="1930" spans="2:7" ht="13.5" thickBot="1"/>
    <row r="1931" spans="2:7" ht="13.5" thickBot="1">
      <c r="B1931" s="185" t="s">
        <v>245</v>
      </c>
      <c r="C1931" s="189" t="s">
        <v>4</v>
      </c>
      <c r="D1931" s="186" t="s">
        <v>5</v>
      </c>
      <c r="E1931" s="66"/>
      <c r="F1931" s="66" t="s">
        <v>246</v>
      </c>
    </row>
    <row r="1932" spans="2:7">
      <c r="B1932" s="144">
        <v>2020</v>
      </c>
      <c r="C1932" s="187">
        <v>15951.045</v>
      </c>
      <c r="D1932" s="167">
        <f t="shared" ref="D1932:D1937" si="157">+C1932*$H$1890</f>
        <v>811.90819050000005</v>
      </c>
      <c r="F1932" s="28" t="s">
        <v>70</v>
      </c>
      <c r="G1932" s="50">
        <v>0.59</v>
      </c>
    </row>
    <row r="1933" spans="2:7">
      <c r="B1933" s="144">
        <v>2021</v>
      </c>
      <c r="C1933" s="187">
        <v>513.22500000000002</v>
      </c>
      <c r="D1933" s="167">
        <f t="shared" si="157"/>
        <v>26.123152500000003</v>
      </c>
      <c r="F1933" s="28" t="s">
        <v>71</v>
      </c>
      <c r="G1933" s="50">
        <v>0.05</v>
      </c>
    </row>
    <row r="1934" spans="2:7">
      <c r="B1934" s="144">
        <v>2022</v>
      </c>
      <c r="C1934" s="187">
        <v>15941.228999999999</v>
      </c>
      <c r="D1934" s="167">
        <f t="shared" si="157"/>
        <v>811.40855609999994</v>
      </c>
      <c r="F1934" s="28" t="s">
        <v>72</v>
      </c>
      <c r="G1934" s="50">
        <v>0.36</v>
      </c>
    </row>
    <row r="1935" spans="2:7">
      <c r="B1935" s="144">
        <v>2023</v>
      </c>
      <c r="C1935" s="187">
        <v>168.78399999999999</v>
      </c>
      <c r="D1935" s="167">
        <f t="shared" si="157"/>
        <v>8.5911056000000006</v>
      </c>
      <c r="G1935" s="50"/>
    </row>
    <row r="1936" spans="2:7">
      <c r="B1936" s="144">
        <v>2024</v>
      </c>
      <c r="C1936" s="187">
        <v>15699.501</v>
      </c>
      <c r="D1936" s="167">
        <f t="shared" si="157"/>
        <v>799.10460090000004</v>
      </c>
    </row>
    <row r="1937" spans="2:13">
      <c r="B1937" s="144" t="s">
        <v>206</v>
      </c>
      <c r="C1937" s="187">
        <v>40419.315999999999</v>
      </c>
      <c r="D1937" s="167">
        <f t="shared" si="157"/>
        <v>2057.3431844000002</v>
      </c>
    </row>
    <row r="1938" spans="2:13">
      <c r="B1938" s="144"/>
      <c r="C1938" s="187"/>
      <c r="D1938" s="167"/>
    </row>
    <row r="1939" spans="2:13" ht="13.5" thickBot="1">
      <c r="B1939" s="148"/>
      <c r="C1939" s="188"/>
      <c r="D1939" s="169"/>
      <c r="E1939" s="151"/>
      <c r="F1939" s="151"/>
    </row>
    <row r="1940" spans="2:13" ht="13.5" thickBot="1">
      <c r="B1940" s="185" t="s">
        <v>68</v>
      </c>
      <c r="C1940" s="191">
        <f>SUM(C1932:C1939)</f>
        <v>88693.1</v>
      </c>
      <c r="D1940" s="190">
        <f>SUM(D1932:D1939)</f>
        <v>4514.4787900000001</v>
      </c>
      <c r="G1940" s="127"/>
    </row>
    <row r="1943" spans="2:13">
      <c r="G1943" s="66" t="s">
        <v>247</v>
      </c>
      <c r="H1943" s="28">
        <f>Model!AE267</f>
        <v>5.3429999999999998E-2</v>
      </c>
      <c r="J1943" s="184" t="s">
        <v>8</v>
      </c>
    </row>
    <row r="1944" spans="2:13">
      <c r="B1944" s="391" t="s">
        <v>248</v>
      </c>
      <c r="C1944" s="391"/>
      <c r="D1944" s="391"/>
      <c r="E1944" s="391"/>
      <c r="F1944" s="391"/>
      <c r="G1944" s="391"/>
      <c r="H1944" s="391"/>
      <c r="I1944" s="82"/>
      <c r="J1944" s="392" t="s">
        <v>248</v>
      </c>
      <c r="K1944" s="392"/>
      <c r="L1944" s="392"/>
      <c r="M1944" s="175"/>
    </row>
    <row r="1945" spans="2:13" ht="25.5">
      <c r="B1945" s="26" t="s">
        <v>4</v>
      </c>
      <c r="C1945" s="106" t="s">
        <v>4</v>
      </c>
      <c r="D1945" s="106" t="s">
        <v>5</v>
      </c>
      <c r="E1945" s="166" t="s">
        <v>94</v>
      </c>
      <c r="F1945" s="106" t="s">
        <v>4</v>
      </c>
      <c r="G1945" s="106" t="s">
        <v>5</v>
      </c>
      <c r="H1945" s="166" t="s">
        <v>95</v>
      </c>
      <c r="I1945" s="27"/>
      <c r="J1945" s="26"/>
      <c r="K1945" s="106" t="s">
        <v>4</v>
      </c>
      <c r="L1945" s="106" t="s">
        <v>5</v>
      </c>
      <c r="M1945" s="106" t="s">
        <v>85</v>
      </c>
    </row>
    <row r="1946" spans="2:13">
      <c r="B1946" s="100" t="s">
        <v>11</v>
      </c>
      <c r="C1946" s="87"/>
      <c r="D1946" s="87"/>
      <c r="E1946" s="84"/>
      <c r="F1946" s="84"/>
      <c r="G1946" s="84"/>
      <c r="H1946" s="84"/>
      <c r="J1946" s="178" t="s">
        <v>12</v>
      </c>
      <c r="K1946" s="179">
        <v>87935.111000000004</v>
      </c>
      <c r="L1946" s="179">
        <f>K1946*$H$1943</f>
        <v>4698.3729807299997</v>
      </c>
      <c r="M1946" s="180">
        <f>+K1946/K1951</f>
        <v>2.9529235703012193</v>
      </c>
    </row>
    <row r="1947" spans="2:13">
      <c r="B1947" s="83" t="s">
        <v>21</v>
      </c>
      <c r="C1947" s="87">
        <f>Model!AE122</f>
        <v>15049.6</v>
      </c>
      <c r="D1947" s="172">
        <f t="shared" ref="D1947:D1963" si="158">C1947*$H$1943</f>
        <v>804.10012800000004</v>
      </c>
      <c r="E1947" s="84"/>
      <c r="F1947" s="108">
        <f t="shared" ref="F1947:F1962" si="159">C1947</f>
        <v>15049.6</v>
      </c>
      <c r="G1947" s="172">
        <f>F1947*$H$1943</f>
        <v>804.10012800000004</v>
      </c>
      <c r="H1947" s="84"/>
      <c r="J1947" s="181" t="s">
        <v>13</v>
      </c>
      <c r="K1947" s="182">
        <f>C1965</f>
        <v>7973.7160000000003</v>
      </c>
      <c r="L1947" s="182">
        <f>K1947*$H$1943</f>
        <v>426.03564588</v>
      </c>
      <c r="M1947" s="175"/>
    </row>
    <row r="1948" spans="2:13">
      <c r="B1948" s="83" t="s">
        <v>162</v>
      </c>
      <c r="C1948" s="87">
        <f>Model!AE121</f>
        <v>15049.6</v>
      </c>
      <c r="D1948" s="172">
        <f t="shared" si="158"/>
        <v>804.10012800000004</v>
      </c>
      <c r="E1948" s="84"/>
      <c r="F1948" s="108">
        <f t="shared" si="159"/>
        <v>15049.6</v>
      </c>
      <c r="G1948" s="172">
        <f t="shared" ref="G1948:G1962" si="160">F1948*$H$1943</f>
        <v>804.10012800000004</v>
      </c>
      <c r="H1948" s="84"/>
      <c r="J1948" s="178" t="s">
        <v>14</v>
      </c>
      <c r="K1948" s="179">
        <f>+K1946-K1947</f>
        <v>79961.395000000004</v>
      </c>
      <c r="L1948" s="179">
        <f>+L1946-L1947</f>
        <v>4272.3373348499999</v>
      </c>
      <c r="M1948" s="180">
        <f>+K1948/K1951</f>
        <v>2.6851605157997249</v>
      </c>
    </row>
    <row r="1949" spans="2:13">
      <c r="B1949" s="83" t="s">
        <v>17</v>
      </c>
      <c r="C1949" s="87">
        <f>Model!AE120</f>
        <v>15049.6</v>
      </c>
      <c r="D1949" s="172">
        <f t="shared" si="158"/>
        <v>804.10012800000004</v>
      </c>
      <c r="E1949" s="84"/>
      <c r="F1949" s="108">
        <f t="shared" si="159"/>
        <v>15049.6</v>
      </c>
      <c r="G1949" s="172">
        <f t="shared" si="160"/>
        <v>804.10012800000004</v>
      </c>
      <c r="H1949" s="84"/>
      <c r="J1949" s="183" t="s">
        <v>16</v>
      </c>
      <c r="K1949" s="176">
        <f>C1967</f>
        <v>19847.745999999999</v>
      </c>
      <c r="L1949" s="176">
        <f>K1949*$H$1943</f>
        <v>1060.4650687799999</v>
      </c>
      <c r="M1949" s="175"/>
    </row>
    <row r="1950" spans="2:13">
      <c r="B1950" s="83" t="s">
        <v>15</v>
      </c>
      <c r="C1950" s="87">
        <f>Model!AE119</f>
        <v>9406</v>
      </c>
      <c r="D1950" s="172">
        <f t="shared" si="158"/>
        <v>502.56257999999997</v>
      </c>
      <c r="E1950" s="84"/>
      <c r="F1950" s="108">
        <f t="shared" si="159"/>
        <v>9406</v>
      </c>
      <c r="G1950" s="172">
        <f t="shared" si="160"/>
        <v>502.56257999999997</v>
      </c>
      <c r="H1950" s="84"/>
      <c r="J1950" s="183" t="s">
        <v>18</v>
      </c>
      <c r="K1950" s="176">
        <f>K1946+K1949</f>
        <v>107782.857</v>
      </c>
      <c r="L1950" s="176"/>
      <c r="M1950" s="175"/>
    </row>
    <row r="1951" spans="2:13">
      <c r="B1951" s="83" t="s">
        <v>96</v>
      </c>
      <c r="C1951" s="87">
        <f>Model!AE132</f>
        <v>12227.8</v>
      </c>
      <c r="D1951" s="172">
        <f t="shared" si="158"/>
        <v>653.33135399999992</v>
      </c>
      <c r="E1951" s="84"/>
      <c r="F1951" s="108">
        <f t="shared" si="159"/>
        <v>12227.8</v>
      </c>
      <c r="G1951" s="172">
        <f t="shared" si="160"/>
        <v>653.33135399999992</v>
      </c>
      <c r="H1951" s="84"/>
      <c r="J1951" s="181" t="s">
        <v>241</v>
      </c>
      <c r="K1951" s="177">
        <f>C1969</f>
        <v>29779</v>
      </c>
      <c r="L1951" s="177"/>
      <c r="M1951" s="175"/>
    </row>
    <row r="1952" spans="2:13">
      <c r="B1952" s="100" t="s">
        <v>97</v>
      </c>
      <c r="C1952" s="87"/>
      <c r="D1952" s="172">
        <f t="shared" si="158"/>
        <v>0</v>
      </c>
      <c r="E1952" s="84"/>
      <c r="F1952" s="108">
        <f t="shared" si="159"/>
        <v>0</v>
      </c>
      <c r="G1952" s="172">
        <f t="shared" si="160"/>
        <v>0</v>
      </c>
      <c r="H1952" s="84"/>
    </row>
    <row r="1953" spans="2:9">
      <c r="B1953" s="83" t="s">
        <v>26</v>
      </c>
      <c r="C1953" s="87">
        <f>Model!AE125</f>
        <v>8000</v>
      </c>
      <c r="D1953" s="172">
        <f t="shared" si="158"/>
        <v>427.44</v>
      </c>
      <c r="E1953" s="84"/>
      <c r="F1953" s="108">
        <f t="shared" si="159"/>
        <v>8000</v>
      </c>
      <c r="G1953" s="172">
        <f t="shared" si="160"/>
        <v>427.44</v>
      </c>
      <c r="H1953" s="84"/>
      <c r="I1953" s="102"/>
    </row>
    <row r="1954" spans="2:9">
      <c r="B1954" s="83" t="s">
        <v>30</v>
      </c>
      <c r="C1954" s="87">
        <f>Model!AE129</f>
        <v>10000</v>
      </c>
      <c r="D1954" s="172">
        <f t="shared" si="158"/>
        <v>534.29999999999995</v>
      </c>
      <c r="E1954" s="84"/>
      <c r="F1954" s="108">
        <f t="shared" si="159"/>
        <v>10000</v>
      </c>
      <c r="G1954" s="172">
        <f t="shared" si="160"/>
        <v>534.29999999999995</v>
      </c>
      <c r="H1954" s="84"/>
    </row>
    <row r="1955" spans="2:9">
      <c r="B1955" s="100" t="s">
        <v>98</v>
      </c>
      <c r="C1955" s="87"/>
      <c r="D1955" s="172">
        <f t="shared" si="158"/>
        <v>0</v>
      </c>
      <c r="E1955" s="84"/>
      <c r="F1955" s="108">
        <f t="shared" si="159"/>
        <v>0</v>
      </c>
      <c r="G1955" s="172">
        <f t="shared" si="160"/>
        <v>0</v>
      </c>
      <c r="H1955" s="84"/>
    </row>
    <row r="1956" spans="2:9">
      <c r="B1956" s="100" t="s">
        <v>99</v>
      </c>
      <c r="C1956" s="87"/>
      <c r="D1956" s="172">
        <f t="shared" si="158"/>
        <v>0</v>
      </c>
      <c r="E1956" s="84"/>
      <c r="F1956" s="108">
        <f t="shared" si="159"/>
        <v>0</v>
      </c>
      <c r="G1956" s="172">
        <f t="shared" si="160"/>
        <v>0</v>
      </c>
      <c r="H1956" s="84"/>
    </row>
    <row r="1957" spans="2:9">
      <c r="B1957" s="83" t="s">
        <v>99</v>
      </c>
      <c r="C1957" s="87">
        <v>0</v>
      </c>
      <c r="D1957" s="172">
        <f t="shared" si="158"/>
        <v>0</v>
      </c>
      <c r="E1957" s="84"/>
      <c r="F1957" s="108">
        <f t="shared" si="159"/>
        <v>0</v>
      </c>
      <c r="G1957" s="172">
        <f t="shared" si="160"/>
        <v>0</v>
      </c>
      <c r="H1957" s="84"/>
    </row>
    <row r="1958" spans="2:9">
      <c r="B1958" s="83" t="s">
        <v>100</v>
      </c>
      <c r="C1958" s="87">
        <f>Model!AE123</f>
        <v>0</v>
      </c>
      <c r="D1958" s="172">
        <f t="shared" si="158"/>
        <v>0</v>
      </c>
      <c r="E1958" s="84"/>
      <c r="F1958" s="108">
        <f t="shared" si="159"/>
        <v>0</v>
      </c>
      <c r="G1958" s="172">
        <f t="shared" si="160"/>
        <v>0</v>
      </c>
      <c r="H1958" s="84"/>
    </row>
    <row r="1959" spans="2:9">
      <c r="B1959" s="83" t="s">
        <v>101</v>
      </c>
      <c r="C1959" s="87">
        <v>0</v>
      </c>
      <c r="D1959" s="172">
        <f t="shared" si="158"/>
        <v>0</v>
      </c>
      <c r="E1959" s="84"/>
      <c r="F1959" s="108">
        <f t="shared" si="159"/>
        <v>0</v>
      </c>
      <c r="G1959" s="172">
        <f t="shared" si="160"/>
        <v>0</v>
      </c>
      <c r="H1959" s="84"/>
    </row>
    <row r="1960" spans="2:9">
      <c r="B1960" s="83" t="s">
        <v>102</v>
      </c>
      <c r="C1960" s="87">
        <f>Model!AE124</f>
        <v>0</v>
      </c>
      <c r="D1960" s="172">
        <f t="shared" si="158"/>
        <v>0</v>
      </c>
      <c r="E1960" s="84"/>
      <c r="F1960" s="108">
        <f t="shared" si="159"/>
        <v>0</v>
      </c>
      <c r="G1960" s="172">
        <f t="shared" si="160"/>
        <v>0</v>
      </c>
      <c r="H1960" s="84"/>
    </row>
    <row r="1961" spans="2:9">
      <c r="B1961" s="83" t="s">
        <v>105</v>
      </c>
      <c r="C1961" s="87">
        <f>Model!AE155</f>
        <v>3529.99</v>
      </c>
      <c r="D1961" s="172">
        <f t="shared" si="158"/>
        <v>188.60736569999997</v>
      </c>
      <c r="E1961" s="84"/>
      <c r="F1961" s="108">
        <f t="shared" si="159"/>
        <v>3529.99</v>
      </c>
      <c r="G1961" s="172">
        <f t="shared" si="160"/>
        <v>188.60736569999997</v>
      </c>
      <c r="H1961" s="84"/>
    </row>
    <row r="1962" spans="2:9">
      <c r="B1962" s="83" t="s">
        <v>242</v>
      </c>
      <c r="C1962" s="87">
        <f>Model!AE157</f>
        <v>-377.47899999999998</v>
      </c>
      <c r="D1962" s="172">
        <f t="shared" si="158"/>
        <v>-20.168702969999998</v>
      </c>
      <c r="E1962" s="84"/>
      <c r="F1962" s="108">
        <f t="shared" si="159"/>
        <v>-377.47899999999998</v>
      </c>
      <c r="G1962" s="172">
        <f t="shared" si="160"/>
        <v>-20.168702969999998</v>
      </c>
      <c r="H1962" s="84"/>
    </row>
    <row r="1963" spans="2:9">
      <c r="B1963" s="161" t="s">
        <v>124</v>
      </c>
      <c r="C1963" s="162">
        <f>Model!AE170</f>
        <v>9101.77</v>
      </c>
      <c r="D1963" s="173">
        <f t="shared" si="158"/>
        <v>486.30757110000002</v>
      </c>
      <c r="E1963" s="163"/>
      <c r="F1963" s="163"/>
      <c r="G1963" s="163"/>
      <c r="H1963" s="163"/>
    </row>
    <row r="1964" spans="2:9">
      <c r="B1964" s="35" t="s">
        <v>12</v>
      </c>
      <c r="C1964" s="88">
        <f>SUM(C1946:C1963)</f>
        <v>97036.881000000008</v>
      </c>
      <c r="D1964" s="88">
        <f>SUM(D1946:D1963)</f>
        <v>5184.6805518299998</v>
      </c>
      <c r="E1964" s="36">
        <f>+C1964/C1969</f>
        <v>3.2585674804392362</v>
      </c>
      <c r="F1964" s="88">
        <f>SUM(F1946:F1963)</f>
        <v>87935.111000000004</v>
      </c>
      <c r="G1964" s="88">
        <f>SUM(G1946:G1963)</f>
        <v>4698.3729807299997</v>
      </c>
      <c r="H1964" s="36">
        <f>+F1964/F1969</f>
        <v>2.9529235703012193</v>
      </c>
      <c r="I1964" s="145"/>
    </row>
    <row r="1965" spans="2:9">
      <c r="B1965" s="34" t="s">
        <v>13</v>
      </c>
      <c r="C1965" s="89">
        <f>+Model!AE165</f>
        <v>7973.7160000000003</v>
      </c>
      <c r="D1965" s="171">
        <f>C1965*$H$1943</f>
        <v>426.03564588</v>
      </c>
      <c r="E1965" s="37"/>
      <c r="F1965" s="89">
        <f>C1965</f>
        <v>7973.7160000000003</v>
      </c>
      <c r="G1965" s="174">
        <f>F1965*$H$1943</f>
        <v>426.03564588</v>
      </c>
      <c r="H1965" s="37"/>
    </row>
    <row r="1966" spans="2:9">
      <c r="B1966" s="35" t="s">
        <v>14</v>
      </c>
      <c r="C1966" s="88">
        <f>+C1964-C1965</f>
        <v>89063.165000000008</v>
      </c>
      <c r="D1966" s="88">
        <f>+D1964-D1965</f>
        <v>4758.6449059500001</v>
      </c>
      <c r="E1966" s="36">
        <f>+C1966/C1969</f>
        <v>2.9908044259377418</v>
      </c>
      <c r="F1966" s="88">
        <f>F1964-F1965</f>
        <v>79961.395000000004</v>
      </c>
      <c r="G1966" s="88">
        <f>G1964-G1965</f>
        <v>4272.3373348499999</v>
      </c>
      <c r="H1966" s="36">
        <f>+F1966/F1969</f>
        <v>2.6851605157997249</v>
      </c>
    </row>
    <row r="1967" spans="2:9">
      <c r="B1967" s="69" t="s">
        <v>16</v>
      </c>
      <c r="C1967" s="90">
        <f>+Model!AE186</f>
        <v>19847.745999999999</v>
      </c>
      <c r="D1967" s="171">
        <f>C1967*$H$1943</f>
        <v>1060.4650687799999</v>
      </c>
      <c r="E1967" s="70"/>
      <c r="F1967" s="70"/>
      <c r="G1967" s="70"/>
      <c r="H1967" s="70"/>
    </row>
    <row r="1968" spans="2:9">
      <c r="B1968" s="69" t="s">
        <v>18</v>
      </c>
      <c r="C1968" s="90">
        <f>C1964+C1967</f>
        <v>116884.62700000001</v>
      </c>
      <c r="D1968" s="90"/>
      <c r="E1968" s="70"/>
      <c r="F1968" s="70"/>
      <c r="G1968" s="70"/>
      <c r="H1968" s="70"/>
    </row>
    <row r="1969" spans="2:8">
      <c r="B1969" s="34" t="s">
        <v>241</v>
      </c>
      <c r="C1969" s="6">
        <f>+Model!AE91</f>
        <v>29779</v>
      </c>
      <c r="D1969" s="6"/>
      <c r="E1969" s="34"/>
      <c r="F1969" s="165">
        <f>C1969</f>
        <v>29779</v>
      </c>
      <c r="G1969" s="165"/>
      <c r="H1969" s="34"/>
    </row>
    <row r="1971" spans="2:8">
      <c r="B1971" s="101" t="s">
        <v>59</v>
      </c>
      <c r="C1971" s="103">
        <f>Model!AE173-Capitalisation!C1964</f>
        <v>0</v>
      </c>
    </row>
    <row r="1972" spans="2:8">
      <c r="B1972" s="101"/>
      <c r="C1972" s="103"/>
    </row>
    <row r="1973" spans="2:8">
      <c r="B1973" s="35" t="s">
        <v>60</v>
      </c>
      <c r="C1973" s="88">
        <f>C1966+Model!AE185</f>
        <v>276767.86499999999</v>
      </c>
    </row>
    <row r="1974" spans="2:8">
      <c r="B1974" s="35" t="s">
        <v>61</v>
      </c>
      <c r="C1974" s="36">
        <f>C1973/C1969</f>
        <v>9.2940617549279683</v>
      </c>
    </row>
    <row r="1976" spans="2:8" ht="13.5" thickBot="1"/>
    <row r="1977" spans="2:8">
      <c r="B1977" s="78" t="s">
        <v>249</v>
      </c>
      <c r="C1977" s="153" t="s">
        <v>4</v>
      </c>
      <c r="D1977" s="153" t="s">
        <v>5</v>
      </c>
      <c r="E1977" s="104"/>
      <c r="F1977" s="104"/>
    </row>
    <row r="1978" spans="2:8">
      <c r="B1978" s="79" t="s">
        <v>108</v>
      </c>
      <c r="C1978" s="111">
        <f>(350*21.7204+2000/H1943)-C1960-C1958-C1961-C1959</f>
        <v>41504.304220475387</v>
      </c>
      <c r="D1978" s="111">
        <f>C1978*H1943</f>
        <v>2217.5749744999998</v>
      </c>
      <c r="E1978" s="105"/>
      <c r="F1978" s="105"/>
    </row>
    <row r="1979" spans="2:8">
      <c r="B1979" s="79" t="s">
        <v>63</v>
      </c>
      <c r="C1979" s="111">
        <f>+C1965</f>
        <v>7973.7160000000003</v>
      </c>
      <c r="D1979" s="111">
        <f>C1979*H1943</f>
        <v>426.03564588</v>
      </c>
      <c r="E1979" s="105"/>
      <c r="F1979" s="105"/>
    </row>
    <row r="1980" spans="2:8" ht="13.5" thickBot="1">
      <c r="B1980" s="80" t="s">
        <v>64</v>
      </c>
      <c r="C1980" s="112">
        <f>SUM(C1978:C1979)</f>
        <v>49478.020220475388</v>
      </c>
      <c r="D1980" s="112">
        <f>SUM(D1978:D1979)</f>
        <v>2643.61062038</v>
      </c>
      <c r="E1980" s="105"/>
      <c r="F1980" s="105"/>
    </row>
    <row r="1982" spans="2:8">
      <c r="C1982" s="30"/>
    </row>
    <row r="1983" spans="2:8" ht="13.5" thickBot="1"/>
    <row r="1984" spans="2:8">
      <c r="B1984" s="142" t="s">
        <v>250</v>
      </c>
      <c r="C1984" s="143" t="s">
        <v>4</v>
      </c>
      <c r="D1984" s="152" t="s">
        <v>5</v>
      </c>
      <c r="E1984" s="66"/>
      <c r="F1984" s="66" t="s">
        <v>251</v>
      </c>
    </row>
    <row r="1985" spans="2:14">
      <c r="B1985" s="144">
        <v>2019</v>
      </c>
      <c r="C1985" s="52">
        <v>30.558</v>
      </c>
      <c r="D1985" s="167">
        <f t="shared" ref="D1985:D1990" si="161">+C1985*$H$1943</f>
        <v>1.6327139399999999</v>
      </c>
      <c r="F1985" s="28" t="s">
        <v>70</v>
      </c>
      <c r="G1985" s="50">
        <v>0.56999999999999995</v>
      </c>
    </row>
    <row r="1986" spans="2:14">
      <c r="B1986" s="144">
        <v>2020</v>
      </c>
      <c r="C1986" s="52">
        <v>15459.116</v>
      </c>
      <c r="D1986" s="167">
        <f t="shared" si="161"/>
        <v>825.98056787999997</v>
      </c>
      <c r="F1986" s="28" t="s">
        <v>71</v>
      </c>
      <c r="G1986" s="50">
        <v>0.05</v>
      </c>
    </row>
    <row r="1987" spans="2:14">
      <c r="B1987" s="144">
        <v>2021</v>
      </c>
      <c r="C1987" s="52">
        <v>314.69200000000001</v>
      </c>
      <c r="D1987" s="167">
        <f t="shared" si="161"/>
        <v>16.81399356</v>
      </c>
      <c r="F1987" s="28" t="s">
        <v>72</v>
      </c>
      <c r="G1987" s="50">
        <v>0.38</v>
      </c>
      <c r="N1987" s="27"/>
    </row>
    <row r="1988" spans="2:14">
      <c r="B1988" s="144">
        <v>2022</v>
      </c>
      <c r="C1988" s="52">
        <v>15430.904</v>
      </c>
      <c r="D1988" s="167">
        <f t="shared" si="161"/>
        <v>824.47320072000002</v>
      </c>
      <c r="G1988" s="50"/>
    </row>
    <row r="1989" spans="2:14">
      <c r="B1989" s="144">
        <v>2023</v>
      </c>
      <c r="C1989" s="52">
        <v>227.13200000000001</v>
      </c>
      <c r="D1989" s="167">
        <f t="shared" si="161"/>
        <v>12.135662760000001</v>
      </c>
    </row>
    <row r="1990" spans="2:14">
      <c r="B1990" s="144" t="s">
        <v>252</v>
      </c>
      <c r="C1990" s="52">
        <v>54804.809000000001</v>
      </c>
      <c r="D1990" s="167">
        <f t="shared" si="161"/>
        <v>2928.22094487</v>
      </c>
    </row>
    <row r="1991" spans="2:14">
      <c r="B1991" s="144"/>
      <c r="C1991" s="52"/>
      <c r="D1991" s="167"/>
    </row>
    <row r="1992" spans="2:14" ht="13.5" thickBot="1">
      <c r="B1992" s="148"/>
      <c r="C1992" s="168"/>
      <c r="D1992" s="169"/>
      <c r="E1992" s="151"/>
      <c r="F1992" s="151"/>
    </row>
    <row r="1993" spans="2:14">
      <c r="B1993" s="66" t="s">
        <v>68</v>
      </c>
      <c r="C1993" s="52">
        <f>SUM(C1985:C1992)</f>
        <v>86267.21100000001</v>
      </c>
      <c r="D1993" s="52">
        <f>SUM(D1985:D1992)</f>
        <v>4609.25708373</v>
      </c>
      <c r="G1993" s="127"/>
    </row>
    <row r="1996" spans="2:14">
      <c r="J1996" s="28">
        <f>14052/1572</f>
        <v>8.9389312977099245</v>
      </c>
    </row>
    <row r="1999" spans="2:14">
      <c r="G1999" s="66" t="s">
        <v>253</v>
      </c>
      <c r="H1999" s="28">
        <f>Model!AD266</f>
        <v>5.0220000000000001E-2</v>
      </c>
    </row>
    <row r="2000" spans="2:14">
      <c r="G2000" s="66"/>
      <c r="H2000" s="82"/>
    </row>
    <row r="2001" spans="2:8" ht="51">
      <c r="B2001" s="26" t="s">
        <v>4</v>
      </c>
      <c r="C2001" s="106" t="s">
        <v>254</v>
      </c>
      <c r="D2001" s="166" t="s">
        <v>255</v>
      </c>
      <c r="E2001" s="106" t="s">
        <v>254</v>
      </c>
      <c r="F2001" s="166" t="s">
        <v>256</v>
      </c>
      <c r="G2001" s="27"/>
      <c r="H2001" s="27"/>
    </row>
    <row r="2002" spans="2:8">
      <c r="B2002" s="100" t="s">
        <v>11</v>
      </c>
      <c r="C2002" s="87"/>
      <c r="D2002" s="84"/>
      <c r="E2002" s="84"/>
      <c r="F2002" s="84"/>
    </row>
    <row r="2003" spans="2:8">
      <c r="B2003" s="83" t="s">
        <v>21</v>
      </c>
      <c r="C2003" s="87">
        <f>Model!AD122</f>
        <v>15890.64</v>
      </c>
      <c r="D2003" s="87"/>
      <c r="E2003" s="108">
        <f>C2003</f>
        <v>15890.64</v>
      </c>
      <c r="F2003" s="87"/>
    </row>
    <row r="2004" spans="2:8">
      <c r="B2004" s="83" t="s">
        <v>162</v>
      </c>
      <c r="C2004" s="87">
        <f>Model!AD121</f>
        <v>15890.64</v>
      </c>
      <c r="D2004" s="87"/>
      <c r="E2004" s="108">
        <f t="shared" ref="E2004:E2018" si="162">C2004</f>
        <v>15890.64</v>
      </c>
      <c r="F2004" s="87"/>
    </row>
    <row r="2005" spans="2:8">
      <c r="B2005" s="83" t="s">
        <v>17</v>
      </c>
      <c r="C2005" s="87">
        <f>Model!AD120</f>
        <v>15890.64</v>
      </c>
      <c r="D2005" s="87"/>
      <c r="E2005" s="108">
        <f t="shared" si="162"/>
        <v>15890.64</v>
      </c>
      <c r="F2005" s="87"/>
    </row>
    <row r="2006" spans="2:8">
      <c r="B2006" s="83" t="s">
        <v>15</v>
      </c>
      <c r="C2006" s="87">
        <f>Model!AD119</f>
        <v>9931.65</v>
      </c>
      <c r="D2006" s="87"/>
      <c r="E2006" s="108">
        <f t="shared" si="162"/>
        <v>9931.65</v>
      </c>
      <c r="F2006" s="87"/>
    </row>
    <row r="2007" spans="2:8">
      <c r="B2007" s="83" t="s">
        <v>96</v>
      </c>
      <c r="C2007" s="87">
        <f>Model!AD132</f>
        <v>12911.145</v>
      </c>
      <c r="D2007" s="87"/>
      <c r="E2007" s="108">
        <f t="shared" si="162"/>
        <v>12911.145</v>
      </c>
      <c r="F2007" s="87"/>
    </row>
    <row r="2008" spans="2:8">
      <c r="B2008" s="100" t="s">
        <v>97</v>
      </c>
      <c r="C2008" s="87"/>
      <c r="D2008" s="87"/>
      <c r="E2008" s="108">
        <f t="shared" si="162"/>
        <v>0</v>
      </c>
      <c r="F2008" s="87"/>
    </row>
    <row r="2009" spans="2:8">
      <c r="B2009" s="83" t="s">
        <v>26</v>
      </c>
      <c r="C2009" s="87">
        <f>Model!AD125</f>
        <v>8000</v>
      </c>
      <c r="D2009" s="87"/>
      <c r="E2009" s="108">
        <f t="shared" si="162"/>
        <v>8000</v>
      </c>
      <c r="F2009" s="87"/>
      <c r="G2009" s="102"/>
    </row>
    <row r="2010" spans="2:8">
      <c r="B2010" s="83" t="s">
        <v>30</v>
      </c>
      <c r="C2010" s="87">
        <f>Model!AD129</f>
        <v>10000</v>
      </c>
      <c r="D2010" s="87"/>
      <c r="E2010" s="108">
        <f t="shared" si="162"/>
        <v>10000</v>
      </c>
      <c r="F2010" s="87"/>
    </row>
    <row r="2011" spans="2:8">
      <c r="B2011" s="100" t="s">
        <v>98</v>
      </c>
      <c r="C2011" s="87"/>
      <c r="D2011" s="87"/>
      <c r="E2011" s="108">
        <f t="shared" si="162"/>
        <v>0</v>
      </c>
      <c r="F2011" s="87"/>
    </row>
    <row r="2012" spans="2:8">
      <c r="B2012" s="100" t="s">
        <v>99</v>
      </c>
      <c r="C2012" s="87"/>
      <c r="D2012" s="87"/>
      <c r="E2012" s="108">
        <f t="shared" si="162"/>
        <v>0</v>
      </c>
      <c r="F2012" s="87"/>
    </row>
    <row r="2013" spans="2:8">
      <c r="B2013" s="83" t="s">
        <v>99</v>
      </c>
      <c r="C2013" s="87">
        <v>0</v>
      </c>
      <c r="D2013" s="87"/>
      <c r="E2013" s="108">
        <f t="shared" si="162"/>
        <v>0</v>
      </c>
      <c r="F2013" s="87"/>
    </row>
    <row r="2014" spans="2:8">
      <c r="B2014" s="83" t="s">
        <v>100</v>
      </c>
      <c r="C2014" s="87">
        <f>Model!AD123</f>
        <v>0</v>
      </c>
      <c r="D2014" s="87"/>
      <c r="E2014" s="108">
        <f t="shared" si="162"/>
        <v>0</v>
      </c>
      <c r="F2014" s="87"/>
    </row>
    <row r="2015" spans="2:8">
      <c r="B2015" s="83" t="s">
        <v>101</v>
      </c>
      <c r="C2015" s="87">
        <v>0</v>
      </c>
      <c r="D2015" s="87"/>
      <c r="E2015" s="108">
        <f t="shared" si="162"/>
        <v>0</v>
      </c>
      <c r="F2015" s="87"/>
    </row>
    <row r="2016" spans="2:8">
      <c r="B2016" s="83" t="s">
        <v>102</v>
      </c>
      <c r="C2016" s="87">
        <f>Model!AD124</f>
        <v>0</v>
      </c>
      <c r="D2016" s="87"/>
      <c r="E2016" s="108">
        <f t="shared" si="162"/>
        <v>0</v>
      </c>
      <c r="F2016" s="87"/>
    </row>
    <row r="2017" spans="2:7">
      <c r="B2017" s="83" t="s">
        <v>105</v>
      </c>
      <c r="C2017" s="87">
        <f>Model!AD155</f>
        <v>4606.7650000000003</v>
      </c>
      <c r="D2017" s="87"/>
      <c r="E2017" s="108">
        <f t="shared" si="162"/>
        <v>4606.7650000000003</v>
      </c>
      <c r="F2017" s="87"/>
    </row>
    <row r="2018" spans="2:7">
      <c r="B2018" s="83" t="s">
        <v>242</v>
      </c>
      <c r="C2018" s="87">
        <f>Model!AD157</f>
        <v>-389.988</v>
      </c>
      <c r="D2018" s="87"/>
      <c r="E2018" s="108">
        <f t="shared" si="162"/>
        <v>-389.988</v>
      </c>
      <c r="F2018" s="87"/>
    </row>
    <row r="2019" spans="2:7">
      <c r="B2019" s="161" t="s">
        <v>124</v>
      </c>
      <c r="C2019" s="162">
        <f>Model!AD170</f>
        <v>9257.7160000000003</v>
      </c>
      <c r="D2019" s="170"/>
      <c r="E2019" s="164"/>
      <c r="F2019" s="162"/>
    </row>
    <row r="2020" spans="2:7">
      <c r="B2020" s="35" t="s">
        <v>12</v>
      </c>
      <c r="C2020" s="88">
        <f>SUM(C2002:C2019)</f>
        <v>101989.208</v>
      </c>
      <c r="D2020" s="36">
        <f>+C2020/C2025</f>
        <v>3.5685517144856544</v>
      </c>
      <c r="E2020" s="88">
        <f>SUM(E2002:E2019)</f>
        <v>92731.491999999998</v>
      </c>
      <c r="F2020" s="36">
        <f>+E2020/E2025</f>
        <v>3.2446288313505947</v>
      </c>
      <c r="G2020" s="145">
        <f>C2020*H1999</f>
        <v>5121.8980257599997</v>
      </c>
    </row>
    <row r="2021" spans="2:7">
      <c r="B2021" s="34" t="s">
        <v>13</v>
      </c>
      <c r="C2021" s="89">
        <f>+Model!AD165</f>
        <v>8076.0730000000003</v>
      </c>
      <c r="D2021" s="37"/>
      <c r="E2021" s="89">
        <f>C2021</f>
        <v>8076.0730000000003</v>
      </c>
      <c r="F2021" s="37"/>
    </row>
    <row r="2022" spans="2:7">
      <c r="B2022" s="35" t="s">
        <v>14</v>
      </c>
      <c r="C2022" s="88">
        <f>+C2020-C2021</f>
        <v>93913.134999999995</v>
      </c>
      <c r="D2022" s="36">
        <f>+C2022/C2025</f>
        <v>3.2859739328201538</v>
      </c>
      <c r="E2022" s="88">
        <f>E2020-E2021</f>
        <v>84655.418999999994</v>
      </c>
      <c r="F2022" s="36">
        <f>+E2022/E2025</f>
        <v>2.9620510496850945</v>
      </c>
    </row>
    <row r="2023" spans="2:7">
      <c r="B2023" s="69" t="s">
        <v>16</v>
      </c>
      <c r="C2023" s="90">
        <f>+Model!AD186</f>
        <v>74662.865000000005</v>
      </c>
      <c r="D2023" s="70"/>
      <c r="E2023" s="70"/>
      <c r="F2023" s="70"/>
    </row>
    <row r="2024" spans="2:7">
      <c r="B2024" s="69" t="s">
        <v>18</v>
      </c>
      <c r="C2024" s="90">
        <f>C2020+C2023</f>
        <v>176652.073</v>
      </c>
      <c r="D2024" s="70"/>
      <c r="E2024" s="70"/>
      <c r="F2024" s="70"/>
    </row>
    <row r="2025" spans="2:7">
      <c r="B2025" s="34" t="s">
        <v>257</v>
      </c>
      <c r="C2025" s="6">
        <f>+Model!AD91</f>
        <v>28580</v>
      </c>
      <c r="D2025" s="34"/>
      <c r="E2025" s="165">
        <f>C2025</f>
        <v>28580</v>
      </c>
      <c r="F2025" s="34"/>
    </row>
    <row r="2027" spans="2:7">
      <c r="B2027" s="101" t="s">
        <v>59</v>
      </c>
      <c r="C2027" s="103">
        <f>Model!AD173-Capitalisation!C2020</f>
        <v>0</v>
      </c>
    </row>
    <row r="2028" spans="2:7">
      <c r="B2028" s="101"/>
      <c r="C2028" s="103"/>
    </row>
    <row r="2029" spans="2:7">
      <c r="B2029" s="35" t="s">
        <v>60</v>
      </c>
      <c r="C2029" s="88">
        <f>C2022+Model!AD185</f>
        <v>275879.935</v>
      </c>
    </row>
    <row r="2030" spans="2:7">
      <c r="B2030" s="35" t="s">
        <v>61</v>
      </c>
      <c r="C2030" s="36">
        <f>C2029/C2025</f>
        <v>9.652901854443666</v>
      </c>
    </row>
    <row r="2032" spans="2:7" ht="13.5" thickBot="1"/>
    <row r="2033" spans="2:7">
      <c r="B2033" s="78" t="s">
        <v>258</v>
      </c>
      <c r="C2033" s="153" t="s">
        <v>4</v>
      </c>
      <c r="D2033" s="153" t="s">
        <v>5</v>
      </c>
      <c r="E2033" s="104"/>
      <c r="F2033" s="104"/>
    </row>
    <row r="2034" spans="2:7">
      <c r="B2034" s="79" t="s">
        <v>108</v>
      </c>
      <c r="C2034" s="111">
        <f>(350*23.2653+2000/H1999)-C2016-C2014-C2017-C2015</f>
        <v>43360.861007566709</v>
      </c>
      <c r="D2034" s="111">
        <f>C2034*H1999</f>
        <v>2177.5824398</v>
      </c>
      <c r="E2034" s="105"/>
      <c r="F2034" s="105"/>
    </row>
    <row r="2035" spans="2:7">
      <c r="B2035" s="79" t="s">
        <v>63</v>
      </c>
      <c r="C2035" s="111">
        <f>+C2021</f>
        <v>8076.0730000000003</v>
      </c>
      <c r="D2035" s="111">
        <f>C2035*H1999</f>
        <v>405.58038606000002</v>
      </c>
      <c r="E2035" s="105"/>
      <c r="F2035" s="105"/>
    </row>
    <row r="2036" spans="2:7" ht="13.5" thickBot="1">
      <c r="B2036" s="80" t="s">
        <v>64</v>
      </c>
      <c r="C2036" s="112">
        <f>SUM(C2034:C2035)</f>
        <v>51436.934007566713</v>
      </c>
      <c r="D2036" s="112">
        <f>SUM(D2034:D2035)</f>
        <v>2583.1628258599999</v>
      </c>
      <c r="E2036" s="105"/>
      <c r="F2036" s="105"/>
    </row>
    <row r="2038" spans="2:7">
      <c r="C2038" s="30"/>
    </row>
    <row r="2039" spans="2:7" ht="13.5" thickBot="1"/>
    <row r="2040" spans="2:7">
      <c r="B2040" s="142" t="s">
        <v>259</v>
      </c>
      <c r="C2040" s="143" t="s">
        <v>4</v>
      </c>
      <c r="D2040" s="152" t="s">
        <v>5</v>
      </c>
      <c r="E2040" s="66"/>
      <c r="F2040" s="66" t="s">
        <v>260</v>
      </c>
    </row>
    <row r="2041" spans="2:7">
      <c r="B2041" s="144">
        <v>2019</v>
      </c>
      <c r="C2041" s="52">
        <v>535.40200000000004</v>
      </c>
      <c r="D2041" s="167">
        <f t="shared" ref="D2041:D2046" si="163">+C2041*$H$1999</f>
        <v>26.887888440000001</v>
      </c>
      <c r="F2041" s="28" t="s">
        <v>70</v>
      </c>
      <c r="G2041" s="50"/>
    </row>
    <row r="2042" spans="2:7">
      <c r="B2042" s="144">
        <v>2020</v>
      </c>
      <c r="C2042" s="52">
        <v>16301.308000000001</v>
      </c>
      <c r="D2042" s="167">
        <f t="shared" si="163"/>
        <v>818.65168776000007</v>
      </c>
      <c r="F2042" s="28" t="s">
        <v>71</v>
      </c>
      <c r="G2042" s="50"/>
    </row>
    <row r="2043" spans="2:7">
      <c r="B2043" s="144">
        <v>2021</v>
      </c>
      <c r="C2043" s="52">
        <v>149.70500000000001</v>
      </c>
      <c r="D2043" s="167">
        <f t="shared" si="163"/>
        <v>7.5181851000000011</v>
      </c>
      <c r="F2043" s="28" t="s">
        <v>72</v>
      </c>
      <c r="G2043" s="50"/>
    </row>
    <row r="2044" spans="2:7">
      <c r="B2044" s="144">
        <v>2022</v>
      </c>
      <c r="C2044" s="52">
        <v>16462.937999999998</v>
      </c>
      <c r="D2044" s="167">
        <f t="shared" si="163"/>
        <v>826.76874635999991</v>
      </c>
      <c r="F2044" s="28" t="s">
        <v>73</v>
      </c>
      <c r="G2044" s="50"/>
    </row>
    <row r="2045" spans="2:7">
      <c r="B2045" s="144">
        <v>2023</v>
      </c>
      <c r="C2045" s="52">
        <v>0.29299999999999998</v>
      </c>
      <c r="D2045" s="167">
        <f t="shared" si="163"/>
        <v>1.4714459999999999E-2</v>
      </c>
    </row>
    <row r="2046" spans="2:7">
      <c r="B2046" s="144" t="s">
        <v>252</v>
      </c>
      <c r="C2046" s="52">
        <v>57026.201000000001</v>
      </c>
      <c r="D2046" s="167">
        <f t="shared" si="163"/>
        <v>2863.85581422</v>
      </c>
    </row>
    <row r="2047" spans="2:7">
      <c r="B2047" s="144"/>
      <c r="C2047" s="52"/>
      <c r="D2047" s="167"/>
    </row>
    <row r="2048" spans="2:7" ht="13.5" thickBot="1">
      <c r="B2048" s="148"/>
      <c r="C2048" s="168"/>
      <c r="D2048" s="169"/>
      <c r="E2048" s="151"/>
      <c r="F2048" s="151"/>
    </row>
    <row r="2049" spans="2:8">
      <c r="B2049" s="66" t="s">
        <v>68</v>
      </c>
      <c r="C2049" s="52">
        <f>SUM(C2041:C2048)</f>
        <v>90475.847000000009</v>
      </c>
      <c r="D2049" s="52">
        <f>SUM(D2041:D2048)</f>
        <v>4543.6970363399996</v>
      </c>
      <c r="G2049" s="127"/>
    </row>
    <row r="2054" spans="2:8">
      <c r="G2054" s="66" t="s">
        <v>261</v>
      </c>
      <c r="H2054" s="28">
        <f>Model!AC266</f>
        <v>5.339E-2</v>
      </c>
    </row>
    <row r="2055" spans="2:8">
      <c r="G2055" s="66"/>
      <c r="H2055" s="82"/>
    </row>
    <row r="2056" spans="2:8" ht="51">
      <c r="B2056" s="26" t="s">
        <v>4</v>
      </c>
      <c r="C2056" s="106" t="s">
        <v>262</v>
      </c>
      <c r="D2056" s="110" t="s">
        <v>263</v>
      </c>
      <c r="E2056" s="106"/>
      <c r="F2056" s="106"/>
      <c r="G2056" s="27"/>
      <c r="H2056" s="27"/>
    </row>
    <row r="2057" spans="2:8">
      <c r="B2057" s="100" t="s">
        <v>11</v>
      </c>
      <c r="C2057" s="87"/>
      <c r="D2057" s="84"/>
      <c r="E2057" s="84"/>
      <c r="F2057" s="84"/>
    </row>
    <row r="2058" spans="2:8">
      <c r="B2058" s="83" t="s">
        <v>21</v>
      </c>
      <c r="C2058" s="87">
        <f>Model!AC122</f>
        <v>14675.6</v>
      </c>
      <c r="D2058" s="84"/>
      <c r="E2058" s="108"/>
      <c r="F2058" s="108"/>
    </row>
    <row r="2059" spans="2:8">
      <c r="B2059" s="83" t="s">
        <v>162</v>
      </c>
      <c r="C2059" s="87">
        <f>Model!AC121</f>
        <v>14675.6</v>
      </c>
      <c r="D2059" s="84"/>
      <c r="E2059" s="84"/>
      <c r="F2059" s="84"/>
    </row>
    <row r="2060" spans="2:8">
      <c r="B2060" s="83" t="s">
        <v>17</v>
      </c>
      <c r="C2060" s="87">
        <f>Model!AC120</f>
        <v>14675.6</v>
      </c>
      <c r="D2060" s="84"/>
      <c r="E2060" s="84"/>
      <c r="F2060" s="84"/>
    </row>
    <row r="2061" spans="2:8">
      <c r="B2061" s="83" t="s">
        <v>15</v>
      </c>
      <c r="C2061" s="87">
        <f>Model!AC119</f>
        <v>9172.25</v>
      </c>
      <c r="D2061" s="84"/>
      <c r="E2061" s="84"/>
      <c r="F2061" s="84"/>
    </row>
    <row r="2062" spans="2:8">
      <c r="B2062" s="83" t="s">
        <v>96</v>
      </c>
      <c r="C2062" s="87">
        <f>Model!AC132</f>
        <v>11923.924999999999</v>
      </c>
      <c r="D2062" s="84"/>
      <c r="E2062" s="109"/>
      <c r="F2062" s="109"/>
    </row>
    <row r="2063" spans="2:8">
      <c r="B2063" s="100" t="s">
        <v>97</v>
      </c>
      <c r="C2063" s="87"/>
      <c r="D2063" s="84"/>
      <c r="E2063" s="84"/>
      <c r="F2063" s="84"/>
    </row>
    <row r="2064" spans="2:8">
      <c r="B2064" s="83" t="s">
        <v>26</v>
      </c>
      <c r="C2064" s="87">
        <f>Model!AC125</f>
        <v>8000</v>
      </c>
      <c r="D2064" s="84"/>
      <c r="E2064" s="108"/>
      <c r="F2064" s="108"/>
      <c r="G2064" s="102"/>
    </row>
    <row r="2065" spans="2:6">
      <c r="B2065" s="83" t="s">
        <v>30</v>
      </c>
      <c r="C2065" s="87">
        <f>Model!AC129</f>
        <v>10000</v>
      </c>
      <c r="D2065" s="84"/>
      <c r="E2065" s="113"/>
      <c r="F2065" s="107"/>
    </row>
    <row r="2066" spans="2:6">
      <c r="B2066" s="100" t="s">
        <v>98</v>
      </c>
      <c r="C2066" s="87"/>
      <c r="D2066" s="84"/>
      <c r="E2066" s="84"/>
      <c r="F2066" s="84"/>
    </row>
    <row r="2067" spans="2:6">
      <c r="B2067" s="100" t="s">
        <v>99</v>
      </c>
      <c r="C2067" s="87"/>
      <c r="D2067" s="84"/>
      <c r="E2067" s="84"/>
      <c r="F2067" s="84"/>
    </row>
    <row r="2068" spans="2:6">
      <c r="B2068" s="83" t="s">
        <v>99</v>
      </c>
      <c r="C2068" s="87">
        <v>0</v>
      </c>
      <c r="D2068" s="84"/>
      <c r="E2068" s="84"/>
      <c r="F2068" s="84"/>
    </row>
    <row r="2069" spans="2:6">
      <c r="B2069" s="83" t="s">
        <v>100</v>
      </c>
      <c r="C2069" s="87">
        <f>Model!AC123</f>
        <v>0</v>
      </c>
      <c r="D2069" s="84"/>
      <c r="E2069" s="108"/>
      <c r="F2069" s="108"/>
    </row>
    <row r="2070" spans="2:6">
      <c r="B2070" s="83" t="s">
        <v>101</v>
      </c>
      <c r="C2070" s="87">
        <v>0</v>
      </c>
      <c r="D2070" s="84"/>
      <c r="E2070" s="108"/>
      <c r="F2070" s="108"/>
    </row>
    <row r="2071" spans="2:6">
      <c r="B2071" s="83" t="s">
        <v>102</v>
      </c>
      <c r="C2071" s="87">
        <f>Model!AC124</f>
        <v>2275.8200000000002</v>
      </c>
      <c r="D2071" s="84"/>
      <c r="E2071" s="109"/>
      <c r="F2071" s="109"/>
    </row>
    <row r="2072" spans="2:6">
      <c r="B2072" s="83" t="s">
        <v>105</v>
      </c>
      <c r="C2072" s="87">
        <f>Model!AC155</f>
        <v>4547.9679999999998</v>
      </c>
      <c r="D2072" s="84"/>
      <c r="E2072" s="108"/>
      <c r="F2072" s="108"/>
    </row>
    <row r="2073" spans="2:6">
      <c r="B2073" s="83" t="s">
        <v>242</v>
      </c>
      <c r="C2073" s="87">
        <f>Model!AC157</f>
        <v>-406.16800000000001</v>
      </c>
      <c r="D2073" s="84"/>
      <c r="E2073" s="108"/>
      <c r="F2073" s="108"/>
    </row>
    <row r="2074" spans="2:6">
      <c r="B2074" s="35" t="s">
        <v>12</v>
      </c>
      <c r="C2074" s="88">
        <f>SUM(C2057:C2073)</f>
        <v>89540.595000000001</v>
      </c>
      <c r="D2074" s="36">
        <f>+C2074/C2079</f>
        <v>3.1983352978997002</v>
      </c>
      <c r="E2074" s="88"/>
      <c r="F2074" s="36"/>
    </row>
    <row r="2075" spans="2:6">
      <c r="B2075" s="34" t="s">
        <v>13</v>
      </c>
      <c r="C2075" s="89">
        <f>+Model!AC165</f>
        <v>5016.7299999999996</v>
      </c>
      <c r="D2075" s="37"/>
      <c r="E2075" s="89"/>
      <c r="F2075" s="37"/>
    </row>
    <row r="2076" spans="2:6">
      <c r="B2076" s="35" t="s">
        <v>14</v>
      </c>
      <c r="C2076" s="88">
        <f>+C2074-C2075</f>
        <v>84523.865000000005</v>
      </c>
      <c r="D2076" s="36">
        <f>+C2076/C2079</f>
        <v>3.0191407701100159</v>
      </c>
      <c r="E2076" s="88"/>
      <c r="F2076" s="36"/>
    </row>
    <row r="2077" spans="2:6">
      <c r="B2077" s="69" t="s">
        <v>16</v>
      </c>
      <c r="C2077" s="90">
        <f>+Model!AC186</f>
        <v>72521.963000000003</v>
      </c>
      <c r="D2077" s="70"/>
      <c r="E2077" s="70"/>
      <c r="F2077" s="70"/>
    </row>
    <row r="2078" spans="2:6">
      <c r="B2078" s="69" t="s">
        <v>18</v>
      </c>
      <c r="C2078" s="90">
        <f>C2074+C2077</f>
        <v>162062.55800000002</v>
      </c>
      <c r="D2078" s="70"/>
      <c r="E2078" s="70"/>
      <c r="F2078" s="70"/>
    </row>
    <row r="2079" spans="2:6">
      <c r="B2079" s="34" t="s">
        <v>264</v>
      </c>
      <c r="C2079" s="6">
        <f>+Model!AC91</f>
        <v>27996</v>
      </c>
      <c r="D2079" s="34"/>
      <c r="E2079" s="34"/>
      <c r="F2079" s="34"/>
    </row>
    <row r="2081" spans="2:12">
      <c r="B2081" s="101" t="s">
        <v>59</v>
      </c>
      <c r="C2081" s="103">
        <f>Model!AC168-Capitalisation!C2074</f>
        <v>0</v>
      </c>
    </row>
    <row r="2082" spans="2:12">
      <c r="B2082" s="101"/>
      <c r="C2082" s="103"/>
    </row>
    <row r="2083" spans="2:12">
      <c r="B2083" s="35" t="s">
        <v>60</v>
      </c>
      <c r="C2083" s="88">
        <f>C2076+Model!AC185</f>
        <v>271617.16499999998</v>
      </c>
    </row>
    <row r="2084" spans="2:12">
      <c r="B2084" s="35" t="s">
        <v>61</v>
      </c>
      <c r="C2084" s="36">
        <f>C2083/C2079</f>
        <v>9.7019990355765096</v>
      </c>
    </row>
    <row r="2086" spans="2:12" ht="13.5" thickBot="1"/>
    <row r="2087" spans="2:12">
      <c r="B2087" s="78" t="s">
        <v>265</v>
      </c>
      <c r="C2087" s="153" t="s">
        <v>4</v>
      </c>
      <c r="D2087" s="153" t="s">
        <v>5</v>
      </c>
      <c r="E2087" s="104"/>
      <c r="F2087" s="104"/>
    </row>
    <row r="2088" spans="2:12">
      <c r="B2088" s="79" t="s">
        <v>108</v>
      </c>
      <c r="C2088" s="154">
        <f>(350*23.6131+2000/H2054)-C2071-C2069-C2072-C2070</f>
        <v>38900.995539052259</v>
      </c>
      <c r="D2088" s="111">
        <f>C2088*H2054</f>
        <v>2076.92415183</v>
      </c>
      <c r="E2088" s="105"/>
      <c r="F2088" s="105"/>
    </row>
    <row r="2089" spans="2:12">
      <c r="B2089" s="79" t="s">
        <v>63</v>
      </c>
      <c r="C2089" s="154">
        <f>+C2075</f>
        <v>5016.7299999999996</v>
      </c>
      <c r="D2089" s="111">
        <f>C2089*H2054</f>
        <v>267.84321469999998</v>
      </c>
      <c r="E2089" s="105"/>
      <c r="F2089" s="105"/>
    </row>
    <row r="2090" spans="2:12" ht="13.5" thickBot="1">
      <c r="B2090" s="80" t="s">
        <v>64</v>
      </c>
      <c r="C2090" s="112">
        <f>SUM(C2088:C2089)</f>
        <v>43917.725539052262</v>
      </c>
      <c r="D2090" s="112">
        <f>SUM(D2088:D2089)</f>
        <v>2344.7673665299999</v>
      </c>
      <c r="E2090" s="105"/>
      <c r="F2090" s="105"/>
      <c r="J2090" s="27"/>
      <c r="K2090" s="27"/>
      <c r="L2090" s="27"/>
    </row>
    <row r="2092" spans="2:12">
      <c r="C2092" s="30"/>
    </row>
    <row r="2093" spans="2:12" ht="13.5" thickBot="1"/>
    <row r="2094" spans="2:12">
      <c r="B2094" s="142" t="s">
        <v>266</v>
      </c>
      <c r="C2094" s="143" t="s">
        <v>4</v>
      </c>
      <c r="D2094" s="152" t="s">
        <v>5</v>
      </c>
      <c r="E2094" s="66"/>
      <c r="F2094" s="66" t="s">
        <v>267</v>
      </c>
    </row>
    <row r="2095" spans="2:12">
      <c r="B2095" s="144">
        <v>2019</v>
      </c>
      <c r="C2095" s="145">
        <v>501.029</v>
      </c>
      <c r="D2095" s="146">
        <f t="shared" ref="D2095:D2100" si="164">+C2095*$H$2054</f>
        <v>26.749938310000001</v>
      </c>
      <c r="F2095" s="28" t="s">
        <v>70</v>
      </c>
      <c r="G2095" s="50">
        <v>0.59</v>
      </c>
    </row>
    <row r="2096" spans="2:12">
      <c r="B2096" s="144">
        <v>2020</v>
      </c>
      <c r="C2096" s="145">
        <v>14696.165999999999</v>
      </c>
      <c r="D2096" s="146">
        <f t="shared" si="164"/>
        <v>784.62830273999998</v>
      </c>
      <c r="F2096" s="28" t="s">
        <v>71</v>
      </c>
      <c r="G2096" s="50">
        <v>0.16</v>
      </c>
    </row>
    <row r="2097" spans="1:13">
      <c r="B2097" s="144">
        <v>2021</v>
      </c>
      <c r="C2097" s="145">
        <v>2461.761</v>
      </c>
      <c r="D2097" s="146">
        <f t="shared" si="164"/>
        <v>131.43341978999999</v>
      </c>
      <c r="F2097" s="28" t="s">
        <v>72</v>
      </c>
      <c r="G2097" s="50">
        <v>0.22</v>
      </c>
    </row>
    <row r="2098" spans="1:13">
      <c r="B2098" s="144">
        <v>2022</v>
      </c>
      <c r="C2098" s="145">
        <v>15227.468999999999</v>
      </c>
      <c r="D2098" s="146">
        <f t="shared" si="164"/>
        <v>812.99456991</v>
      </c>
      <c r="F2098" s="28" t="s">
        <v>73</v>
      </c>
      <c r="G2098" s="50">
        <v>0.03</v>
      </c>
    </row>
    <row r="2099" spans="1:13">
      <c r="B2099" s="144">
        <v>2023</v>
      </c>
      <c r="C2099" s="145">
        <v>0</v>
      </c>
      <c r="D2099" s="146">
        <f t="shared" si="164"/>
        <v>0</v>
      </c>
    </row>
    <row r="2100" spans="1:13">
      <c r="B2100" s="144" t="s">
        <v>252</v>
      </c>
      <c r="C2100" s="145">
        <v>53686.353999999999</v>
      </c>
      <c r="D2100" s="146">
        <f t="shared" si="164"/>
        <v>2866.3144400599999</v>
      </c>
    </row>
    <row r="2101" spans="1:13">
      <c r="B2101" s="144"/>
      <c r="D2101" s="147"/>
    </row>
    <row r="2102" spans="1:13" ht="13.5" thickBot="1">
      <c r="B2102" s="148"/>
      <c r="C2102" s="149"/>
      <c r="D2102" s="150"/>
      <c r="E2102" s="151"/>
      <c r="F2102" s="151"/>
    </row>
    <row r="2103" spans="1:13">
      <c r="B2103" s="66" t="s">
        <v>68</v>
      </c>
      <c r="C2103" s="145">
        <f>SUM(C2095:C2102)</f>
        <v>86572.778999999995</v>
      </c>
      <c r="D2103" s="145">
        <f>SUM(D2095:D2102)</f>
        <v>4622.1206708099999</v>
      </c>
      <c r="G2103" s="127"/>
    </row>
    <row r="2106" spans="1:13">
      <c r="G2106" s="66" t="s">
        <v>268</v>
      </c>
      <c r="H2106" s="82">
        <f>1/19.659</f>
        <v>5.0867287247571093E-2</v>
      </c>
    </row>
    <row r="2107" spans="1:13">
      <c r="G2107" s="66"/>
      <c r="H2107" s="82"/>
    </row>
    <row r="2108" spans="1:13" ht="51">
      <c r="A2108" s="27"/>
      <c r="B2108" s="26" t="s">
        <v>4</v>
      </c>
      <c r="C2108" s="106" t="s">
        <v>269</v>
      </c>
      <c r="D2108" s="110" t="s">
        <v>263</v>
      </c>
      <c r="E2108" s="106"/>
      <c r="F2108" s="106"/>
      <c r="G2108" s="27"/>
      <c r="H2108" s="27"/>
      <c r="I2108" s="27"/>
      <c r="M2108" s="27"/>
    </row>
    <row r="2109" spans="1:13">
      <c r="B2109" s="100" t="s">
        <v>11</v>
      </c>
      <c r="C2109" s="87"/>
      <c r="D2109" s="84"/>
      <c r="E2109" s="84"/>
      <c r="F2109" s="84"/>
    </row>
    <row r="2110" spans="1:13">
      <c r="B2110" s="83" t="s">
        <v>21</v>
      </c>
      <c r="C2110" s="87">
        <v>15770.603999999999</v>
      </c>
      <c r="D2110" s="84"/>
      <c r="E2110" s="108"/>
      <c r="F2110" s="108"/>
    </row>
    <row r="2111" spans="1:13">
      <c r="B2111" s="83" t="s">
        <v>162</v>
      </c>
      <c r="C2111" s="87">
        <v>15729.612999999999</v>
      </c>
      <c r="D2111" s="84"/>
      <c r="E2111" s="84"/>
      <c r="F2111" s="84"/>
    </row>
    <row r="2112" spans="1:13">
      <c r="B2112" s="83" t="s">
        <v>17</v>
      </c>
      <c r="C2112" s="87">
        <v>15732.857</v>
      </c>
      <c r="D2112" s="84"/>
      <c r="E2112" s="84"/>
      <c r="F2112" s="84"/>
    </row>
    <row r="2113" spans="2:7">
      <c r="B2113" s="83" t="s">
        <v>15</v>
      </c>
      <c r="C2113" s="87">
        <v>9740.7520000000004</v>
      </c>
      <c r="D2113" s="84"/>
      <c r="E2113" s="84"/>
      <c r="F2113" s="84"/>
    </row>
    <row r="2114" spans="2:7">
      <c r="B2114" s="83" t="s">
        <v>96</v>
      </c>
      <c r="C2114" s="87">
        <v>12757.050999999999</v>
      </c>
      <c r="D2114" s="84"/>
      <c r="E2114" s="109"/>
      <c r="F2114" s="109"/>
    </row>
    <row r="2115" spans="2:7">
      <c r="B2115" s="100" t="s">
        <v>97</v>
      </c>
      <c r="C2115" s="87"/>
      <c r="D2115" s="84"/>
      <c r="E2115" s="84"/>
      <c r="F2115" s="84"/>
    </row>
    <row r="2116" spans="2:7">
      <c r="B2116" s="83" t="s">
        <v>26</v>
      </c>
      <c r="C2116" s="87">
        <v>7979</v>
      </c>
      <c r="D2116" s="84"/>
      <c r="E2116" s="108"/>
      <c r="F2116" s="108"/>
      <c r="G2116" s="102"/>
    </row>
    <row r="2117" spans="2:7">
      <c r="B2117" s="83" t="s">
        <v>30</v>
      </c>
      <c r="C2117" s="87">
        <v>9975.4169999999995</v>
      </c>
      <c r="D2117" s="84"/>
      <c r="E2117" s="113"/>
      <c r="F2117" s="107"/>
    </row>
    <row r="2118" spans="2:7">
      <c r="B2118" s="100" t="s">
        <v>98</v>
      </c>
      <c r="C2118" s="87"/>
      <c r="D2118" s="84"/>
      <c r="E2118" s="84"/>
      <c r="F2118" s="84"/>
    </row>
    <row r="2119" spans="2:7">
      <c r="B2119" s="100" t="s">
        <v>99</v>
      </c>
      <c r="C2119" s="87"/>
      <c r="D2119" s="84"/>
      <c r="E2119" s="84"/>
      <c r="F2119" s="84"/>
    </row>
    <row r="2120" spans="2:7">
      <c r="B2120" s="83" t="s">
        <v>99</v>
      </c>
      <c r="C2120" s="87">
        <v>0</v>
      </c>
      <c r="D2120" s="84"/>
      <c r="E2120" s="84"/>
      <c r="F2120" s="84"/>
    </row>
    <row r="2121" spans="2:7">
      <c r="B2121" s="83" t="s">
        <v>100</v>
      </c>
      <c r="C2121" s="87">
        <v>2296.4769999999999</v>
      </c>
      <c r="D2121" s="84"/>
      <c r="E2121" s="108"/>
      <c r="F2121" s="108"/>
    </row>
    <row r="2122" spans="2:7">
      <c r="B2122" s="83" t="s">
        <v>101</v>
      </c>
      <c r="C2122" s="87">
        <v>695.59100000000001</v>
      </c>
      <c r="D2122" s="84"/>
      <c r="E2122" s="109"/>
      <c r="F2122" s="109"/>
    </row>
    <row r="2123" spans="2:7">
      <c r="B2123" s="83" t="s">
        <v>105</v>
      </c>
      <c r="C2123" s="87">
        <v>185.08</v>
      </c>
      <c r="D2123" s="84"/>
      <c r="E2123" s="108"/>
      <c r="F2123" s="108"/>
    </row>
    <row r="2124" spans="2:7">
      <c r="B2124" s="83" t="s">
        <v>242</v>
      </c>
      <c r="C2124" s="87">
        <f>1885.679+550.061+24.066+436.507+553.982</f>
        <v>3450.2950000000001</v>
      </c>
      <c r="D2124" s="84"/>
      <c r="E2124" s="108"/>
      <c r="F2124" s="108"/>
    </row>
    <row r="2125" spans="2:7">
      <c r="B2125" s="35" t="s">
        <v>12</v>
      </c>
      <c r="C2125" s="88">
        <f>SUM(C2109:C2124)</f>
        <v>94312.736999999994</v>
      </c>
      <c r="D2125" s="36" t="e">
        <f>+C2125/C2130</f>
        <v>#REF!</v>
      </c>
      <c r="E2125" s="88"/>
      <c r="F2125" s="36"/>
    </row>
    <row r="2126" spans="2:7">
      <c r="B2126" s="34" t="s">
        <v>13</v>
      </c>
      <c r="C2126" s="89" t="e">
        <f>+Model!#REF!</f>
        <v>#REF!</v>
      </c>
      <c r="D2126" s="37"/>
      <c r="E2126" s="89"/>
      <c r="F2126" s="37"/>
    </row>
    <row r="2127" spans="2:7">
      <c r="B2127" s="35" t="s">
        <v>14</v>
      </c>
      <c r="C2127" s="88" t="e">
        <f>+C2125-C2126</f>
        <v>#REF!</v>
      </c>
      <c r="D2127" s="36" t="e">
        <f>+C2127/C2130</f>
        <v>#REF!</v>
      </c>
      <c r="E2127" s="88"/>
      <c r="F2127" s="36"/>
    </row>
    <row r="2128" spans="2:7">
      <c r="B2128" s="69" t="s">
        <v>16</v>
      </c>
      <c r="C2128" s="90" t="e">
        <f>+Model!#REF!</f>
        <v>#REF!</v>
      </c>
      <c r="D2128" s="70"/>
      <c r="E2128" s="70"/>
      <c r="F2128" s="70"/>
    </row>
    <row r="2129" spans="2:6">
      <c r="B2129" s="69" t="s">
        <v>18</v>
      </c>
      <c r="C2129" s="90" t="e">
        <f>C2125+C2128</f>
        <v>#REF!</v>
      </c>
      <c r="D2129" s="70"/>
      <c r="E2129" s="70"/>
      <c r="F2129" s="70"/>
    </row>
    <row r="2130" spans="2:6">
      <c r="B2130" s="34" t="s">
        <v>270</v>
      </c>
      <c r="C2130" s="6" t="e">
        <f>+Model!#REF!</f>
        <v>#REF!</v>
      </c>
      <c r="D2130" s="34"/>
      <c r="E2130" s="34"/>
      <c r="F2130" s="34"/>
    </row>
    <row r="2132" spans="2:6">
      <c r="B2132" s="101" t="s">
        <v>59</v>
      </c>
      <c r="C2132" s="103" t="e">
        <f>Model!#REF!-Capitalisation!C2125</f>
        <v>#REF!</v>
      </c>
    </row>
    <row r="2133" spans="2:6">
      <c r="B2133" s="101"/>
      <c r="C2133" s="103"/>
    </row>
    <row r="2134" spans="2:6">
      <c r="B2134" s="35" t="s">
        <v>60</v>
      </c>
      <c r="C2134" s="88" t="e">
        <f>C2127+Model!#REF!</f>
        <v>#REF!</v>
      </c>
    </row>
    <row r="2135" spans="2:6">
      <c r="B2135" s="35" t="s">
        <v>61</v>
      </c>
      <c r="C2135" s="36" t="e">
        <f>C2134/C2130</f>
        <v>#REF!</v>
      </c>
    </row>
    <row r="2137" spans="2:6" ht="13.5" thickBot="1"/>
    <row r="2138" spans="2:6">
      <c r="B2138" s="78" t="s">
        <v>271</v>
      </c>
      <c r="C2138" s="153" t="s">
        <v>4</v>
      </c>
      <c r="D2138" s="153" t="s">
        <v>5</v>
      </c>
      <c r="E2138" s="104"/>
      <c r="F2138" s="104"/>
    </row>
    <row r="2139" spans="2:6">
      <c r="B2139" s="79" t="s">
        <v>108</v>
      </c>
      <c r="C2139" s="154">
        <f>(350*23.6131+2000/H2106)-C2122-C2121-C2123</f>
        <v>44405.436999999991</v>
      </c>
      <c r="D2139" s="111">
        <f>C2139*H2106</f>
        <v>2258.7841192329211</v>
      </c>
      <c r="E2139" s="105"/>
      <c r="F2139" s="105"/>
    </row>
    <row r="2140" spans="2:6">
      <c r="B2140" s="79" t="s">
        <v>63</v>
      </c>
      <c r="C2140" s="154" t="e">
        <f>+C2126</f>
        <v>#REF!</v>
      </c>
      <c r="D2140" s="111" t="e">
        <f>C2140*H2106</f>
        <v>#REF!</v>
      </c>
      <c r="E2140" s="105"/>
      <c r="F2140" s="105"/>
    </row>
    <row r="2141" spans="2:6" ht="13.5" thickBot="1">
      <c r="B2141" s="80" t="s">
        <v>64</v>
      </c>
      <c r="C2141" s="112" t="e">
        <f>SUM(C2139:C2140)</f>
        <v>#REF!</v>
      </c>
      <c r="D2141" s="112" t="e">
        <f>SUM(D2139:D2140)</f>
        <v>#REF!</v>
      </c>
      <c r="E2141" s="105"/>
      <c r="F2141" s="105"/>
    </row>
    <row r="2143" spans="2:6">
      <c r="C2143" s="30"/>
    </row>
    <row r="2144" spans="2:6" ht="13.5" thickBot="1"/>
    <row r="2145" spans="2:7">
      <c r="B2145" s="142" t="s">
        <v>272</v>
      </c>
      <c r="C2145" s="143" t="s">
        <v>4</v>
      </c>
      <c r="D2145" s="152" t="s">
        <v>5</v>
      </c>
      <c r="E2145" s="66"/>
      <c r="F2145" s="66" t="s">
        <v>273</v>
      </c>
    </row>
    <row r="2146" spans="2:7">
      <c r="B2146" s="144">
        <v>2018</v>
      </c>
      <c r="C2146" s="145">
        <v>2766.35</v>
      </c>
      <c r="D2146" s="146">
        <f t="shared" ref="D2146:D2151" si="165">+C2146*$H$2106</f>
        <v>140.71672007731829</v>
      </c>
      <c r="F2146" s="28" t="s">
        <v>70</v>
      </c>
      <c r="G2146" s="50">
        <v>0.6</v>
      </c>
    </row>
    <row r="2147" spans="2:7">
      <c r="B2147" s="144">
        <v>2019</v>
      </c>
      <c r="C2147" s="145">
        <v>550.05999999999995</v>
      </c>
      <c r="D2147" s="146">
        <f t="shared" si="165"/>
        <v>27.980060023398952</v>
      </c>
      <c r="F2147" s="28" t="s">
        <v>71</v>
      </c>
      <c r="G2147" s="50">
        <v>0.17</v>
      </c>
    </row>
    <row r="2148" spans="2:7">
      <c r="B2148" s="144">
        <v>2020</v>
      </c>
      <c r="C2148" s="145">
        <v>15794.67</v>
      </c>
      <c r="D2148" s="146">
        <f t="shared" si="165"/>
        <v>803.43201587059366</v>
      </c>
      <c r="F2148" s="28" t="s">
        <v>72</v>
      </c>
      <c r="G2148" s="50">
        <v>0.2</v>
      </c>
    </row>
    <row r="2149" spans="2:7">
      <c r="B2149" s="144">
        <v>2021</v>
      </c>
      <c r="C2149" s="145">
        <v>2732.9850000000001</v>
      </c>
      <c r="D2149" s="146">
        <f t="shared" si="165"/>
        <v>139.01953303830308</v>
      </c>
      <c r="F2149" s="28" t="s">
        <v>73</v>
      </c>
      <c r="G2149" s="50">
        <v>0.03</v>
      </c>
    </row>
    <row r="2150" spans="2:7">
      <c r="B2150" s="144">
        <v>2022</v>
      </c>
      <c r="C2150" s="145">
        <v>16053.58</v>
      </c>
      <c r="D2150" s="146">
        <f t="shared" si="165"/>
        <v>816.60206521186228</v>
      </c>
    </row>
    <row r="2151" spans="2:7">
      <c r="B2151" s="144" t="s">
        <v>274</v>
      </c>
      <c r="C2151" s="145">
        <v>56415.091</v>
      </c>
      <c r="D2151" s="146">
        <f t="shared" si="165"/>
        <v>2869.6826389948628</v>
      </c>
    </row>
    <row r="2152" spans="2:7">
      <c r="B2152" s="144"/>
      <c r="D2152" s="147"/>
    </row>
    <row r="2153" spans="2:7" ht="13.5" thickBot="1">
      <c r="B2153" s="148"/>
      <c r="C2153" s="149"/>
      <c r="D2153" s="150"/>
      <c r="E2153" s="151"/>
      <c r="F2153" s="151"/>
    </row>
    <row r="2154" spans="2:7">
      <c r="B2154" s="66" t="s">
        <v>68</v>
      </c>
      <c r="C2154" s="145">
        <f>SUM(C2146:C2153)</f>
        <v>94312.736000000004</v>
      </c>
      <c r="D2154" s="145">
        <f>SUM(D2146:D2153)</f>
        <v>4797.433033216339</v>
      </c>
      <c r="G2154" s="127"/>
    </row>
    <row r="2155" spans="2:7">
      <c r="B2155" s="66"/>
      <c r="C2155" s="145"/>
    </row>
    <row r="2156" spans="2:7">
      <c r="B2156" s="66"/>
      <c r="C2156" s="145"/>
    </row>
  </sheetData>
  <mergeCells count="62">
    <mergeCell ref="B261:H261"/>
    <mergeCell ref="J261:L261"/>
    <mergeCell ref="B700:H700"/>
    <mergeCell ref="J700:L700"/>
    <mergeCell ref="B409:H409"/>
    <mergeCell ref="J409:L409"/>
    <mergeCell ref="B5:H5"/>
    <mergeCell ref="J5:L5"/>
    <mergeCell ref="B95:H95"/>
    <mergeCell ref="J95:L95"/>
    <mergeCell ref="B180:H180"/>
    <mergeCell ref="J180:L180"/>
    <mergeCell ref="B896:H896"/>
    <mergeCell ref="J896:L896"/>
    <mergeCell ref="B1131:H1131"/>
    <mergeCell ref="J1131:L1131"/>
    <mergeCell ref="B1187:H1187"/>
    <mergeCell ref="J1187:L1187"/>
    <mergeCell ref="B1259:H1259"/>
    <mergeCell ref="J1259:L1259"/>
    <mergeCell ref="B1944:H1944"/>
    <mergeCell ref="J1944:L1944"/>
    <mergeCell ref="B1891:H1891"/>
    <mergeCell ref="J1891:L1891"/>
    <mergeCell ref="B1838:H1838"/>
    <mergeCell ref="J1838:L1838"/>
    <mergeCell ref="B1436:H1436"/>
    <mergeCell ref="J1436:L1436"/>
    <mergeCell ref="B1320:H1320"/>
    <mergeCell ref="J1320:L1320"/>
    <mergeCell ref="B335:H335"/>
    <mergeCell ref="J335:L335"/>
    <mergeCell ref="B482:H482"/>
    <mergeCell ref="J482:L482"/>
    <mergeCell ref="B1379:H1379"/>
    <mergeCell ref="J1379:L1379"/>
    <mergeCell ref="B833:H833"/>
    <mergeCell ref="J833:L833"/>
    <mergeCell ref="B956:H956"/>
    <mergeCell ref="J956:L956"/>
    <mergeCell ref="B1015:H1015"/>
    <mergeCell ref="J1015:L1015"/>
    <mergeCell ref="B770:H770"/>
    <mergeCell ref="J770:L770"/>
    <mergeCell ref="B1074:H1074"/>
    <mergeCell ref="J1074:L1074"/>
    <mergeCell ref="B555:H555"/>
    <mergeCell ref="J555:L555"/>
    <mergeCell ref="B1781:H1781"/>
    <mergeCell ref="J1781:L1781"/>
    <mergeCell ref="B1555:H1555"/>
    <mergeCell ref="J1555:L1555"/>
    <mergeCell ref="B1611:H1611"/>
    <mergeCell ref="J1611:L1611"/>
    <mergeCell ref="B1667:H1667"/>
    <mergeCell ref="J1667:L1667"/>
    <mergeCell ref="B1724:H1724"/>
    <mergeCell ref="J1724:L1724"/>
    <mergeCell ref="B1493:H1493"/>
    <mergeCell ref="J1493:L1493"/>
    <mergeCell ref="B628:H628"/>
    <mergeCell ref="J628:L628"/>
  </mergeCells>
  <pageMargins left="0.7" right="0.7" top="0.75" bottom="0.75" header="0.3" footer="0.3"/>
  <pageSetup orientation="portrait" horizontalDpi="90" verticalDpi="9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2:IT459"/>
  <sheetViews>
    <sheetView showGridLines="0" zoomScaleNormal="100" zoomScaleSheetLayoutView="100" workbookViewId="0">
      <pane xSplit="2" ySplit="6" topLeftCell="P7" activePane="bottomRight" state="frozen"/>
      <selection pane="bottomRight" activeCell="BJ1" sqref="BJ1"/>
      <selection pane="bottomLeft" activeCell="N6" sqref="N6"/>
      <selection pane="topRight" activeCell="N6" sqref="N6"/>
    </sheetView>
  </sheetViews>
  <sheetFormatPr defaultColWidth="11.42578125" defaultRowHeight="13.5" customHeight="1" outlineLevelRow="1" outlineLevelCol="2"/>
  <cols>
    <col min="1" max="1" width="2.7109375" style="1" customWidth="1"/>
    <col min="2" max="2" width="50.7109375" style="1" customWidth="1"/>
    <col min="3" max="9" width="12.7109375" style="1" hidden="1" customWidth="1" outlineLevel="1"/>
    <col min="10" max="10" width="12.7109375" style="1" hidden="1" customWidth="1" outlineLevel="1" collapsed="1"/>
    <col min="11" max="13" width="12.7109375" style="1" hidden="1" customWidth="1" outlineLevel="1"/>
    <col min="14" max="14" width="12.7109375" style="1" hidden="1" customWidth="1" outlineLevel="1" collapsed="1"/>
    <col min="15" max="15" width="12.7109375" style="1" hidden="1" customWidth="1" outlineLevel="1"/>
    <col min="16" max="16" width="12.7109375" style="1" customWidth="1" collapsed="1"/>
    <col min="17" max="19" width="12.7109375" style="1" customWidth="1"/>
    <col min="20" max="20" width="12.7109375" customWidth="1"/>
    <col min="21" max="21" width="12.7109375" style="1" hidden="1" customWidth="1" outlineLevel="1" collapsed="1"/>
    <col min="22" max="24" width="12.7109375" style="1" hidden="1" customWidth="1" outlineLevel="1"/>
    <col min="25" max="25" width="12.7109375" style="1" hidden="1" customWidth="1" outlineLevel="1" collapsed="1"/>
    <col min="26" max="28" width="12.7109375" style="1" hidden="1" customWidth="1" outlineLevel="1"/>
    <col min="29" max="29" width="12.7109375" style="1" hidden="1" customWidth="1" outlineLevel="1" collapsed="1"/>
    <col min="30" max="32" width="12.7109375" style="1" hidden="1" customWidth="1" outlineLevel="1"/>
    <col min="33" max="33" width="12.7109375" style="1" hidden="1" customWidth="1" outlineLevel="1" collapsed="1"/>
    <col min="34" max="39" width="12.7109375" style="1" hidden="1" customWidth="1" outlineLevel="1"/>
    <col min="40" max="41" width="12.7109375" style="1" hidden="1" customWidth="1" outlineLevel="1" collapsed="1"/>
    <col min="42" max="44" width="12.7109375" style="1" hidden="1" customWidth="1" outlineLevel="1"/>
    <col min="45" max="46" width="12.7109375" style="1" hidden="1" customWidth="1" outlineLevel="1" collapsed="1"/>
    <col min="47" max="50" width="12.7109375" style="1" hidden="1" customWidth="1" outlineLevel="1"/>
    <col min="51" max="51" width="12.7109375" style="1" hidden="1" customWidth="1" outlineLevel="1" collapsed="1"/>
    <col min="52" max="54" width="12.7109375" style="1" hidden="1" customWidth="1" outlineLevel="1"/>
    <col min="55" max="55" width="12.7109375" style="1" hidden="1" customWidth="1" outlineLevel="1" collapsed="1"/>
    <col min="56" max="57" width="12.7109375" style="1" customWidth="1" collapsed="1"/>
    <col min="58" max="58" width="12.7109375" style="1" customWidth="1"/>
    <col min="59" max="59" width="12.7109375" style="1" customWidth="1" collapsed="1"/>
    <col min="60" max="60" width="12.7109375" style="1" customWidth="1"/>
    <col min="61" max="61" width="12.7109375" style="1" customWidth="1" collapsed="1"/>
    <col min="62" max="62" width="12.7109375" style="1" customWidth="1"/>
    <col min="63" max="74" width="12.7109375" style="1" hidden="1" customWidth="1" outlineLevel="1"/>
    <col min="75" max="75" width="12.7109375" style="1" hidden="1" customWidth="1" outlineLevel="1" collapsed="1"/>
    <col min="76" max="83" width="12.7109375" style="1" hidden="1" customWidth="1" outlineLevel="2"/>
    <col min="84" max="84" width="12.7109375" style="1" hidden="1" customWidth="1" outlineLevel="1" collapsed="1"/>
    <col min="85" max="87" width="12.7109375" style="1" hidden="1" customWidth="1" outlineLevel="1"/>
    <col min="88" max="88" width="12.7109375" style="1" customWidth="1" collapsed="1"/>
    <col min="89" max="91" width="12.7109375" style="1" customWidth="1"/>
    <col min="92" max="16384" width="11.42578125" style="1"/>
  </cols>
  <sheetData>
    <row r="2" spans="2:87" s="2" customFormat="1" ht="24.75" customHeight="1">
      <c r="B2" s="10" t="s">
        <v>275</v>
      </c>
      <c r="C2" s="12" t="s">
        <v>276</v>
      </c>
      <c r="D2" s="12" t="s">
        <v>276</v>
      </c>
      <c r="E2" s="12" t="s">
        <v>276</v>
      </c>
      <c r="F2" s="12" t="s">
        <v>276</v>
      </c>
      <c r="G2" s="12" t="s">
        <v>276</v>
      </c>
      <c r="H2" s="12" t="s">
        <v>276</v>
      </c>
      <c r="I2" s="12" t="s">
        <v>276</v>
      </c>
      <c r="J2" s="12" t="s">
        <v>276</v>
      </c>
      <c r="K2" s="12" t="s">
        <v>276</v>
      </c>
      <c r="L2" s="195" t="s">
        <v>276</v>
      </c>
      <c r="M2" s="195" t="s">
        <v>276</v>
      </c>
      <c r="N2" s="195" t="s">
        <v>276</v>
      </c>
      <c r="O2" s="195" t="s">
        <v>276</v>
      </c>
      <c r="P2" s="195" t="s">
        <v>276</v>
      </c>
      <c r="Q2" s="195" t="s">
        <v>276</v>
      </c>
      <c r="R2" s="195" t="s">
        <v>276</v>
      </c>
      <c r="S2" s="195" t="s">
        <v>277</v>
      </c>
      <c r="U2" s="12" t="s">
        <v>278</v>
      </c>
      <c r="V2" s="12" t="s">
        <v>278</v>
      </c>
      <c r="W2" s="12" t="s">
        <v>278</v>
      </c>
      <c r="X2" s="12" t="s">
        <v>278</v>
      </c>
      <c r="Y2" s="12" t="s">
        <v>278</v>
      </c>
      <c r="Z2" s="12" t="s">
        <v>278</v>
      </c>
      <c r="AA2" s="12" t="s">
        <v>278</v>
      </c>
      <c r="AB2" s="12" t="s">
        <v>278</v>
      </c>
      <c r="AC2" s="12" t="s">
        <v>278</v>
      </c>
      <c r="AD2" s="12" t="s">
        <v>278</v>
      </c>
      <c r="AE2" s="12" t="s">
        <v>278</v>
      </c>
      <c r="AF2" s="12" t="s">
        <v>278</v>
      </c>
      <c r="AG2" s="195" t="s">
        <v>278</v>
      </c>
      <c r="AH2" s="12" t="s">
        <v>278</v>
      </c>
      <c r="AI2" s="12" t="s">
        <v>278</v>
      </c>
      <c r="AJ2" s="12" t="s">
        <v>278</v>
      </c>
      <c r="AK2" s="195" t="s">
        <v>278</v>
      </c>
      <c r="AL2" s="12" t="s">
        <v>278</v>
      </c>
      <c r="AM2" s="12" t="s">
        <v>278</v>
      </c>
      <c r="AN2" s="12" t="s">
        <v>278</v>
      </c>
      <c r="AO2" s="195" t="s">
        <v>278</v>
      </c>
      <c r="AP2" s="12" t="s">
        <v>278</v>
      </c>
      <c r="AQ2" s="12" t="s">
        <v>278</v>
      </c>
      <c r="AR2" s="12" t="s">
        <v>278</v>
      </c>
      <c r="AS2" s="195" t="s">
        <v>278</v>
      </c>
      <c r="AT2" s="12" t="s">
        <v>278</v>
      </c>
      <c r="AU2" s="195" t="s">
        <v>278</v>
      </c>
      <c r="AV2" s="12" t="s">
        <v>278</v>
      </c>
      <c r="AW2" s="195" t="s">
        <v>278</v>
      </c>
      <c r="AX2" s="12" t="s">
        <v>278</v>
      </c>
      <c r="AY2" s="195" t="s">
        <v>278</v>
      </c>
      <c r="AZ2" s="195" t="s">
        <v>278</v>
      </c>
      <c r="BA2" s="195" t="s">
        <v>278</v>
      </c>
      <c r="BB2" s="195" t="s">
        <v>278</v>
      </c>
      <c r="BC2" s="195" t="s">
        <v>278</v>
      </c>
      <c r="BD2" s="195" t="s">
        <v>278</v>
      </c>
      <c r="BE2" s="195" t="s">
        <v>278</v>
      </c>
      <c r="BF2" s="195" t="s">
        <v>278</v>
      </c>
      <c r="BG2" s="195" t="s">
        <v>278</v>
      </c>
      <c r="BH2" s="195" t="s">
        <v>278</v>
      </c>
      <c r="BI2" s="195" t="s">
        <v>278</v>
      </c>
      <c r="BJ2" s="5"/>
      <c r="BK2" s="195" t="s">
        <v>278</v>
      </c>
      <c r="BL2" s="12" t="s">
        <v>278</v>
      </c>
      <c r="BM2" s="12" t="s">
        <v>278</v>
      </c>
      <c r="BN2" s="12" t="s">
        <v>278</v>
      </c>
      <c r="BO2" s="12" t="s">
        <v>278</v>
      </c>
      <c r="BP2" s="12" t="s">
        <v>278</v>
      </c>
      <c r="BQ2" s="12" t="s">
        <v>278</v>
      </c>
      <c r="BR2" s="12" t="s">
        <v>278</v>
      </c>
      <c r="BS2" s="195" t="s">
        <v>278</v>
      </c>
      <c r="BT2" s="12" t="s">
        <v>278</v>
      </c>
      <c r="BU2" s="12" t="s">
        <v>278</v>
      </c>
      <c r="BV2" s="195" t="s">
        <v>278</v>
      </c>
      <c r="BW2" s="12"/>
      <c r="BX2" s="195" t="s">
        <v>278</v>
      </c>
      <c r="BY2" s="12" t="s">
        <v>278</v>
      </c>
      <c r="BZ2" s="12" t="s">
        <v>278</v>
      </c>
      <c r="CA2" s="12" t="s">
        <v>278</v>
      </c>
      <c r="CB2" s="195" t="s">
        <v>278</v>
      </c>
      <c r="CC2" s="12" t="s">
        <v>278</v>
      </c>
      <c r="CD2" s="12" t="s">
        <v>278</v>
      </c>
      <c r="CE2" s="12" t="s">
        <v>278</v>
      </c>
      <c r="CF2" s="195" t="s">
        <v>278</v>
      </c>
      <c r="CG2" s="12" t="s">
        <v>278</v>
      </c>
      <c r="CH2" s="12" t="s">
        <v>278</v>
      </c>
      <c r="CI2" s="12" t="s">
        <v>278</v>
      </c>
    </row>
    <row r="3" spans="2:87" s="2" customFormat="1" ht="13.5" customHeight="1">
      <c r="B3" s="11" t="s">
        <v>279</v>
      </c>
      <c r="C3" s="13">
        <v>41975</v>
      </c>
      <c r="D3" s="13">
        <v>42341</v>
      </c>
      <c r="E3" s="13">
        <v>42708</v>
      </c>
      <c r="F3" s="13">
        <v>43074</v>
      </c>
      <c r="G3" s="13">
        <v>43439</v>
      </c>
      <c r="H3" s="13">
        <v>43439</v>
      </c>
      <c r="I3" s="13">
        <v>43804</v>
      </c>
      <c r="J3" s="13">
        <v>43804</v>
      </c>
      <c r="K3" s="13">
        <v>44170</v>
      </c>
      <c r="L3" s="14">
        <v>44535</v>
      </c>
      <c r="M3" s="14">
        <v>44535</v>
      </c>
      <c r="N3" s="14">
        <v>44900</v>
      </c>
      <c r="O3" s="14">
        <v>44900</v>
      </c>
      <c r="P3" s="14">
        <v>45265</v>
      </c>
      <c r="Q3" s="14">
        <v>45631</v>
      </c>
      <c r="R3" s="14">
        <v>45996</v>
      </c>
      <c r="S3" s="14">
        <f>BI3</f>
        <v>46112</v>
      </c>
      <c r="U3" s="13">
        <v>42437</v>
      </c>
      <c r="V3" s="13">
        <v>42527</v>
      </c>
      <c r="W3" s="13">
        <v>42622</v>
      </c>
      <c r="X3" s="13">
        <v>42714</v>
      </c>
      <c r="Y3" s="13">
        <v>42801</v>
      </c>
      <c r="Z3" s="13">
        <v>42892</v>
      </c>
      <c r="AA3" s="13">
        <v>42987</v>
      </c>
      <c r="AB3" s="13">
        <v>43100</v>
      </c>
      <c r="AC3" s="13">
        <v>43190</v>
      </c>
      <c r="AD3" s="13">
        <v>43281</v>
      </c>
      <c r="AE3" s="13">
        <v>43373</v>
      </c>
      <c r="AF3" s="13">
        <v>43465</v>
      </c>
      <c r="AG3" s="14">
        <v>43555</v>
      </c>
      <c r="AH3" s="13">
        <v>43646</v>
      </c>
      <c r="AI3" s="13">
        <v>43738</v>
      </c>
      <c r="AJ3" s="13">
        <v>43830</v>
      </c>
      <c r="AK3" s="14">
        <v>43921</v>
      </c>
      <c r="AL3" s="13">
        <v>44012</v>
      </c>
      <c r="AM3" s="13">
        <v>44104</v>
      </c>
      <c r="AN3" s="13">
        <v>44196</v>
      </c>
      <c r="AO3" s="14">
        <v>44286</v>
      </c>
      <c r="AP3" s="13">
        <v>44377</v>
      </c>
      <c r="AQ3" s="13">
        <v>44469</v>
      </c>
      <c r="AR3" s="13">
        <v>44561</v>
      </c>
      <c r="AS3" s="14">
        <v>44651</v>
      </c>
      <c r="AT3" s="13">
        <v>44742</v>
      </c>
      <c r="AU3" s="14">
        <v>44834</v>
      </c>
      <c r="AV3" s="13">
        <v>44926</v>
      </c>
      <c r="AW3" s="14">
        <v>45016</v>
      </c>
      <c r="AX3" s="13">
        <v>45107</v>
      </c>
      <c r="AY3" s="14">
        <v>45199</v>
      </c>
      <c r="AZ3" s="14">
        <v>45291</v>
      </c>
      <c r="BA3" s="14">
        <v>45382</v>
      </c>
      <c r="BB3" s="14">
        <v>45473</v>
      </c>
      <c r="BC3" s="14">
        <v>45565</v>
      </c>
      <c r="BD3" s="14">
        <v>45657</v>
      </c>
      <c r="BE3" s="14">
        <v>45747</v>
      </c>
      <c r="BF3" s="14">
        <v>45838</v>
      </c>
      <c r="BG3" s="14">
        <v>45930</v>
      </c>
      <c r="BH3" s="14">
        <v>46022</v>
      </c>
      <c r="BI3" s="14">
        <v>46112</v>
      </c>
      <c r="BJ3" s="285"/>
      <c r="BK3" s="14">
        <v>43166</v>
      </c>
      <c r="BL3" s="13">
        <v>43281</v>
      </c>
      <c r="BM3" s="13">
        <v>43373</v>
      </c>
      <c r="BN3" s="13">
        <v>43465</v>
      </c>
      <c r="BO3" s="13">
        <v>43646</v>
      </c>
      <c r="BP3" s="13">
        <v>43738</v>
      </c>
      <c r="BQ3" s="13">
        <v>43079</v>
      </c>
      <c r="BR3" s="13">
        <v>43830</v>
      </c>
      <c r="BS3" s="14">
        <v>43921</v>
      </c>
      <c r="BT3" s="13">
        <v>44012</v>
      </c>
      <c r="BU3" s="13">
        <v>44104</v>
      </c>
      <c r="BV3" s="14">
        <v>44196</v>
      </c>
      <c r="BW3" s="13"/>
      <c r="BX3" s="14">
        <v>44286</v>
      </c>
      <c r="BY3" s="13">
        <v>44377</v>
      </c>
      <c r="BZ3" s="13">
        <v>44469</v>
      </c>
      <c r="CA3" s="13">
        <v>44561</v>
      </c>
      <c r="CB3" s="14">
        <v>44651</v>
      </c>
      <c r="CC3" s="13">
        <v>44742</v>
      </c>
      <c r="CD3" s="13">
        <v>44834</v>
      </c>
      <c r="CE3" s="13">
        <v>44926</v>
      </c>
      <c r="CF3" s="14">
        <v>45016</v>
      </c>
      <c r="CG3" s="13">
        <v>45107</v>
      </c>
      <c r="CH3" s="13">
        <v>45199</v>
      </c>
      <c r="CI3" s="13">
        <v>45291</v>
      </c>
    </row>
    <row r="4" spans="2:87" s="5" customFormat="1" ht="13.5" customHeight="1">
      <c r="B4" s="11"/>
      <c r="C4" s="14" t="s">
        <v>280</v>
      </c>
      <c r="D4" s="14" t="s">
        <v>280</v>
      </c>
      <c r="E4" s="14" t="s">
        <v>280</v>
      </c>
      <c r="F4" s="14" t="s">
        <v>280</v>
      </c>
      <c r="G4" s="14" t="s">
        <v>280</v>
      </c>
      <c r="H4" s="14" t="s">
        <v>280</v>
      </c>
      <c r="I4" s="14" t="s">
        <v>280</v>
      </c>
      <c r="J4" s="14" t="s">
        <v>280</v>
      </c>
      <c r="K4" s="14" t="s">
        <v>280</v>
      </c>
      <c r="L4" s="14" t="s">
        <v>280</v>
      </c>
      <c r="M4" s="14" t="s">
        <v>280</v>
      </c>
      <c r="N4" s="14" t="s">
        <v>280</v>
      </c>
      <c r="O4" s="14" t="s">
        <v>280</v>
      </c>
      <c r="P4" s="14" t="s">
        <v>280</v>
      </c>
      <c r="Q4" s="14" t="s">
        <v>280</v>
      </c>
      <c r="R4" s="14" t="s">
        <v>280</v>
      </c>
      <c r="S4" s="14" t="s">
        <v>280</v>
      </c>
      <c r="U4" s="14" t="s">
        <v>280</v>
      </c>
      <c r="V4" s="14" t="s">
        <v>280</v>
      </c>
      <c r="W4" s="14" t="s">
        <v>280</v>
      </c>
      <c r="X4" s="14" t="s">
        <v>280</v>
      </c>
      <c r="Y4" s="14" t="s">
        <v>280</v>
      </c>
      <c r="Z4" s="14" t="s">
        <v>280</v>
      </c>
      <c r="AA4" s="14" t="s">
        <v>280</v>
      </c>
      <c r="AB4" s="14" t="s">
        <v>280</v>
      </c>
      <c r="AC4" s="14" t="s">
        <v>280</v>
      </c>
      <c r="AD4" s="14" t="s">
        <v>280</v>
      </c>
      <c r="AE4" s="14" t="s">
        <v>280</v>
      </c>
      <c r="AF4" s="14" t="s">
        <v>280</v>
      </c>
      <c r="AG4" s="14" t="s">
        <v>280</v>
      </c>
      <c r="AH4" s="14" t="s">
        <v>280</v>
      </c>
      <c r="AI4" s="14" t="s">
        <v>280</v>
      </c>
      <c r="AJ4" s="14" t="s">
        <v>280</v>
      </c>
      <c r="AK4" s="14" t="s">
        <v>280</v>
      </c>
      <c r="AL4" s="14" t="s">
        <v>280</v>
      </c>
      <c r="AM4" s="14" t="s">
        <v>280</v>
      </c>
      <c r="AN4" s="14" t="s">
        <v>280</v>
      </c>
      <c r="AO4" s="14" t="s">
        <v>280</v>
      </c>
      <c r="AP4" s="14" t="s">
        <v>280</v>
      </c>
      <c r="AQ4" s="14" t="s">
        <v>280</v>
      </c>
      <c r="AR4" s="14" t="s">
        <v>280</v>
      </c>
      <c r="AS4" s="14" t="s">
        <v>280</v>
      </c>
      <c r="AT4" s="14" t="s">
        <v>280</v>
      </c>
      <c r="AU4" s="14" t="s">
        <v>280</v>
      </c>
      <c r="AV4" s="14" t="s">
        <v>280</v>
      </c>
      <c r="AW4" s="14" t="s">
        <v>280</v>
      </c>
      <c r="AX4" s="14" t="s">
        <v>280</v>
      </c>
      <c r="AY4" s="14" t="s">
        <v>280</v>
      </c>
      <c r="AZ4" s="14" t="s">
        <v>280</v>
      </c>
      <c r="BA4" s="14" t="s">
        <v>280</v>
      </c>
      <c r="BB4" s="14" t="s">
        <v>280</v>
      </c>
      <c r="BC4" s="14" t="s">
        <v>280</v>
      </c>
      <c r="BD4" s="14" t="s">
        <v>280</v>
      </c>
      <c r="BE4" s="14" t="s">
        <v>280</v>
      </c>
      <c r="BF4" s="14" t="s">
        <v>280</v>
      </c>
      <c r="BG4" s="14" t="s">
        <v>280</v>
      </c>
      <c r="BH4" s="14" t="s">
        <v>280</v>
      </c>
      <c r="BI4" s="14" t="s">
        <v>280</v>
      </c>
      <c r="BJ4" s="286"/>
      <c r="BK4" s="14" t="s">
        <v>280</v>
      </c>
      <c r="BL4" s="14" t="s">
        <v>280</v>
      </c>
      <c r="BM4" s="14" t="s">
        <v>280</v>
      </c>
      <c r="BN4" s="14" t="s">
        <v>280</v>
      </c>
      <c r="BO4" s="14" t="s">
        <v>280</v>
      </c>
      <c r="BP4" s="14" t="s">
        <v>280</v>
      </c>
      <c r="BQ4" s="14" t="s">
        <v>281</v>
      </c>
      <c r="BR4" s="14" t="s">
        <v>280</v>
      </c>
      <c r="BS4" s="14" t="s">
        <v>280</v>
      </c>
      <c r="BT4" s="14" t="s">
        <v>280</v>
      </c>
      <c r="BU4" s="14" t="s">
        <v>280</v>
      </c>
      <c r="BV4" s="14" t="s">
        <v>280</v>
      </c>
      <c r="BW4" s="14"/>
      <c r="BX4" s="14" t="s">
        <v>280</v>
      </c>
      <c r="BY4" s="14" t="s">
        <v>280</v>
      </c>
      <c r="BZ4" s="14" t="s">
        <v>280</v>
      </c>
      <c r="CA4" s="14" t="s">
        <v>280</v>
      </c>
      <c r="CB4" s="14" t="s">
        <v>280</v>
      </c>
      <c r="CC4" s="14" t="s">
        <v>280</v>
      </c>
      <c r="CD4" s="14" t="s">
        <v>280</v>
      </c>
      <c r="CE4" s="14" t="s">
        <v>280</v>
      </c>
      <c r="CF4" s="14" t="s">
        <v>280</v>
      </c>
      <c r="CG4" s="14" t="s">
        <v>280</v>
      </c>
      <c r="CH4" s="14" t="s">
        <v>280</v>
      </c>
      <c r="CI4" s="14" t="s">
        <v>280</v>
      </c>
    </row>
    <row r="5" spans="2:87" s="3" customFormat="1" ht="13.5" customHeight="1">
      <c r="C5" s="19" t="s">
        <v>282</v>
      </c>
      <c r="D5" s="19" t="s">
        <v>282</v>
      </c>
      <c r="E5" s="19" t="s">
        <v>282</v>
      </c>
      <c r="F5" s="19" t="s">
        <v>282</v>
      </c>
      <c r="G5" s="19" t="s">
        <v>282</v>
      </c>
      <c r="H5" s="19" t="s">
        <v>282</v>
      </c>
      <c r="I5" s="19" t="s">
        <v>282</v>
      </c>
      <c r="J5" s="19" t="s">
        <v>282</v>
      </c>
      <c r="K5" s="19" t="s">
        <v>282</v>
      </c>
      <c r="L5" s="19" t="s">
        <v>282</v>
      </c>
      <c r="M5" s="19" t="s">
        <v>282</v>
      </c>
      <c r="N5" s="19" t="s">
        <v>282</v>
      </c>
      <c r="O5" s="19" t="s">
        <v>282</v>
      </c>
      <c r="P5" s="19" t="s">
        <v>282</v>
      </c>
      <c r="Q5" s="19" t="s">
        <v>282</v>
      </c>
      <c r="R5" s="19" t="s">
        <v>282</v>
      </c>
      <c r="S5" s="345" t="s">
        <v>277</v>
      </c>
      <c r="U5" s="19" t="s">
        <v>283</v>
      </c>
      <c r="V5" s="19" t="s">
        <v>284</v>
      </c>
      <c r="W5" s="19" t="s">
        <v>285</v>
      </c>
      <c r="X5" s="19" t="s">
        <v>286</v>
      </c>
      <c r="Y5" s="19" t="s">
        <v>283</v>
      </c>
      <c r="Z5" s="19" t="s">
        <v>284</v>
      </c>
      <c r="AA5" s="19" t="s">
        <v>285</v>
      </c>
      <c r="AB5" s="19" t="s">
        <v>286</v>
      </c>
      <c r="AC5" s="19" t="s">
        <v>283</v>
      </c>
      <c r="AD5" s="19" t="s">
        <v>284</v>
      </c>
      <c r="AE5" s="19" t="s">
        <v>285</v>
      </c>
      <c r="AF5" s="19" t="s">
        <v>286</v>
      </c>
      <c r="AG5" s="19" t="s">
        <v>283</v>
      </c>
      <c r="AH5" s="19" t="s">
        <v>284</v>
      </c>
      <c r="AI5" s="19" t="s">
        <v>285</v>
      </c>
      <c r="AJ5" s="19" t="s">
        <v>286</v>
      </c>
      <c r="AK5" s="19" t="s">
        <v>283</v>
      </c>
      <c r="AL5" s="19" t="s">
        <v>284</v>
      </c>
      <c r="AM5" s="19" t="s">
        <v>285</v>
      </c>
      <c r="AN5" s="19" t="s">
        <v>286</v>
      </c>
      <c r="AO5" s="19" t="s">
        <v>283</v>
      </c>
      <c r="AP5" s="19" t="s">
        <v>284</v>
      </c>
      <c r="AQ5" s="19" t="s">
        <v>285</v>
      </c>
      <c r="AR5" s="19" t="s">
        <v>286</v>
      </c>
      <c r="AS5" s="19" t="s">
        <v>283</v>
      </c>
      <c r="AT5" s="19" t="s">
        <v>284</v>
      </c>
      <c r="AU5" s="19" t="s">
        <v>285</v>
      </c>
      <c r="AV5" s="19" t="s">
        <v>286</v>
      </c>
      <c r="AW5" s="19" t="s">
        <v>283</v>
      </c>
      <c r="AX5" s="19" t="s">
        <v>284</v>
      </c>
      <c r="AY5" s="19" t="s">
        <v>285</v>
      </c>
      <c r="AZ5" s="19" t="s">
        <v>286</v>
      </c>
      <c r="BA5" s="19" t="s">
        <v>283</v>
      </c>
      <c r="BB5" s="19" t="s">
        <v>284</v>
      </c>
      <c r="BC5" s="19" t="s">
        <v>285</v>
      </c>
      <c r="BD5" s="345" t="s">
        <v>286</v>
      </c>
      <c r="BE5" s="19" t="s">
        <v>283</v>
      </c>
      <c r="BF5" s="19" t="s">
        <v>284</v>
      </c>
      <c r="BG5" s="19" t="s">
        <v>285</v>
      </c>
      <c r="BH5" s="345" t="s">
        <v>286</v>
      </c>
      <c r="BI5" s="19" t="s">
        <v>283</v>
      </c>
      <c r="BJ5" s="19"/>
      <c r="BK5" s="19" t="s">
        <v>283</v>
      </c>
      <c r="BL5" s="19" t="s">
        <v>284</v>
      </c>
      <c r="BM5" s="19" t="s">
        <v>285</v>
      </c>
      <c r="BN5" s="19" t="s">
        <v>286</v>
      </c>
      <c r="BO5" s="19" t="s">
        <v>284</v>
      </c>
      <c r="BP5" s="19" t="s">
        <v>285</v>
      </c>
      <c r="BQ5" s="19" t="s">
        <v>286</v>
      </c>
      <c r="BR5" s="19" t="s">
        <v>286</v>
      </c>
      <c r="BS5" s="19" t="s">
        <v>283</v>
      </c>
      <c r="BT5" s="19" t="s">
        <v>284</v>
      </c>
      <c r="BU5" s="19" t="s">
        <v>285</v>
      </c>
      <c r="BV5" s="19" t="s">
        <v>286</v>
      </c>
      <c r="BW5" s="19"/>
      <c r="BX5" s="19" t="s">
        <v>283</v>
      </c>
      <c r="BY5" s="19" t="s">
        <v>284</v>
      </c>
      <c r="BZ5" s="19" t="s">
        <v>285</v>
      </c>
      <c r="CA5" s="19" t="s">
        <v>286</v>
      </c>
      <c r="CB5" s="19" t="s">
        <v>283</v>
      </c>
      <c r="CC5" s="19" t="s">
        <v>284</v>
      </c>
      <c r="CD5" s="19" t="s">
        <v>285</v>
      </c>
      <c r="CE5" s="19" t="s">
        <v>286</v>
      </c>
      <c r="CF5" s="19" t="s">
        <v>283</v>
      </c>
      <c r="CG5" s="19" t="s">
        <v>284</v>
      </c>
      <c r="CH5" s="19" t="s">
        <v>285</v>
      </c>
      <c r="CI5" s="19" t="s">
        <v>286</v>
      </c>
    </row>
    <row r="6" spans="2:87" ht="13.5" customHeight="1">
      <c r="B6" s="16" t="s">
        <v>287</v>
      </c>
      <c r="C6" s="17"/>
      <c r="D6" s="17"/>
      <c r="E6" s="17"/>
      <c r="F6" s="17"/>
      <c r="G6" s="17"/>
      <c r="H6" s="240" t="s">
        <v>288</v>
      </c>
      <c r="I6" s="17"/>
      <c r="J6" s="240" t="s">
        <v>288</v>
      </c>
      <c r="K6" s="17"/>
      <c r="L6" s="17"/>
      <c r="M6" s="240" t="s">
        <v>288</v>
      </c>
      <c r="N6" s="17"/>
      <c r="O6" s="280" t="s">
        <v>288</v>
      </c>
      <c r="P6" s="17"/>
      <c r="Q6" s="17"/>
      <c r="R6" s="17"/>
      <c r="S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55"/>
      <c r="BI6" s="17"/>
      <c r="BK6" s="228" t="s">
        <v>288</v>
      </c>
      <c r="BL6" s="228" t="s">
        <v>288</v>
      </c>
      <c r="BM6" s="228" t="s">
        <v>288</v>
      </c>
      <c r="BN6" s="228" t="s">
        <v>288</v>
      </c>
      <c r="BO6" s="228" t="s">
        <v>288</v>
      </c>
      <c r="BP6" s="228" t="s">
        <v>288</v>
      </c>
      <c r="BQ6" s="155"/>
      <c r="BR6" s="228" t="s">
        <v>288</v>
      </c>
      <c r="BS6" s="228" t="s">
        <v>288</v>
      </c>
      <c r="BT6" s="228" t="s">
        <v>288</v>
      </c>
      <c r="BU6" s="228" t="s">
        <v>288</v>
      </c>
      <c r="BV6" s="228" t="s">
        <v>288</v>
      </c>
      <c r="BW6" s="228"/>
      <c r="BX6" s="228" t="s">
        <v>288</v>
      </c>
      <c r="BY6" s="228" t="s">
        <v>288</v>
      </c>
      <c r="BZ6" s="228" t="s">
        <v>288</v>
      </c>
      <c r="CA6" s="228" t="s">
        <v>288</v>
      </c>
      <c r="CB6" s="228" t="s">
        <v>288</v>
      </c>
      <c r="CC6" s="228" t="s">
        <v>288</v>
      </c>
      <c r="CD6" s="228" t="s">
        <v>288</v>
      </c>
      <c r="CE6" s="228" t="s">
        <v>288</v>
      </c>
      <c r="CF6" s="228" t="s">
        <v>288</v>
      </c>
      <c r="CG6" s="228" t="s">
        <v>288</v>
      </c>
      <c r="CH6" s="228" t="s">
        <v>288</v>
      </c>
      <c r="CI6" s="228" t="s">
        <v>288</v>
      </c>
    </row>
    <row r="7" spans="2:87" s="5" customFormat="1" ht="16.5" customHeight="1">
      <c r="B7" s="5" t="s">
        <v>289</v>
      </c>
      <c r="C7" s="92">
        <v>187052.65</v>
      </c>
      <c r="D7" s="92">
        <v>219186.33499999999</v>
      </c>
      <c r="E7" s="92">
        <v>252141.01</v>
      </c>
      <c r="F7" s="92">
        <v>267515.40500000003</v>
      </c>
      <c r="G7" s="92">
        <v>288265.97399999999</v>
      </c>
      <c r="H7" s="92">
        <v>289319.52600000001</v>
      </c>
      <c r="I7" s="92">
        <v>291925.82299999997</v>
      </c>
      <c r="J7" s="92">
        <v>291925.82299999997</v>
      </c>
      <c r="K7" s="92">
        <v>331050.54499999998</v>
      </c>
      <c r="L7" s="263">
        <v>348887.44</v>
      </c>
      <c r="M7" s="263">
        <v>338792.20400000003</v>
      </c>
      <c r="N7" s="263">
        <v>398706.29300000001</v>
      </c>
      <c r="O7" s="92">
        <v>398706.29300000001</v>
      </c>
      <c r="P7" s="92">
        <v>399879.277</v>
      </c>
      <c r="Q7" s="92">
        <v>408334.95299999998</v>
      </c>
      <c r="R7" s="92">
        <v>426951.69400000002</v>
      </c>
      <c r="S7" s="94">
        <f>SUM(BF7:BI7)</f>
        <v>423544.88200000004</v>
      </c>
      <c r="U7" s="92">
        <v>57075.493999999999</v>
      </c>
      <c r="V7" s="92">
        <v>61039.828999999998</v>
      </c>
      <c r="W7" s="92">
        <v>65163.769</v>
      </c>
      <c r="X7" s="94">
        <f>E7-SUM(U7:W7)</f>
        <v>68861.918000000005</v>
      </c>
      <c r="Y7" s="92">
        <f>131194.522-Z7</f>
        <v>66079.968999999997</v>
      </c>
      <c r="Z7" s="92">
        <v>65114.553</v>
      </c>
      <c r="AA7" s="92">
        <v>65389.754000000001</v>
      </c>
      <c r="AB7" s="94">
        <f>F7-SUM(Y7:AA7)</f>
        <v>70931.129000000015</v>
      </c>
      <c r="AC7" s="92">
        <v>67154.129000000001</v>
      </c>
      <c r="AD7" s="92">
        <v>72416.616999999998</v>
      </c>
      <c r="AE7" s="92">
        <v>72390.301999999996</v>
      </c>
      <c r="AF7" s="94">
        <f>G7-AE7-AD7-AC7</f>
        <v>76304.925999999992</v>
      </c>
      <c r="AG7" s="92">
        <v>69573.153000000006</v>
      </c>
      <c r="AH7" s="92">
        <v>72324.172000000006</v>
      </c>
      <c r="AI7" s="92">
        <v>74965.171000000002</v>
      </c>
      <c r="AJ7" s="94">
        <f>I7-AI7-AH7-AG7</f>
        <v>75063.326999999976</v>
      </c>
      <c r="AK7" s="92">
        <v>74404.084000000003</v>
      </c>
      <c r="AL7" s="92">
        <v>86411.24</v>
      </c>
      <c r="AM7" s="92">
        <v>85800.331999999995</v>
      </c>
      <c r="AN7" s="94">
        <f>K7-AM7-AL7-AK7</f>
        <v>84434.888999999996</v>
      </c>
      <c r="AO7" s="92">
        <v>79136.357000000004</v>
      </c>
      <c r="AP7" s="92">
        <v>83788.816999999995</v>
      </c>
      <c r="AQ7" s="92">
        <v>88182.073999999993</v>
      </c>
      <c r="AR7" s="94">
        <f>M7-AQ7-AP7-AO7</f>
        <v>87684.95600000002</v>
      </c>
      <c r="AS7" s="92">
        <f>93320.642</f>
        <v>93320.642000000007</v>
      </c>
      <c r="AT7" s="92">
        <v>96434.395999999993</v>
      </c>
      <c r="AU7" s="92">
        <v>102821.086</v>
      </c>
      <c r="AV7" s="94">
        <f>N7-AU7-AT7-AS7</f>
        <v>106130.16899999998</v>
      </c>
      <c r="AW7" s="92">
        <v>99565.442999999999</v>
      </c>
      <c r="AX7" s="92">
        <v>100366.14200000001</v>
      </c>
      <c r="AY7" s="92">
        <v>99181.695999999996</v>
      </c>
      <c r="AZ7" s="94">
        <f>P7-AY7-AX7-AW7</f>
        <v>100765.99600000001</v>
      </c>
      <c r="BA7" s="92">
        <v>93641.114000000001</v>
      </c>
      <c r="BB7" s="92">
        <v>98086.589000000007</v>
      </c>
      <c r="BC7" s="92">
        <v>106046.356</v>
      </c>
      <c r="BD7" s="94">
        <f>Q7-BC7-BB7-BA7</f>
        <v>110560.89399999994</v>
      </c>
      <c r="BE7" s="92">
        <v>103725.558</v>
      </c>
      <c r="BF7" s="92">
        <v>107502.52899999999</v>
      </c>
      <c r="BG7" s="92">
        <v>107420.822</v>
      </c>
      <c r="BH7" s="94">
        <f>R7-SUM(BE7:BG7)</f>
        <v>108302.78500000003</v>
      </c>
      <c r="BI7" s="92">
        <v>100318.746</v>
      </c>
      <c r="BJ7" s="92"/>
      <c r="BK7" s="92">
        <v>67149.06</v>
      </c>
      <c r="BL7" s="92">
        <v>72793.766000000003</v>
      </c>
      <c r="BM7" s="92">
        <v>72646.377999999997</v>
      </c>
      <c r="BN7" s="94">
        <f>H7-BM7-BL7-BK7</f>
        <v>76730.322000000015</v>
      </c>
      <c r="BO7" s="92">
        <v>72094.278000000006</v>
      </c>
      <c r="BP7" s="92">
        <v>74850.857999999993</v>
      </c>
      <c r="BQ7" s="41" t="e">
        <f>#REF!-Y7-Z7-AA7</f>
        <v>#REF!</v>
      </c>
      <c r="BR7" s="94">
        <f>J7-AG7-AH7-AI7</f>
        <v>75063.326999999961</v>
      </c>
      <c r="BS7" s="92">
        <v>74249.710999999996</v>
      </c>
      <c r="BT7" s="92">
        <v>86308.127999999997</v>
      </c>
      <c r="BU7" s="92">
        <v>85714.933000000005</v>
      </c>
      <c r="BV7" s="94">
        <f>K7-BS7-BT7-BU7</f>
        <v>84777.772999999972</v>
      </c>
      <c r="BW7" s="94"/>
      <c r="BX7" s="92">
        <v>79286.187999999995</v>
      </c>
      <c r="BY7" s="92">
        <v>81653.865999999995</v>
      </c>
      <c r="BZ7" s="92">
        <v>85659.3</v>
      </c>
      <c r="CA7" s="94">
        <f>M7-BX7-BY7-BZ7</f>
        <v>92192.85000000002</v>
      </c>
      <c r="CB7" s="92">
        <v>90570.284</v>
      </c>
      <c r="CC7" s="92">
        <v>96414.551000000007</v>
      </c>
      <c r="CD7" s="92">
        <v>102725.89200000001</v>
      </c>
      <c r="CE7" s="94">
        <f>O7-CB7-CC7-CD7</f>
        <v>108995.56600000001</v>
      </c>
      <c r="CF7" s="92">
        <v>99180.895999999993</v>
      </c>
      <c r="CG7" s="92">
        <v>100036.092</v>
      </c>
      <c r="CH7" s="92">
        <v>98779.202000000005</v>
      </c>
      <c r="CI7" s="94">
        <f>P7-CF7-CG7-CH7</f>
        <v>101883.08699999998</v>
      </c>
    </row>
    <row r="8" spans="2:87" ht="13.5" customHeight="1">
      <c r="B8" s="115" t="s">
        <v>290</v>
      </c>
      <c r="C8" s="121">
        <f>C7/174623-1</f>
        <v>7.1179913298935471E-2</v>
      </c>
      <c r="D8" s="122">
        <f>D7/C7-1</f>
        <v>0.17178952022331684</v>
      </c>
      <c r="E8" s="122">
        <f>E7/D7-1</f>
        <v>0.15035004349153436</v>
      </c>
      <c r="F8" s="122">
        <f>F7/E7-1</f>
        <v>6.0975384369246433E-2</v>
      </c>
      <c r="G8" s="122">
        <f>G7/F7-1</f>
        <v>7.7567753528062999E-2</v>
      </c>
      <c r="H8" s="117">
        <f>+H7/F7-1</f>
        <v>8.1506038876527409E-2</v>
      </c>
      <c r="I8" s="122">
        <f>I7/H7-1</f>
        <v>9.0083688302460274E-3</v>
      </c>
      <c r="J8" s="122">
        <f>J7/H7-1</f>
        <v>9.0083688302460274E-3</v>
      </c>
      <c r="K8" s="122">
        <f>K7/J7-1</f>
        <v>0.13402281989969755</v>
      </c>
      <c r="L8" s="122">
        <f>L7/K7-1</f>
        <v>5.3879672664487011E-2</v>
      </c>
      <c r="M8" s="122">
        <f>M7/K7-1</f>
        <v>2.3385126884476248E-2</v>
      </c>
      <c r="N8" s="122">
        <f>N7/L7-1</f>
        <v>0.14279348376656964</v>
      </c>
      <c r="O8" s="122">
        <f>O7/M7-1</f>
        <v>0.17684612660095334</v>
      </c>
      <c r="P8" s="122">
        <f>P7/O7-1</f>
        <v>2.9419751345636236E-3</v>
      </c>
      <c r="Q8" s="122">
        <f>Q7/P7-1</f>
        <v>2.1145571892188686E-2</v>
      </c>
      <c r="R8" s="122">
        <f>R7/Q7-1</f>
        <v>4.5591837934089385E-2</v>
      </c>
      <c r="S8" s="122"/>
      <c r="U8" s="121">
        <f>U7/50048-1</f>
        <v>0.14041508152173909</v>
      </c>
      <c r="V8" s="121">
        <f>V7/53267-1</f>
        <v>0.14592203428013595</v>
      </c>
      <c r="W8" s="121">
        <f>W7/56352-1</f>
        <v>0.15637011996024985</v>
      </c>
      <c r="X8" s="121">
        <f>X7/59519-1</f>
        <v>0.1569737058754348</v>
      </c>
      <c r="Y8" s="122">
        <f t="shared" ref="Y8:AE8" si="0">Y7/U7-1</f>
        <v>0.15776429372648093</v>
      </c>
      <c r="Z8" s="122">
        <f t="shared" si="0"/>
        <v>6.6755167351468137E-2</v>
      </c>
      <c r="AA8" s="122">
        <f t="shared" si="0"/>
        <v>3.4679547157563384E-3</v>
      </c>
      <c r="AB8" s="122">
        <f t="shared" si="0"/>
        <v>3.0048698324086853E-2</v>
      </c>
      <c r="AC8" s="122">
        <f t="shared" si="0"/>
        <v>1.6255455567783406E-2</v>
      </c>
      <c r="AD8" s="122">
        <f t="shared" si="0"/>
        <v>0.11214181259909739</v>
      </c>
      <c r="AE8" s="122">
        <f t="shared" si="0"/>
        <v>0.10705879089253023</v>
      </c>
      <c r="AF8" s="122">
        <f>AF7/AB7-1</f>
        <v>7.5760770704777158E-2</v>
      </c>
      <c r="AG8" s="122">
        <f>AG7/BK7-1</f>
        <v>3.6100177724007088E-2</v>
      </c>
      <c r="AH8" s="122">
        <f>AH7/BL7-1</f>
        <v>-6.4510194458134995E-3</v>
      </c>
      <c r="AI8" s="122">
        <f>AI7/BM7-1</f>
        <v>3.1918907230309657E-2</v>
      </c>
      <c r="AJ8" s="122">
        <f>AJ7/BN7-1</f>
        <v>-2.1725374748199799E-2</v>
      </c>
      <c r="AK8" s="122">
        <f>AK7/AG7-1</f>
        <v>6.9436712175456439E-2</v>
      </c>
      <c r="AL8" s="122">
        <f>AL7/BO7-1</f>
        <v>0.19858666175975848</v>
      </c>
      <c r="AM8" s="122">
        <f>AM7/BP7-1</f>
        <v>0.14628388094095057</v>
      </c>
      <c r="AN8" s="122">
        <f>AN7/BR7-1</f>
        <v>0.12484874271560109</v>
      </c>
      <c r="AO8" s="122">
        <f>AO7/BS7-1</f>
        <v>6.5813670305060246E-2</v>
      </c>
      <c r="AP8" s="122">
        <f>AP7/BT7-1</f>
        <v>-2.918973054310714E-2</v>
      </c>
      <c r="AQ8" s="122">
        <f>AQ7/BU7-1</f>
        <v>2.8783094306332746E-2</v>
      </c>
      <c r="AR8" s="122">
        <f>AR7/BV7-1</f>
        <v>3.4291806650784018E-2</v>
      </c>
      <c r="AS8" s="122">
        <f t="shared" ref="AS8:AZ8" si="1">AS7/BX7-1</f>
        <v>0.17701007393620705</v>
      </c>
      <c r="AT8" s="122">
        <f t="shared" si="1"/>
        <v>0.18101445435541286</v>
      </c>
      <c r="AU8" s="122">
        <f t="shared" si="1"/>
        <v>0.20034936078160803</v>
      </c>
      <c r="AV8" s="122">
        <f t="shared" si="1"/>
        <v>0.15117570397270463</v>
      </c>
      <c r="AW8" s="122">
        <f t="shared" si="1"/>
        <v>9.9316890736480312E-2</v>
      </c>
      <c r="AX8" s="122">
        <f t="shared" si="1"/>
        <v>4.0985421381052767E-2</v>
      </c>
      <c r="AY8" s="122">
        <f t="shared" si="1"/>
        <v>-3.4501486733257147E-2</v>
      </c>
      <c r="AZ8" s="122">
        <f t="shared" si="1"/>
        <v>-7.5503713609781031E-2</v>
      </c>
      <c r="BA8" s="122">
        <f>BA7/AW7-1</f>
        <v>-5.9501859495568188E-2</v>
      </c>
      <c r="BB8" s="122">
        <f>BB7/CG7-1</f>
        <v>-1.9487996392342E-2</v>
      </c>
      <c r="BC8" s="122">
        <f>BC7/CH7-1</f>
        <v>7.3569677147219625E-2</v>
      </c>
      <c r="BD8" s="122">
        <f>BD7/CI7-1</f>
        <v>8.5174166346176472E-2</v>
      </c>
      <c r="BE8" s="122">
        <f>BE7/BA7-1</f>
        <v>0.10769248217188032</v>
      </c>
      <c r="BF8" s="122">
        <f>BF7/BB7-1</f>
        <v>9.599620188647795E-2</v>
      </c>
      <c r="BG8" s="122">
        <f>BG7/BC7-1</f>
        <v>1.2960992266438653E-2</v>
      </c>
      <c r="BH8" s="122">
        <f>BH7/BD7-1</f>
        <v>-2.0424120304236237E-2</v>
      </c>
      <c r="BI8" s="122">
        <f>BI7/BE7-1</f>
        <v>-3.2844479853268216E-2</v>
      </c>
      <c r="BJ8" s="287"/>
      <c r="BK8" s="122">
        <f>BK7/Y7-1</f>
        <v>1.6178745483370394E-2</v>
      </c>
      <c r="BL8" s="122">
        <f>BL7/Z7-1</f>
        <v>0.11793389720420877</v>
      </c>
      <c r="BM8" s="122">
        <f>BM7/AA7-1</f>
        <v>0.11097493959068871</v>
      </c>
      <c r="BN8" s="122">
        <f>BN7/AB7-1</f>
        <v>8.1758081138113559E-2</v>
      </c>
      <c r="BO8" s="122">
        <f>BO7/AD7-1</f>
        <v>-4.4511745142692405E-3</v>
      </c>
      <c r="BP8" s="122">
        <f>BP7/AE7-1</f>
        <v>3.3990133098215303E-2</v>
      </c>
      <c r="BQ8" s="156" t="e">
        <f>BQ7/X7-1</f>
        <v>#REF!</v>
      </c>
      <c r="BR8" s="122">
        <f>BR7/BN7-1</f>
        <v>-2.1725374748200021E-2</v>
      </c>
      <c r="BS8" s="122">
        <f>BS7/BO7-1</f>
        <v>2.9897421262752522E-2</v>
      </c>
      <c r="BT8" s="137">
        <f>BT7/BO7-1</f>
        <v>0.19715642342655815</v>
      </c>
      <c r="BU8" s="137">
        <f>BU7/BP7-1</f>
        <v>0.14514295881551575</v>
      </c>
      <c r="BV8" s="122">
        <f t="shared" ref="BV8:CI8" si="2">BV7/BR7-1</f>
        <v>0.12941667240515486</v>
      </c>
      <c r="BW8" s="122"/>
      <c r="BX8" s="122">
        <f>BX7/BS7-1</f>
        <v>6.7831604085300645E-2</v>
      </c>
      <c r="BY8" s="137">
        <f>BY7/BT7-1</f>
        <v>-5.3926114583321749E-2</v>
      </c>
      <c r="BZ8" s="137">
        <f>BZ7/BU7-1</f>
        <v>-6.4904676528187988E-4</v>
      </c>
      <c r="CA8" s="122">
        <f>CA7/BV7-1</f>
        <v>8.7464871246382581E-2</v>
      </c>
      <c r="CB8" s="122">
        <f t="shared" si="2"/>
        <v>0.14232108119512565</v>
      </c>
      <c r="CC8" s="137">
        <f t="shared" si="2"/>
        <v>0.18077141626092774</v>
      </c>
      <c r="CD8" s="137">
        <f t="shared" si="2"/>
        <v>0.19923805120985105</v>
      </c>
      <c r="CE8" s="137">
        <f t="shared" si="2"/>
        <v>0.18225617279431083</v>
      </c>
      <c r="CF8" s="137">
        <f t="shared" si="2"/>
        <v>9.507105001459415E-2</v>
      </c>
      <c r="CG8" s="137">
        <f>CG7/CD7-1</f>
        <v>-2.6184245740110024E-2</v>
      </c>
      <c r="CH8" s="137">
        <f t="shared" si="2"/>
        <v>-3.8419622581617463E-2</v>
      </c>
      <c r="CI8" s="137">
        <f t="shared" si="2"/>
        <v>-6.5254755409041354E-2</v>
      </c>
    </row>
    <row r="9" spans="2:87" ht="13.5" customHeight="1">
      <c r="B9" s="5" t="s">
        <v>291</v>
      </c>
      <c r="C9" s="93">
        <v>-88298.07</v>
      </c>
      <c r="D9" s="93">
        <v>-102421.353</v>
      </c>
      <c r="E9" s="93">
        <v>-115998.484</v>
      </c>
      <c r="F9" s="93">
        <v>-124762.961</v>
      </c>
      <c r="G9" s="93">
        <v>-135667.19399999999</v>
      </c>
      <c r="H9" s="93">
        <v>-135669.12100000001</v>
      </c>
      <c r="I9" s="93">
        <v>-138183.72500000001</v>
      </c>
      <c r="J9" s="93">
        <v>-138183.72500000001</v>
      </c>
      <c r="K9" s="93">
        <v>-152608.03899999999</v>
      </c>
      <c r="L9" s="264">
        <v>-163574.88099999999</v>
      </c>
      <c r="M9" s="264">
        <v>-157702.785</v>
      </c>
      <c r="N9" s="264">
        <v>-193325.30600000001</v>
      </c>
      <c r="O9" s="93">
        <v>-193325.30600000001</v>
      </c>
      <c r="P9" s="93">
        <v>-194368.796</v>
      </c>
      <c r="Q9" s="93">
        <v>-193406.636</v>
      </c>
      <c r="R9" s="93">
        <v>-203464.66</v>
      </c>
      <c r="S9" s="95">
        <f>SUM(BF9:BI9)</f>
        <v>-201864.64800000002</v>
      </c>
      <c r="U9" s="93">
        <v>-26437.012999999999</v>
      </c>
      <c r="V9" s="93">
        <v>-27903.011999999999</v>
      </c>
      <c r="W9" s="93">
        <v>-29888.208999999999</v>
      </c>
      <c r="X9" s="95">
        <f>E9-SUM(U9:W9)</f>
        <v>-31770.25</v>
      </c>
      <c r="Y9" s="93">
        <f>-60521.857-Z9</f>
        <v>-30615.536000000004</v>
      </c>
      <c r="Z9" s="93">
        <v>-29906.321</v>
      </c>
      <c r="AA9" s="93">
        <v>-30738.242999999999</v>
      </c>
      <c r="AB9" s="95">
        <f>F9-SUM(Y9:AA9)</f>
        <v>-33502.86099999999</v>
      </c>
      <c r="AC9" s="93">
        <v>-31601.376</v>
      </c>
      <c r="AD9" s="93">
        <v>-33733.029000000002</v>
      </c>
      <c r="AE9" s="93">
        <v>-34043.936000000002</v>
      </c>
      <c r="AF9" s="95">
        <f>G9-AE9-AD9-AC9</f>
        <v>-36288.852999999988</v>
      </c>
      <c r="AG9" s="93">
        <v>-32865.550000000003</v>
      </c>
      <c r="AH9" s="93">
        <v>-34004.641000000003</v>
      </c>
      <c r="AI9" s="93">
        <v>-35403.843000000001</v>
      </c>
      <c r="AJ9" s="95">
        <f>I9-AI9-AH9-AG9</f>
        <v>-35909.691000000006</v>
      </c>
      <c r="AK9" s="93">
        <v>-34561.667999999998</v>
      </c>
      <c r="AL9" s="93">
        <v>-39443.218000000001</v>
      </c>
      <c r="AM9" s="93">
        <v>-39609.712</v>
      </c>
      <c r="AN9" s="95">
        <f>K9-AM9-AL9-AK9</f>
        <v>-38993.440999999999</v>
      </c>
      <c r="AO9" s="93">
        <v>-36591.57</v>
      </c>
      <c r="AP9" s="93">
        <v>-38759.728000000003</v>
      </c>
      <c r="AQ9" s="93">
        <v>-41462.771000000001</v>
      </c>
      <c r="AR9" s="95">
        <f>M9-AQ9-AP9-AO9</f>
        <v>-40888.715999999993</v>
      </c>
      <c r="AS9" s="93">
        <v>-45098.519</v>
      </c>
      <c r="AT9" s="93">
        <v>-46740.269</v>
      </c>
      <c r="AU9" s="93">
        <v>-50202.01</v>
      </c>
      <c r="AV9" s="95">
        <f>N9-AU9-AT9-AS9</f>
        <v>-51284.508000000002</v>
      </c>
      <c r="AW9" s="93">
        <v>-48446.247000000003</v>
      </c>
      <c r="AX9" s="93">
        <v>-49232.053999999996</v>
      </c>
      <c r="AY9" s="93">
        <v>-47970.548999999999</v>
      </c>
      <c r="AZ9" s="95">
        <f>P9-AY9-AX9-AW9</f>
        <v>-48719.945999999996</v>
      </c>
      <c r="BA9" s="93">
        <v>-44940.065999999999</v>
      </c>
      <c r="BB9" s="93">
        <v>-46776.589</v>
      </c>
      <c r="BC9" s="93">
        <v>-49755.756000000001</v>
      </c>
      <c r="BD9" s="95">
        <f>Q9-BC9-BB9-BA9</f>
        <v>-51934.224999999999</v>
      </c>
      <c r="BE9" s="93">
        <v>-49262.455000000002</v>
      </c>
      <c r="BF9" s="93">
        <v>-50777.203000000001</v>
      </c>
      <c r="BG9" s="93">
        <v>-51229.834999999999</v>
      </c>
      <c r="BH9" s="95">
        <f>R9-SUM(BE9:BG9)</f>
        <v>-52195.167000000016</v>
      </c>
      <c r="BI9" s="93">
        <v>-47662.442999999999</v>
      </c>
      <c r="BJ9" s="288"/>
      <c r="BK9" s="93">
        <v>-31457.914000000001</v>
      </c>
      <c r="BL9" s="93">
        <v>-33846.178</v>
      </c>
      <c r="BM9" s="93">
        <v>-34038.999000000003</v>
      </c>
      <c r="BN9" s="95">
        <f>H9-BM9-BL9-BK9</f>
        <v>-36326.03</v>
      </c>
      <c r="BO9" s="93">
        <v>-33845.654999999999</v>
      </c>
      <c r="BP9" s="93">
        <v>-35325.264999999999</v>
      </c>
      <c r="BQ9" s="31"/>
      <c r="BR9" s="95">
        <f>J9-AG9-AH9-AI9</f>
        <v>-35909.690999999999</v>
      </c>
      <c r="BS9" s="93">
        <v>-34460.474000000002</v>
      </c>
      <c r="BT9" s="93">
        <v>-39371.072999999997</v>
      </c>
      <c r="BU9" s="93">
        <v>-39551.233999999997</v>
      </c>
      <c r="BV9" s="95">
        <f>K9-BS9-BT9-BU9</f>
        <v>-39225.258000000002</v>
      </c>
      <c r="BW9" s="95"/>
      <c r="BX9" s="93">
        <v>-36691.055</v>
      </c>
      <c r="BY9" s="93">
        <v>-37617.288999999997</v>
      </c>
      <c r="BZ9" s="93">
        <v>-39924.817000000003</v>
      </c>
      <c r="CA9" s="95">
        <f>M9-BX9-BY9-BZ9</f>
        <v>-43469.624000000018</v>
      </c>
      <c r="CB9" s="93">
        <v>-43632.896000000001</v>
      </c>
      <c r="CC9" s="93">
        <v>-46727.565999999999</v>
      </c>
      <c r="CD9" s="93">
        <v>-50155.076000000001</v>
      </c>
      <c r="CE9" s="95">
        <f>O9-CB9-CC9-CD9</f>
        <v>-52809.768000000011</v>
      </c>
      <c r="CF9" s="93">
        <v>-48497.076000000001</v>
      </c>
      <c r="CG9" s="93">
        <v>-48951.453999999998</v>
      </c>
      <c r="CH9" s="93">
        <v>-47762.559999999998</v>
      </c>
      <c r="CI9" s="95">
        <f>P9-CF9-CG9-CH9</f>
        <v>-49157.706000000006</v>
      </c>
    </row>
    <row r="10" spans="2:87" s="5" customFormat="1" ht="16.5" customHeight="1">
      <c r="B10" s="5" t="s">
        <v>292</v>
      </c>
      <c r="C10" s="94">
        <f t="shared" ref="C10:G10" si="3">C7+C9</f>
        <v>98754.579999999987</v>
      </c>
      <c r="D10" s="94">
        <f t="shared" si="3"/>
        <v>116764.98199999999</v>
      </c>
      <c r="E10" s="94">
        <f t="shared" si="3"/>
        <v>136142.52600000001</v>
      </c>
      <c r="F10" s="94">
        <f t="shared" si="3"/>
        <v>142752.44400000002</v>
      </c>
      <c r="G10" s="94">
        <f t="shared" si="3"/>
        <v>152598.78</v>
      </c>
      <c r="H10" s="94">
        <f t="shared" ref="H10:N10" si="4">H7+H9</f>
        <v>153650.405</v>
      </c>
      <c r="I10" s="94">
        <f t="shared" si="4"/>
        <v>153742.09799999997</v>
      </c>
      <c r="J10" s="94">
        <f t="shared" si="4"/>
        <v>153742.09799999997</v>
      </c>
      <c r="K10" s="94">
        <f t="shared" si="4"/>
        <v>178442.50599999999</v>
      </c>
      <c r="L10" s="94">
        <f t="shared" si="4"/>
        <v>185312.55900000001</v>
      </c>
      <c r="M10" s="94">
        <f t="shared" si="4"/>
        <v>181089.41900000002</v>
      </c>
      <c r="N10" s="94">
        <f t="shared" si="4"/>
        <v>205380.98699999999</v>
      </c>
      <c r="O10" s="94">
        <f t="shared" ref="O10" si="5">O7+O9</f>
        <v>205380.98699999999</v>
      </c>
      <c r="P10" s="94">
        <f>P7+P9</f>
        <v>205510.481</v>
      </c>
      <c r="Q10" s="94">
        <f>Q7+Q9</f>
        <v>214928.31699999998</v>
      </c>
      <c r="R10" s="94">
        <f>R7+R9</f>
        <v>223487.03400000001</v>
      </c>
      <c r="S10" s="94">
        <f t="shared" ref="S10" si="6">S7+S9</f>
        <v>221680.23400000003</v>
      </c>
      <c r="U10" s="94">
        <f t="shared" ref="U10:AA10" si="7">U7+U9</f>
        <v>30638.481</v>
      </c>
      <c r="V10" s="94">
        <f t="shared" si="7"/>
        <v>33136.816999999995</v>
      </c>
      <c r="W10" s="94">
        <f t="shared" si="7"/>
        <v>35275.56</v>
      </c>
      <c r="X10" s="94">
        <f t="shared" si="7"/>
        <v>37091.668000000005</v>
      </c>
      <c r="Y10" s="94">
        <f t="shared" si="7"/>
        <v>35464.43299999999</v>
      </c>
      <c r="Z10" s="94">
        <f t="shared" si="7"/>
        <v>35208.232000000004</v>
      </c>
      <c r="AA10" s="94">
        <f t="shared" si="7"/>
        <v>34651.510999999999</v>
      </c>
      <c r="AB10" s="94">
        <f t="shared" ref="AB10:AG10" si="8">AB7+AB9</f>
        <v>37428.268000000025</v>
      </c>
      <c r="AC10" s="94">
        <f t="shared" si="8"/>
        <v>35552.752999999997</v>
      </c>
      <c r="AD10" s="94">
        <f t="shared" si="8"/>
        <v>38683.587999999996</v>
      </c>
      <c r="AE10" s="94">
        <f t="shared" si="8"/>
        <v>38346.365999999995</v>
      </c>
      <c r="AF10" s="94">
        <f t="shared" si="8"/>
        <v>40016.073000000004</v>
      </c>
      <c r="AG10" s="94">
        <f t="shared" si="8"/>
        <v>36707.603000000003</v>
      </c>
      <c r="AH10" s="94">
        <f t="shared" ref="AH10:AM10" si="9">AH7+AH9</f>
        <v>38319.531000000003</v>
      </c>
      <c r="AI10" s="94">
        <f t="shared" si="9"/>
        <v>39561.328000000001</v>
      </c>
      <c r="AJ10" s="94">
        <f t="shared" si="9"/>
        <v>39153.635999999969</v>
      </c>
      <c r="AK10" s="94">
        <f t="shared" si="9"/>
        <v>39842.416000000005</v>
      </c>
      <c r="AL10" s="94">
        <f t="shared" si="9"/>
        <v>46968.022000000004</v>
      </c>
      <c r="AM10" s="253">
        <f t="shared" si="9"/>
        <v>46190.619999999995</v>
      </c>
      <c r="AN10" s="94">
        <f t="shared" ref="AN10:AT10" si="10">AN7+AN9</f>
        <v>45441.447999999997</v>
      </c>
      <c r="AO10" s="94">
        <f t="shared" si="10"/>
        <v>42544.787000000004</v>
      </c>
      <c r="AP10" s="94">
        <f t="shared" si="10"/>
        <v>45029.088999999993</v>
      </c>
      <c r="AQ10" s="94">
        <f t="shared" si="10"/>
        <v>46719.302999999993</v>
      </c>
      <c r="AR10" s="94">
        <f t="shared" si="10"/>
        <v>46796.240000000027</v>
      </c>
      <c r="AS10" s="94">
        <f t="shared" si="10"/>
        <v>48222.123000000007</v>
      </c>
      <c r="AT10" s="94">
        <f t="shared" si="10"/>
        <v>49694.126999999993</v>
      </c>
      <c r="AU10" s="94">
        <f t="shared" ref="AU10:AX10" si="11">AU7+AU9</f>
        <v>52619.075999999994</v>
      </c>
      <c r="AV10" s="94">
        <f t="shared" si="11"/>
        <v>54845.660999999978</v>
      </c>
      <c r="AW10" s="94">
        <f t="shared" si="11"/>
        <v>51119.195999999996</v>
      </c>
      <c r="AX10" s="94">
        <f t="shared" si="11"/>
        <v>51134.088000000011</v>
      </c>
      <c r="AY10" s="94">
        <f t="shared" ref="AY10:AZ10" si="12">AY7+AY9</f>
        <v>51211.146999999997</v>
      </c>
      <c r="AZ10" s="94">
        <f t="shared" si="12"/>
        <v>52046.050000000017</v>
      </c>
      <c r="BA10" s="94">
        <f>BA7+BA9</f>
        <v>48701.048000000003</v>
      </c>
      <c r="BB10" s="94">
        <f t="shared" ref="BB10:BD10" si="13">BB7+BB9</f>
        <v>51310.000000000007</v>
      </c>
      <c r="BC10" s="94">
        <f t="shared" si="13"/>
        <v>56290.6</v>
      </c>
      <c r="BD10" s="94">
        <f t="shared" si="13"/>
        <v>58626.668999999943</v>
      </c>
      <c r="BE10" s="94">
        <f>BE7+BE9</f>
        <v>54463.103000000003</v>
      </c>
      <c r="BF10" s="94">
        <f t="shared" ref="BF10:BH10" si="14">BF7+BF9</f>
        <v>56725.325999999994</v>
      </c>
      <c r="BG10" s="94">
        <f t="shared" si="14"/>
        <v>56190.987000000001</v>
      </c>
      <c r="BH10" s="94">
        <f t="shared" si="14"/>
        <v>56107.618000000017</v>
      </c>
      <c r="BI10" s="94">
        <f>BI7+BI9</f>
        <v>52656.303</v>
      </c>
      <c r="BJ10" s="94"/>
      <c r="BK10" s="94">
        <f t="shared" ref="BK10:BP10" si="15">BK7+BK9</f>
        <v>35691.145999999993</v>
      </c>
      <c r="BL10" s="94">
        <f t="shared" si="15"/>
        <v>38947.588000000003</v>
      </c>
      <c r="BM10" s="94">
        <f t="shared" si="15"/>
        <v>38607.378999999994</v>
      </c>
      <c r="BN10" s="94">
        <f t="shared" si="15"/>
        <v>40404.292000000016</v>
      </c>
      <c r="BO10" s="94">
        <f t="shared" si="15"/>
        <v>38248.623000000007</v>
      </c>
      <c r="BP10" s="94">
        <f t="shared" si="15"/>
        <v>39525.592999999993</v>
      </c>
      <c r="BQ10" s="41"/>
      <c r="BR10" s="94">
        <f t="shared" ref="BR10:BY10" si="16">BR7+BR9</f>
        <v>39153.635999999962</v>
      </c>
      <c r="BS10" s="94">
        <f t="shared" si="16"/>
        <v>39789.236999999994</v>
      </c>
      <c r="BT10" s="94">
        <f t="shared" si="16"/>
        <v>46937.055</v>
      </c>
      <c r="BU10" s="94">
        <f t="shared" si="16"/>
        <v>46163.699000000008</v>
      </c>
      <c r="BV10" s="94">
        <f t="shared" si="16"/>
        <v>45552.51499999997</v>
      </c>
      <c r="BW10" s="94"/>
      <c r="BX10" s="94">
        <f t="shared" si="16"/>
        <v>42595.132999999994</v>
      </c>
      <c r="BY10" s="94">
        <f t="shared" si="16"/>
        <v>44036.576999999997</v>
      </c>
      <c r="BZ10" s="94">
        <f t="shared" ref="BZ10:CC10" si="17">BZ7+BZ9</f>
        <v>45734.483</v>
      </c>
      <c r="CA10" s="94">
        <f t="shared" si="17"/>
        <v>48723.226000000002</v>
      </c>
      <c r="CB10" s="94">
        <f t="shared" si="17"/>
        <v>46937.387999999999</v>
      </c>
      <c r="CC10" s="94">
        <f t="shared" si="17"/>
        <v>49686.985000000008</v>
      </c>
      <c r="CD10" s="94">
        <f t="shared" ref="CD10:CG10" si="18">CD7+CD9</f>
        <v>52570.816000000006</v>
      </c>
      <c r="CE10" s="94">
        <f t="shared" si="18"/>
        <v>56185.797999999995</v>
      </c>
      <c r="CF10" s="94">
        <f t="shared" si="18"/>
        <v>50683.819999999992</v>
      </c>
      <c r="CG10" s="94">
        <f t="shared" si="18"/>
        <v>51084.638000000006</v>
      </c>
      <c r="CH10" s="94">
        <f t="shared" ref="CH10:CI10" si="19">CH7+CH9</f>
        <v>51016.642000000007</v>
      </c>
      <c r="CI10" s="94">
        <f t="shared" si="19"/>
        <v>52725.380999999979</v>
      </c>
    </row>
    <row r="11" spans="2:87" ht="13.5" customHeight="1">
      <c r="B11" s="115" t="s">
        <v>293</v>
      </c>
      <c r="C11" s="122">
        <f t="shared" ref="C11:G11" si="20">C10/C7</f>
        <v>0.52795071334193866</v>
      </c>
      <c r="D11" s="122">
        <f t="shared" si="20"/>
        <v>0.53272017162931251</v>
      </c>
      <c r="E11" s="122">
        <f t="shared" si="20"/>
        <v>0.53994598498673418</v>
      </c>
      <c r="F11" s="122">
        <f t="shared" si="20"/>
        <v>0.53362326554614681</v>
      </c>
      <c r="G11" s="122">
        <f t="shared" si="20"/>
        <v>0.52936799263030609</v>
      </c>
      <c r="H11" s="122">
        <f t="shared" ref="H11:N11" si="21">H10/H7</f>
        <v>0.53107513040789367</v>
      </c>
      <c r="I11" s="122">
        <f t="shared" si="21"/>
        <v>0.52664781902490343</v>
      </c>
      <c r="J11" s="122">
        <f t="shared" si="21"/>
        <v>0.52664781902490343</v>
      </c>
      <c r="K11" s="122">
        <f t="shared" si="21"/>
        <v>0.53901891628059395</v>
      </c>
      <c r="L11" s="122">
        <f t="shared" si="21"/>
        <v>0.53115285262203771</v>
      </c>
      <c r="M11" s="122">
        <f t="shared" si="21"/>
        <v>0.53451471687347329</v>
      </c>
      <c r="N11" s="122">
        <f t="shared" si="21"/>
        <v>0.51511849851840685</v>
      </c>
      <c r="O11" s="122">
        <f t="shared" ref="O11" si="22">O10/O7</f>
        <v>0.51511849851840685</v>
      </c>
      <c r="P11" s="122">
        <f>P10/P7</f>
        <v>0.51393131082409149</v>
      </c>
      <c r="Q11" s="122">
        <f>Q10/Q7</f>
        <v>0.5263529742456311</v>
      </c>
      <c r="R11" s="122">
        <f>R10/R7</f>
        <v>0.52344805546081286</v>
      </c>
      <c r="S11" s="122">
        <f t="shared" ref="S11" si="23">S10/S7</f>
        <v>0.52339254568067239</v>
      </c>
      <c r="U11" s="122">
        <f t="shared" ref="U11:AA11" si="24">U10/U7</f>
        <v>0.53680623421323348</v>
      </c>
      <c r="V11" s="122">
        <f t="shared" si="24"/>
        <v>0.54287204834731762</v>
      </c>
      <c r="W11" s="122">
        <f t="shared" si="24"/>
        <v>0.54133701198283968</v>
      </c>
      <c r="X11" s="122">
        <f t="shared" si="24"/>
        <v>0.53863832256313282</v>
      </c>
      <c r="Y11" s="122">
        <f t="shared" si="24"/>
        <v>0.5366896131564467</v>
      </c>
      <c r="Z11" s="122">
        <f t="shared" si="24"/>
        <v>0.54071218149957978</v>
      </c>
      <c r="AA11" s="122">
        <f t="shared" si="24"/>
        <v>0.52992263895043856</v>
      </c>
      <c r="AB11" s="122">
        <f t="shared" ref="AB11:AG11" si="25">AB10/AB7</f>
        <v>0.52767055209286207</v>
      </c>
      <c r="AC11" s="122">
        <f t="shared" si="25"/>
        <v>0.52942020884523711</v>
      </c>
      <c r="AD11" s="122">
        <f t="shared" si="25"/>
        <v>0.53418109824158178</v>
      </c>
      <c r="AE11" s="122">
        <f t="shared" si="25"/>
        <v>0.52971689495092855</v>
      </c>
      <c r="AF11" s="122">
        <f t="shared" si="25"/>
        <v>0.52442319385775971</v>
      </c>
      <c r="AG11" s="122">
        <f t="shared" si="25"/>
        <v>0.52761160616078451</v>
      </c>
      <c r="AH11" s="122">
        <f t="shared" ref="AH11:AM11" si="26">AH10/AH7</f>
        <v>0.52983020669769987</v>
      </c>
      <c r="AI11" s="122">
        <f t="shared" si="26"/>
        <v>0.527729443850665</v>
      </c>
      <c r="AJ11" s="122">
        <f t="shared" si="26"/>
        <v>0.52160805502266083</v>
      </c>
      <c r="AK11" s="122">
        <f t="shared" si="26"/>
        <v>0.53548694988301992</v>
      </c>
      <c r="AL11" s="122">
        <f t="shared" si="26"/>
        <v>0.54354065512773575</v>
      </c>
      <c r="AM11" s="122">
        <f t="shared" si="26"/>
        <v>0.53835013132583209</v>
      </c>
      <c r="AN11" s="122">
        <f t="shared" ref="AN11:AT11" si="27">AN10/AN7</f>
        <v>0.53818330950846638</v>
      </c>
      <c r="AO11" s="122">
        <f t="shared" si="27"/>
        <v>0.53761366599172622</v>
      </c>
      <c r="AP11" s="122">
        <f t="shared" si="27"/>
        <v>0.53741168108388493</v>
      </c>
      <c r="AQ11" s="122">
        <f t="shared" si="27"/>
        <v>0.52980499188531216</v>
      </c>
      <c r="AR11" s="122">
        <f t="shared" si="27"/>
        <v>0.53368607495224174</v>
      </c>
      <c r="AS11" s="122">
        <f t="shared" si="27"/>
        <v>0.51673586857664355</v>
      </c>
      <c r="AT11" s="122">
        <f t="shared" si="27"/>
        <v>0.51531537564667274</v>
      </c>
      <c r="AU11" s="122">
        <f t="shared" ref="AU11:AX11" si="28">AU10/AU7</f>
        <v>0.51175374669744289</v>
      </c>
      <c r="AV11" s="122">
        <f t="shared" si="28"/>
        <v>0.51677728884046148</v>
      </c>
      <c r="AW11" s="122">
        <f t="shared" si="28"/>
        <v>0.51342307591600833</v>
      </c>
      <c r="AX11" s="122">
        <f t="shared" si="28"/>
        <v>0.50947547630155998</v>
      </c>
      <c r="AY11" s="122">
        <f t="shared" ref="AY11:BB11" si="29">AY10/AY7</f>
        <v>0.5163366736539774</v>
      </c>
      <c r="AZ11" s="122">
        <f t="shared" si="29"/>
        <v>0.51650409925983376</v>
      </c>
      <c r="BA11" s="122">
        <f t="shared" si="29"/>
        <v>0.52008189479676636</v>
      </c>
      <c r="BB11" s="122">
        <f t="shared" si="29"/>
        <v>0.52310922954003425</v>
      </c>
      <c r="BC11" s="122">
        <f t="shared" ref="BC11:BF11" si="30">BC10/BC7</f>
        <v>0.53081126144494772</v>
      </c>
      <c r="BD11" s="122">
        <f t="shared" si="30"/>
        <v>0.53026587321191498</v>
      </c>
      <c r="BE11" s="122">
        <f t="shared" si="30"/>
        <v>0.52506926981294233</v>
      </c>
      <c r="BF11" s="122">
        <f t="shared" si="30"/>
        <v>0.52766503753600058</v>
      </c>
      <c r="BG11" s="122">
        <f t="shared" ref="BG11:BI11" si="31">BG10/BG7</f>
        <v>0.52309213385092135</v>
      </c>
      <c r="BH11" s="122">
        <f t="shared" si="31"/>
        <v>0.5180625595177446</v>
      </c>
      <c r="BI11" s="122">
        <f t="shared" si="31"/>
        <v>0.52488996423460077</v>
      </c>
      <c r="BJ11" s="287"/>
      <c r="BK11" s="122">
        <f t="shared" ref="BK11:BP11" si="32">BK10/BK7</f>
        <v>0.53152115606681605</v>
      </c>
      <c r="BL11" s="122">
        <f t="shared" si="32"/>
        <v>0.53504015714752284</v>
      </c>
      <c r="BM11" s="122">
        <f t="shared" si="32"/>
        <v>0.53144258616720019</v>
      </c>
      <c r="BN11" s="122">
        <f t="shared" si="32"/>
        <v>0.52657529574813988</v>
      </c>
      <c r="BO11" s="122">
        <f t="shared" si="32"/>
        <v>0.53053618208091358</v>
      </c>
      <c r="BP11" s="122">
        <f t="shared" si="32"/>
        <v>0.52805798164664985</v>
      </c>
      <c r="BQ11" s="224"/>
      <c r="BR11" s="122">
        <f t="shared" ref="BR11:BY11" si="33">BR10/BR7</f>
        <v>0.52160805502266083</v>
      </c>
      <c r="BS11" s="122">
        <f t="shared" si="33"/>
        <v>0.53588406559589163</v>
      </c>
      <c r="BT11" s="122">
        <f t="shared" si="33"/>
        <v>0.54383122525841365</v>
      </c>
      <c r="BU11" s="122">
        <f t="shared" si="33"/>
        <v>0.53857242121393256</v>
      </c>
      <c r="BV11" s="122">
        <f t="shared" si="33"/>
        <v>0.53731672097590943</v>
      </c>
      <c r="BW11" s="122"/>
      <c r="BX11" s="122">
        <f t="shared" si="33"/>
        <v>0.53723270186731642</v>
      </c>
      <c r="BY11" s="122">
        <f t="shared" si="33"/>
        <v>0.53930792450170084</v>
      </c>
      <c r="BZ11" s="122">
        <f t="shared" ref="BZ11:CC11" si="34">BZ10/BZ7</f>
        <v>0.53391147254296967</v>
      </c>
      <c r="CA11" s="122">
        <f t="shared" si="34"/>
        <v>0.52849245901390396</v>
      </c>
      <c r="CB11" s="122">
        <f t="shared" si="34"/>
        <v>0.51824269425941072</v>
      </c>
      <c r="CC11" s="122">
        <f t="shared" si="34"/>
        <v>0.51534736701724626</v>
      </c>
      <c r="CD11" s="122">
        <f t="shared" ref="CD11:CG11" si="35">CD10/CD7</f>
        <v>0.51175818458699784</v>
      </c>
      <c r="CE11" s="122">
        <f t="shared" si="35"/>
        <v>0.51548700614114884</v>
      </c>
      <c r="CF11" s="122">
        <f t="shared" si="35"/>
        <v>0.51102401817382248</v>
      </c>
      <c r="CG11" s="122">
        <f t="shared" si="35"/>
        <v>0.51066207184502976</v>
      </c>
      <c r="CH11" s="122">
        <f t="shared" ref="CH11:CI11" si="36">CH10/CH7</f>
        <v>0.51647149366523537</v>
      </c>
      <c r="CI11" s="122">
        <f t="shared" si="36"/>
        <v>0.51750867148342283</v>
      </c>
    </row>
    <row r="12" spans="2:87" ht="13.5" customHeight="1">
      <c r="B12" s="123" t="s">
        <v>294</v>
      </c>
      <c r="C12" s="93">
        <v>-71862</v>
      </c>
      <c r="D12" s="93">
        <v>-84245.191000000006</v>
      </c>
      <c r="E12" s="93">
        <v>-96394.843999999997</v>
      </c>
      <c r="F12" s="93">
        <v>-102801.03</v>
      </c>
      <c r="G12" s="93">
        <v>-108630.299</v>
      </c>
      <c r="H12" s="93">
        <v>-109701.06200000001</v>
      </c>
      <c r="I12" s="93">
        <v>-110234.505</v>
      </c>
      <c r="J12" s="93">
        <v>-110234.505</v>
      </c>
      <c r="K12" s="93">
        <v>-123510.841</v>
      </c>
      <c r="L12" s="264">
        <v>-126923.034</v>
      </c>
      <c r="M12" s="264">
        <v>-124421.61199999999</v>
      </c>
      <c r="N12" s="264">
        <v>-140454.557</v>
      </c>
      <c r="O12" s="93">
        <v>-140454.557</v>
      </c>
      <c r="P12" s="93">
        <v>-139477.277</v>
      </c>
      <c r="Q12" s="93">
        <v>-147627.755</v>
      </c>
      <c r="R12" s="93">
        <v>-154866.37700000001</v>
      </c>
      <c r="S12" s="95">
        <f t="shared" ref="S12:S15" si="37">SUM(BF12:BI12)</f>
        <v>-153596.45000000001</v>
      </c>
      <c r="U12" s="93">
        <v>-22409.342000000001</v>
      </c>
      <c r="V12" s="93">
        <v>-23310.048999999999</v>
      </c>
      <c r="W12" s="93">
        <v>-24610.707999999999</v>
      </c>
      <c r="X12" s="95">
        <f>E12-SUM(U12:W12)</f>
        <v>-26064.744999999995</v>
      </c>
      <c r="Y12" s="93">
        <f>-51133.924-Z12</f>
        <v>-26121.174999999999</v>
      </c>
      <c r="Z12" s="93">
        <v>-25012.749</v>
      </c>
      <c r="AA12" s="93">
        <v>-24913.601999999999</v>
      </c>
      <c r="AB12" s="95">
        <f>F12-SUM(Y12:AA12)</f>
        <v>-26753.504000000001</v>
      </c>
      <c r="AC12" s="93">
        <v>-25836.466</v>
      </c>
      <c r="AD12" s="93">
        <v>-27540.138999999999</v>
      </c>
      <c r="AE12" s="93">
        <v>-26887.001</v>
      </c>
      <c r="AF12" s="95">
        <f>G12-AE12-AD12-AC12</f>
        <v>-28366.692999999999</v>
      </c>
      <c r="AG12" s="93">
        <v>-26742.366000000002</v>
      </c>
      <c r="AH12" s="93">
        <v>-27484.743999999999</v>
      </c>
      <c r="AI12" s="93">
        <v>-27898.088</v>
      </c>
      <c r="AJ12" s="95">
        <f>I12-AI12-AH12-AG12</f>
        <v>-28109.307000000001</v>
      </c>
      <c r="AK12" s="93">
        <v>-28441.353999999999</v>
      </c>
      <c r="AL12" s="93">
        <v>-32891.68</v>
      </c>
      <c r="AM12" s="93">
        <v>-31118.334999999999</v>
      </c>
      <c r="AN12" s="95">
        <f>K12-AM12-AL12-AK12</f>
        <v>-31059.471999999994</v>
      </c>
      <c r="AO12" s="93">
        <v>-29895.399000000001</v>
      </c>
      <c r="AP12" s="93">
        <v>-30577.595000000001</v>
      </c>
      <c r="AQ12" s="93">
        <v>-31876.955999999998</v>
      </c>
      <c r="AR12" s="95">
        <f>M12-AQ12-AP12-AO12</f>
        <v>-32071.661999999986</v>
      </c>
      <c r="AS12" s="93">
        <v>-33440.243000000002</v>
      </c>
      <c r="AT12" s="93">
        <v>-34459.358</v>
      </c>
      <c r="AU12" s="93">
        <v>-35636.25</v>
      </c>
      <c r="AV12" s="95">
        <f>N12-AU12-AT12-AS12</f>
        <v>-36918.705999999991</v>
      </c>
      <c r="AW12" s="93">
        <v>-35151.538</v>
      </c>
      <c r="AX12" s="93">
        <v>-34670.392999999996</v>
      </c>
      <c r="AY12" s="93">
        <v>-34008.663999999997</v>
      </c>
      <c r="AZ12" s="95">
        <f>P12-AY12-AX12-AW12</f>
        <v>-35646.682000000015</v>
      </c>
      <c r="BA12" s="93">
        <v>-33771.696000000004</v>
      </c>
      <c r="BB12" s="93">
        <v>-35236.819000000003</v>
      </c>
      <c r="BC12" s="93">
        <v>-37969.714999999997</v>
      </c>
      <c r="BD12" s="95">
        <f t="shared" ref="BD12:BD15" si="38">Q12-BC12-BB12-BA12</f>
        <v>-40649.525000000001</v>
      </c>
      <c r="BE12" s="93">
        <v>-38250.447</v>
      </c>
      <c r="BF12" s="93">
        <v>-39610.911</v>
      </c>
      <c r="BG12" s="93">
        <v>-38199.15</v>
      </c>
      <c r="BH12" s="95">
        <f t="shared" ref="BH12:BH23" si="39">R12-SUM(BE12:BG12)</f>
        <v>-38805.869000000006</v>
      </c>
      <c r="BI12" s="93">
        <v>-36980.519999999997</v>
      </c>
      <c r="BJ12" s="93"/>
      <c r="BK12" s="93">
        <v>-25989.170999999998</v>
      </c>
      <c r="BL12" s="93">
        <v>-27811.499</v>
      </c>
      <c r="BM12" s="93">
        <v>-27149.111000000001</v>
      </c>
      <c r="BN12" s="95">
        <f>H12-BM12-BL12-BK12</f>
        <v>-28751.281000000006</v>
      </c>
      <c r="BO12" s="93">
        <v>-27404.304</v>
      </c>
      <c r="BP12" s="93">
        <v>-27858.241000000002</v>
      </c>
      <c r="BQ12" s="31"/>
      <c r="BR12" s="95">
        <f>J12-AG12-AH12-AI12</f>
        <v>-28109.306999999997</v>
      </c>
      <c r="BS12" s="93">
        <v>-28390.665000000001</v>
      </c>
      <c r="BT12" s="93">
        <v>-32859.29</v>
      </c>
      <c r="BU12" s="93">
        <v>-31088.752</v>
      </c>
      <c r="BV12" s="95">
        <f>K12-BS12-BT12-BU12</f>
        <v>-31172.134000000005</v>
      </c>
      <c r="BW12" s="95"/>
      <c r="BX12" s="93">
        <v>-29942.705999999998</v>
      </c>
      <c r="BY12" s="93">
        <v>-30054.793000000001</v>
      </c>
      <c r="BZ12" s="93">
        <v>-31270.794000000002</v>
      </c>
      <c r="CA12" s="95">
        <f>M12-BX12-BY12-BZ12</f>
        <v>-33153.318999999981</v>
      </c>
      <c r="CB12" s="93">
        <v>-32669.267</v>
      </c>
      <c r="CC12" s="93">
        <v>-34455.883000000002</v>
      </c>
      <c r="CD12" s="93">
        <v>-35604.767</v>
      </c>
      <c r="CE12" s="95">
        <f>O12-CB12-CC12-CD12</f>
        <v>-37724.640000000007</v>
      </c>
      <c r="CF12" s="93">
        <v>-34779.14</v>
      </c>
      <c r="CG12" s="93">
        <v>-34643.853999999999</v>
      </c>
      <c r="CH12" s="93">
        <v>-33879.171999999999</v>
      </c>
      <c r="CI12" s="95">
        <f t="shared" ref="CI12:CI15" si="40">P12-CF12-CG12-CH12</f>
        <v>-36175.110999999997</v>
      </c>
    </row>
    <row r="13" spans="2:87" ht="16.5" customHeight="1">
      <c r="B13" s="123" t="s">
        <v>295</v>
      </c>
      <c r="C13" s="93">
        <v>-11215</v>
      </c>
      <c r="D13" s="93">
        <v>-14297.566000000001</v>
      </c>
      <c r="E13" s="93">
        <v>-17319.981</v>
      </c>
      <c r="F13" s="93">
        <v>-18388.442999999999</v>
      </c>
      <c r="G13" s="93">
        <v>-19240.563999999998</v>
      </c>
      <c r="H13" s="93">
        <v>-19006.148000000001</v>
      </c>
      <c r="I13" s="93">
        <v>-16641.050999999999</v>
      </c>
      <c r="J13" s="93">
        <v>-16641.050999999999</v>
      </c>
      <c r="K13" s="93">
        <v>-22382.769</v>
      </c>
      <c r="L13" s="264">
        <v>-23338.983</v>
      </c>
      <c r="M13" s="264">
        <v>-23147.493999999999</v>
      </c>
      <c r="N13" s="264">
        <v>-26171.504000000001</v>
      </c>
      <c r="O13" s="93">
        <v>-26171.504000000001</v>
      </c>
      <c r="P13" s="93">
        <v>-25860.083999999999</v>
      </c>
      <c r="Q13" s="93">
        <v>-27536.382000000001</v>
      </c>
      <c r="R13" s="93">
        <v>-29022.743999999999</v>
      </c>
      <c r="S13" s="95">
        <f t="shared" si="37"/>
        <v>-28197.673999999999</v>
      </c>
      <c r="U13" s="93">
        <v>-4050.511</v>
      </c>
      <c r="V13" s="93">
        <v>-4322.7430000000004</v>
      </c>
      <c r="W13" s="93">
        <v>-4310.9380000000001</v>
      </c>
      <c r="X13" s="95">
        <f>E13-SUM(U13:W13)</f>
        <v>-4635.7889999999989</v>
      </c>
      <c r="Y13" s="93">
        <f>-9930.802-Z13</f>
        <v>-5050.2449999999999</v>
      </c>
      <c r="Z13" s="93">
        <v>-4880.5569999999998</v>
      </c>
      <c r="AA13" s="93">
        <v>-4007.5729999999999</v>
      </c>
      <c r="AB13" s="95">
        <f>F13-SUM(Y13:AA13)</f>
        <v>-4450.0679999999993</v>
      </c>
      <c r="AC13" s="93">
        <v>-4856.41</v>
      </c>
      <c r="AD13" s="93">
        <v>-5109.6459999999997</v>
      </c>
      <c r="AE13" s="93">
        <v>-4725.7929999999997</v>
      </c>
      <c r="AF13" s="95">
        <f>G13-AE13-AD13-AC13</f>
        <v>-4548.7150000000001</v>
      </c>
      <c r="AG13" s="93">
        <v>-4604.8490000000002</v>
      </c>
      <c r="AH13" s="93">
        <v>-4597.4210000000003</v>
      </c>
      <c r="AI13" s="93">
        <v>-4016.6889999999999</v>
      </c>
      <c r="AJ13" s="95">
        <f>I13-AI13-AH13-AG13</f>
        <v>-3422.0919999999987</v>
      </c>
      <c r="AK13" s="93">
        <v>-5508.1279999999997</v>
      </c>
      <c r="AL13" s="93">
        <v>-5847.3280000000004</v>
      </c>
      <c r="AM13" s="93">
        <v>-5513.39</v>
      </c>
      <c r="AN13" s="95">
        <f>K13-AM13-AL13-AK13</f>
        <v>-5513.9229999999998</v>
      </c>
      <c r="AO13" s="93">
        <v>-5326.9610000000002</v>
      </c>
      <c r="AP13" s="93">
        <v>-5709.2359999999999</v>
      </c>
      <c r="AQ13" s="93">
        <v>-5696.3530000000001</v>
      </c>
      <c r="AR13" s="95">
        <f>M13-AQ13-AP13-AO13</f>
        <v>-6414.9439999999986</v>
      </c>
      <c r="AS13" s="93">
        <v>-6649.058</v>
      </c>
      <c r="AT13" s="93">
        <v>-6301.84</v>
      </c>
      <c r="AU13" s="93">
        <v>-6555.6729999999998</v>
      </c>
      <c r="AV13" s="95">
        <f>N13-AU13-AT13-AS13</f>
        <v>-6664.9330000000018</v>
      </c>
      <c r="AW13" s="93">
        <v>-7058.3050000000003</v>
      </c>
      <c r="AX13" s="93">
        <v>-6424.2240000000002</v>
      </c>
      <c r="AY13" s="93">
        <v>-6305.18</v>
      </c>
      <c r="AZ13" s="95">
        <f>P13-AY13-AX13-AW13</f>
        <v>-6072.3749999999982</v>
      </c>
      <c r="BA13" s="93">
        <v>-6947.9709999999995</v>
      </c>
      <c r="BB13" s="93">
        <v>-6052.2759999999998</v>
      </c>
      <c r="BC13" s="93">
        <v>-6667.48</v>
      </c>
      <c r="BD13" s="95">
        <f t="shared" si="38"/>
        <v>-7868.6550000000025</v>
      </c>
      <c r="BE13" s="93">
        <v>-8126.4989999999998</v>
      </c>
      <c r="BF13" s="93">
        <v>-7784.0280000000002</v>
      </c>
      <c r="BG13" s="93">
        <v>-7403.3429999999998</v>
      </c>
      <c r="BH13" s="95">
        <f t="shared" si="39"/>
        <v>-5708.8739999999998</v>
      </c>
      <c r="BI13" s="93">
        <v>-7301.4290000000001</v>
      </c>
      <c r="BJ13" s="93"/>
      <c r="BK13" s="93">
        <v>-4830.7299999999996</v>
      </c>
      <c r="BL13" s="93">
        <v>-4987.1009999999997</v>
      </c>
      <c r="BM13" s="93">
        <v>-4683.1629999999996</v>
      </c>
      <c r="BN13" s="95">
        <f>H13-BM13-BL13-BK13</f>
        <v>-4505.1540000000023</v>
      </c>
      <c r="BO13" s="93">
        <v>-4566.5879999999997</v>
      </c>
      <c r="BP13" s="93">
        <v>-4005.69</v>
      </c>
      <c r="BQ13" s="31"/>
      <c r="BR13" s="95">
        <f>J13-AG13-AH13-AI13</f>
        <v>-3422.0919999999992</v>
      </c>
      <c r="BS13" s="93">
        <v>-5492.1809999999996</v>
      </c>
      <c r="BT13" s="93">
        <v>-5838.5550000000003</v>
      </c>
      <c r="BU13" s="93">
        <v>-5503.4750000000004</v>
      </c>
      <c r="BV13" s="95">
        <f>K13-BS13-BT13-BU13</f>
        <v>-5548.5579999999991</v>
      </c>
      <c r="BW13" s="95"/>
      <c r="BX13" s="93">
        <v>-5346.4859999999999</v>
      </c>
      <c r="BY13" s="93">
        <v>-5672.1210000000001</v>
      </c>
      <c r="BZ13" s="93">
        <v>-5664.16</v>
      </c>
      <c r="CA13" s="95">
        <f>M13-BX13-BY13-BZ13</f>
        <v>-6464.726999999999</v>
      </c>
      <c r="CB13" s="93">
        <v>-6598.3940000000002</v>
      </c>
      <c r="CC13" s="93">
        <v>-6299.5649999999996</v>
      </c>
      <c r="CD13" s="93">
        <v>-6544.4129999999996</v>
      </c>
      <c r="CE13" s="95">
        <f>O13-CB13-CC13-CD13</f>
        <v>-6729.1320000000023</v>
      </c>
      <c r="CF13" s="93">
        <v>-7008.68</v>
      </c>
      <c r="CG13" s="93">
        <v>-6420.9750000000004</v>
      </c>
      <c r="CH13" s="93">
        <v>-6264.0659999999998</v>
      </c>
      <c r="CI13" s="95">
        <f t="shared" si="40"/>
        <v>-6166.3629999999985</v>
      </c>
    </row>
    <row r="14" spans="2:87" ht="16.5" customHeight="1">
      <c r="B14" s="123" t="s">
        <v>296</v>
      </c>
      <c r="C14" s="395">
        <v>-5365.5110000000004</v>
      </c>
      <c r="D14" s="93">
        <v>84.051000000000002</v>
      </c>
      <c r="E14" s="93">
        <v>439.48099999999999</v>
      </c>
      <c r="F14" s="93">
        <v>456.94400000000002</v>
      </c>
      <c r="G14" s="93">
        <v>450.35199999999998</v>
      </c>
      <c r="H14" s="93">
        <v>450.35199999999998</v>
      </c>
      <c r="I14" s="93">
        <v>64.221000000000004</v>
      </c>
      <c r="J14" s="93">
        <v>27.960999999999999</v>
      </c>
      <c r="K14" s="93">
        <v>117.85299999999999</v>
      </c>
      <c r="L14" s="264">
        <v>2246.5300000000002</v>
      </c>
      <c r="M14" s="264">
        <v>0</v>
      </c>
      <c r="N14" s="264">
        <v>14941.197</v>
      </c>
      <c r="O14" s="93">
        <v>14941.197</v>
      </c>
      <c r="P14" s="93">
        <v>-4718.1049999999996</v>
      </c>
      <c r="Q14" s="93">
        <v>0</v>
      </c>
      <c r="R14" s="93">
        <v>0</v>
      </c>
      <c r="S14" s="95">
        <f t="shared" si="37"/>
        <v>0</v>
      </c>
      <c r="U14" s="93">
        <v>0</v>
      </c>
      <c r="V14" s="93">
        <v>4.68</v>
      </c>
      <c r="W14" s="93">
        <v>1.8089999999999999</v>
      </c>
      <c r="X14" s="95">
        <f>E14-SUM(U14:W14)</f>
        <v>432.99200000000002</v>
      </c>
      <c r="Y14" s="93">
        <f>8.109-Z14</f>
        <v>0</v>
      </c>
      <c r="Z14" s="93">
        <v>8.109</v>
      </c>
      <c r="AA14" s="93">
        <v>14.829000000000001</v>
      </c>
      <c r="AB14" s="95">
        <f>F14-SUM(Y14:AA14)</f>
        <v>434.00600000000003</v>
      </c>
      <c r="AC14" s="93">
        <v>2.254</v>
      </c>
      <c r="AD14" s="93">
        <v>0.38900000000000001</v>
      </c>
      <c r="AE14" s="93">
        <v>1.895</v>
      </c>
      <c r="AF14" s="95">
        <f>G14-AE14-AD14-AC14</f>
        <v>445.81399999999996</v>
      </c>
      <c r="AG14" s="93">
        <v>2.4630000000000001</v>
      </c>
      <c r="AH14" s="93">
        <v>9.1310000000000002</v>
      </c>
      <c r="AI14" s="93">
        <v>21.606000000000002</v>
      </c>
      <c r="AJ14" s="95">
        <f>I14-AI14-AH14-AG14</f>
        <v>31.021000000000001</v>
      </c>
      <c r="AK14" s="93">
        <v>14.138</v>
      </c>
      <c r="AL14" s="93">
        <v>41.917000000000002</v>
      </c>
      <c r="AM14" s="93">
        <v>-11.763</v>
      </c>
      <c r="AN14" s="95">
        <f>K14-AM14-AL14-AK14</f>
        <v>73.560999999999979</v>
      </c>
      <c r="AO14" s="93">
        <v>2210.0810000000001</v>
      </c>
      <c r="AP14" s="93">
        <v>-780.51300000000003</v>
      </c>
      <c r="AQ14" s="93">
        <v>446.31299999999999</v>
      </c>
      <c r="AR14" s="95">
        <f>M14-AQ14-AP14-AO14</f>
        <v>-1875.8810000000001</v>
      </c>
      <c r="AS14" s="93">
        <v>1527.153</v>
      </c>
      <c r="AT14" s="93">
        <v>1777.482</v>
      </c>
      <c r="AU14" s="93">
        <v>1346.9590000000001</v>
      </c>
      <c r="AV14" s="95">
        <f>N14-AU14-AT14-AS14</f>
        <v>10289.602999999999</v>
      </c>
      <c r="AW14" s="93">
        <v>17.277999999999999</v>
      </c>
      <c r="AX14" s="93">
        <v>0</v>
      </c>
      <c r="AY14" s="93">
        <v>0</v>
      </c>
      <c r="AZ14" s="95">
        <f>P14-AY14-AX14-AW14</f>
        <v>-4735.3829999999998</v>
      </c>
      <c r="BA14" s="93">
        <v>0</v>
      </c>
      <c r="BB14" s="93">
        <v>0</v>
      </c>
      <c r="BC14" s="93">
        <v>0</v>
      </c>
      <c r="BD14" s="95">
        <f t="shared" si="38"/>
        <v>0</v>
      </c>
      <c r="BE14" s="93">
        <v>0</v>
      </c>
      <c r="BF14" s="93">
        <v>0</v>
      </c>
      <c r="BG14" s="93">
        <v>0</v>
      </c>
      <c r="BH14" s="95">
        <f t="shared" si="39"/>
        <v>0</v>
      </c>
      <c r="BI14" s="93">
        <v>0</v>
      </c>
      <c r="BJ14" s="93"/>
      <c r="BK14" s="93">
        <v>2.254</v>
      </c>
      <c r="BL14" s="93">
        <v>0.38900000000000001</v>
      </c>
      <c r="BM14" s="93">
        <v>1.895</v>
      </c>
      <c r="BN14" s="95">
        <f>H14-BM14-BL14-BK14</f>
        <v>445.81399999999996</v>
      </c>
      <c r="BO14" s="93">
        <v>0</v>
      </c>
      <c r="BP14" s="93">
        <v>21.736999999999998</v>
      </c>
      <c r="BQ14" s="31"/>
      <c r="BR14" s="95" t="e">
        <f>#REF!-BQ14-BP14-BO14</f>
        <v>#REF!</v>
      </c>
      <c r="BS14" s="93">
        <v>0</v>
      </c>
      <c r="BT14" s="93">
        <v>56.055</v>
      </c>
      <c r="BU14" s="93">
        <v>151.27099999999999</v>
      </c>
      <c r="BV14" s="95">
        <f>K14-BS14-BT14-BU14</f>
        <v>-89.472999999999985</v>
      </c>
      <c r="BW14" s="95"/>
      <c r="BX14" s="93">
        <v>2210.0810000000001</v>
      </c>
      <c r="BY14" s="93">
        <v>-969.36599999999999</v>
      </c>
      <c r="BZ14" s="93">
        <v>0</v>
      </c>
      <c r="CA14" s="95">
        <f>M14-BX14-BY14-BZ14</f>
        <v>-1240.7150000000001</v>
      </c>
      <c r="CB14" s="93">
        <v>1527.2449999999999</v>
      </c>
      <c r="CC14" s="93">
        <v>0</v>
      </c>
      <c r="CD14" s="93">
        <v>581.76800000000003</v>
      </c>
      <c r="CE14" s="95">
        <f>O14-CB14-CC14-CD14</f>
        <v>12832.184000000001</v>
      </c>
      <c r="CF14" s="93">
        <v>0</v>
      </c>
      <c r="CG14" s="93">
        <v>0</v>
      </c>
      <c r="CH14" s="93">
        <v>0</v>
      </c>
      <c r="CI14" s="95">
        <f t="shared" si="40"/>
        <v>-4718.1049999999996</v>
      </c>
    </row>
    <row r="15" spans="2:87" ht="16.5" customHeight="1">
      <c r="B15" s="123" t="s">
        <v>297</v>
      </c>
      <c r="C15" s="395"/>
      <c r="D15" s="93">
        <v>-4185.4650000000001</v>
      </c>
      <c r="E15" s="93">
        <v>-4783.5789999999997</v>
      </c>
      <c r="F15" s="93">
        <v>-4547.7700000000004</v>
      </c>
      <c r="G15" s="93">
        <v>-6669.3490000000002</v>
      </c>
      <c r="H15" s="93">
        <v>-6884.6270000000004</v>
      </c>
      <c r="I15" s="93">
        <v>-6512.1090000000004</v>
      </c>
      <c r="J15" s="93">
        <v>-6475.8490000000002</v>
      </c>
      <c r="K15" s="93">
        <v>-7258.7219999999998</v>
      </c>
      <c r="L15" s="264">
        <v>-3170.6439999999998</v>
      </c>
      <c r="M15" s="264">
        <v>-939.85500000000002</v>
      </c>
      <c r="N15" s="264">
        <v>0</v>
      </c>
      <c r="O15" s="93">
        <v>0</v>
      </c>
      <c r="P15" s="93">
        <v>0</v>
      </c>
      <c r="Q15" s="93">
        <v>-6615.3</v>
      </c>
      <c r="R15" s="93">
        <v>-5451.7939999999999</v>
      </c>
      <c r="S15" s="95">
        <f t="shared" si="37"/>
        <v>-4576.7049999999999</v>
      </c>
      <c r="U15" s="93">
        <v>-294.19099999999997</v>
      </c>
      <c r="V15" s="93">
        <v>-655.64</v>
      </c>
      <c r="W15" s="93">
        <v>-518.64099999999996</v>
      </c>
      <c r="X15" s="95">
        <f>E15-SUM(U15:W15)</f>
        <v>-3315.107</v>
      </c>
      <c r="Y15" s="93">
        <f>-1441.112-Z15</f>
        <v>-707.01400000000012</v>
      </c>
      <c r="Z15" s="93">
        <v>-734.09799999999996</v>
      </c>
      <c r="AA15" s="93">
        <v>-869.00199999999995</v>
      </c>
      <c r="AB15" s="95">
        <f>F15-SUM(Y15:AA15)</f>
        <v>-2237.6560000000004</v>
      </c>
      <c r="AC15" s="93">
        <v>-715.60799999999995</v>
      </c>
      <c r="AD15" s="93">
        <v>-3349.998</v>
      </c>
      <c r="AE15" s="93">
        <v>-1260.9739999999999</v>
      </c>
      <c r="AF15" s="95">
        <f>G15-AE15-AD15-AC15</f>
        <v>-1342.769</v>
      </c>
      <c r="AG15" s="93">
        <v>-742.77099999999996</v>
      </c>
      <c r="AH15" s="93">
        <v>-1969.71</v>
      </c>
      <c r="AI15" s="93">
        <v>-2274.86</v>
      </c>
      <c r="AJ15" s="95">
        <f>I15-AI15-AH15-AG15</f>
        <v>-1524.7679999999998</v>
      </c>
      <c r="AK15" s="93">
        <v>-3879.9560000000001</v>
      </c>
      <c r="AL15" s="93">
        <v>-1395.376</v>
      </c>
      <c r="AM15" s="93">
        <v>-1601.6679999999999</v>
      </c>
      <c r="AN15" s="95">
        <f>K15-AM15-AL15-AK15</f>
        <v>-381.72199999999975</v>
      </c>
      <c r="AO15" s="93">
        <v>-740.798</v>
      </c>
      <c r="AP15" s="93">
        <v>-903.82100000000003</v>
      </c>
      <c r="AQ15" s="93">
        <v>-1241.9059999999999</v>
      </c>
      <c r="AR15" s="95">
        <f>M15-AQ15-AP15-AO15</f>
        <v>1946.6699999999998</v>
      </c>
      <c r="AS15" s="93">
        <v>-717.99199999999996</v>
      </c>
      <c r="AT15" s="93">
        <v>-505.32600000000002</v>
      </c>
      <c r="AU15" s="93">
        <v>-769.79499999999996</v>
      </c>
      <c r="AV15" s="95">
        <f>N15-AU15-AT15-AS15</f>
        <v>1993.1130000000001</v>
      </c>
      <c r="AW15" s="93">
        <v>-706.23299999999995</v>
      </c>
      <c r="AX15" s="93">
        <v>-682.11400000000003</v>
      </c>
      <c r="AY15" s="93">
        <v>-1147.9949999999999</v>
      </c>
      <c r="AZ15" s="95">
        <f>P15-AY15-AX15-AW15</f>
        <v>2536.3419999999996</v>
      </c>
      <c r="BA15" s="93">
        <v>-1106.221</v>
      </c>
      <c r="BB15" s="93">
        <v>-1352.5809999999999</v>
      </c>
      <c r="BC15" s="93">
        <v>-2294.2469999999998</v>
      </c>
      <c r="BD15" s="95">
        <f t="shared" si="38"/>
        <v>-1862.2509999999997</v>
      </c>
      <c r="BE15" s="93">
        <v>-1338.0260000000001</v>
      </c>
      <c r="BF15" s="93">
        <f>-851.73</f>
        <v>-851.73</v>
      </c>
      <c r="BG15" s="93">
        <v>-1185.761</v>
      </c>
      <c r="BH15" s="95">
        <f t="shared" si="39"/>
        <v>-2076.2769999999996</v>
      </c>
      <c r="BI15" s="93">
        <v>-462.93700000000001</v>
      </c>
      <c r="BJ15" s="93"/>
      <c r="BK15" s="93">
        <v>-706.17100000000005</v>
      </c>
      <c r="BL15" s="93">
        <v>-3465.1950000000002</v>
      </c>
      <c r="BM15" s="93">
        <v>-1302.5070000000001</v>
      </c>
      <c r="BN15" s="95">
        <f>H15-BM15-BL15-BK15</f>
        <v>-1410.7540000000006</v>
      </c>
      <c r="BO15" s="93">
        <v>-1965.8209999999999</v>
      </c>
      <c r="BP15" s="93">
        <v>-2272.5529999999999</v>
      </c>
      <c r="BQ15" s="31"/>
      <c r="BR15" s="95">
        <f>J15-AG15-AH15-AI15</f>
        <v>-1488.5080000000003</v>
      </c>
      <c r="BS15" s="93">
        <v>-3862.6109999999999</v>
      </c>
      <c r="BT15" s="93">
        <v>-1407.4010000000001</v>
      </c>
      <c r="BU15" s="93">
        <v>-1763.1420000000001</v>
      </c>
      <c r="BV15" s="95">
        <f>K15-BS15-BT15-BU15</f>
        <v>-225.56799999999976</v>
      </c>
      <c r="BW15" s="95"/>
      <c r="BX15" s="93">
        <v>-751.19</v>
      </c>
      <c r="BY15" s="93">
        <v>-732.14099999999996</v>
      </c>
      <c r="BZ15" s="93">
        <v>-802.55200000000002</v>
      </c>
      <c r="CA15" s="95">
        <f>M15-BX15-BY15-BZ15</f>
        <v>1346.028</v>
      </c>
      <c r="CB15" s="93">
        <v>-774.23</v>
      </c>
      <c r="CC15" s="93">
        <v>1274.3969999999999</v>
      </c>
      <c r="CD15" s="93">
        <v>0</v>
      </c>
      <c r="CE15" s="95">
        <f>O15-CB15-CC15-CD15</f>
        <v>-500.16699999999992</v>
      </c>
      <c r="CF15" s="93">
        <v>-668.06600000000003</v>
      </c>
      <c r="CG15" s="93">
        <v>-664.06500000000005</v>
      </c>
      <c r="CH15" s="93">
        <v>-1155.0409999999999</v>
      </c>
      <c r="CI15" s="95">
        <f t="shared" si="40"/>
        <v>2487.172</v>
      </c>
    </row>
    <row r="16" spans="2:87" s="5" customFormat="1" ht="13.5" customHeight="1">
      <c r="B16" s="15" t="s">
        <v>298</v>
      </c>
      <c r="C16" s="94">
        <f t="shared" ref="C16:K16" si="41">C10+SUM(C12:C15)</f>
        <v>10312.068999999989</v>
      </c>
      <c r="D16" s="94">
        <f t="shared" si="41"/>
        <v>14120.810999999987</v>
      </c>
      <c r="E16" s="94">
        <f t="shared" si="41"/>
        <v>18083.603000000017</v>
      </c>
      <c r="F16" s="94">
        <f t="shared" si="41"/>
        <v>17472.145000000019</v>
      </c>
      <c r="G16" s="94">
        <f t="shared" si="41"/>
        <v>18508.920000000013</v>
      </c>
      <c r="H16" s="94">
        <f t="shared" si="41"/>
        <v>18508.919999999984</v>
      </c>
      <c r="I16" s="94">
        <f t="shared" si="41"/>
        <v>20418.653999999951</v>
      </c>
      <c r="J16" s="94">
        <f t="shared" si="41"/>
        <v>20418.653999999951</v>
      </c>
      <c r="K16" s="94">
        <f t="shared" si="41"/>
        <v>25408.027000000002</v>
      </c>
      <c r="L16" s="94">
        <f t="shared" ref="L16:N16" si="42">L10+SUM(L12:L15)</f>
        <v>34126.428000000014</v>
      </c>
      <c r="M16" s="94">
        <f t="shared" ref="M16" si="43">M10+SUM(M12:M15)</f>
        <v>32580.458000000013</v>
      </c>
      <c r="N16" s="94">
        <f t="shared" si="42"/>
        <v>53696.122999999992</v>
      </c>
      <c r="O16" s="94">
        <f t="shared" ref="O16" si="44">O10+SUM(O12:O15)</f>
        <v>53696.122999999992</v>
      </c>
      <c r="P16" s="94">
        <f t="shared" ref="P16:R16" si="45">P10+SUM(P12:P15)</f>
        <v>35455.014999999985</v>
      </c>
      <c r="Q16" s="94">
        <f t="shared" si="45"/>
        <v>33148.879999999976</v>
      </c>
      <c r="R16" s="94">
        <f t="shared" si="45"/>
        <v>34146.119000000006</v>
      </c>
      <c r="S16" s="94">
        <f>S10+SUM(S12:S15)</f>
        <v>35309.405000000028</v>
      </c>
      <c r="U16" s="94">
        <f t="shared" ref="U16:AB16" si="46">U10+SUM(U12:U15)</f>
        <v>3884.4370000000017</v>
      </c>
      <c r="V16" s="94">
        <f t="shared" si="46"/>
        <v>4853.0649999999951</v>
      </c>
      <c r="W16" s="94">
        <f t="shared" si="46"/>
        <v>5837.0819999999985</v>
      </c>
      <c r="X16" s="94">
        <f t="shared" si="46"/>
        <v>3509.0190000000148</v>
      </c>
      <c r="Y16" s="94">
        <f t="shared" si="46"/>
        <v>3585.9989999999925</v>
      </c>
      <c r="Z16" s="94">
        <f t="shared" si="46"/>
        <v>4588.9370000000054</v>
      </c>
      <c r="AA16" s="94">
        <f t="shared" si="46"/>
        <v>4876.1630000000005</v>
      </c>
      <c r="AB16" s="94">
        <f t="shared" si="46"/>
        <v>4421.0460000000239</v>
      </c>
      <c r="AC16" s="94">
        <f t="shared" ref="AC16:AH16" si="47">AC10+SUM(AC12:AC15)</f>
        <v>4146.5229999999974</v>
      </c>
      <c r="AD16" s="94">
        <f t="shared" si="47"/>
        <v>2684.1939999999959</v>
      </c>
      <c r="AE16" s="94">
        <f t="shared" si="47"/>
        <v>5474.4929999999949</v>
      </c>
      <c r="AF16" s="94">
        <f t="shared" si="47"/>
        <v>6203.7100000000064</v>
      </c>
      <c r="AG16" s="94">
        <f t="shared" si="47"/>
        <v>4620.0799999999981</v>
      </c>
      <c r="AH16" s="94">
        <f t="shared" si="47"/>
        <v>4276.7870000000039</v>
      </c>
      <c r="AI16" s="94">
        <f t="shared" ref="AI16:AN16" si="48">AI10+SUM(AI12:AI15)</f>
        <v>5393.2970000000059</v>
      </c>
      <c r="AJ16" s="94">
        <f t="shared" si="48"/>
        <v>6128.4899999999761</v>
      </c>
      <c r="AK16" s="94">
        <f t="shared" si="48"/>
        <v>2027.1160000000091</v>
      </c>
      <c r="AL16" s="94">
        <f t="shared" si="48"/>
        <v>6875.5550000000076</v>
      </c>
      <c r="AM16" s="253">
        <f t="shared" si="48"/>
        <v>7945.4639999999999</v>
      </c>
      <c r="AN16" s="94">
        <f t="shared" si="48"/>
        <v>8559.8919999999998</v>
      </c>
      <c r="AO16" s="94">
        <f>AO10+SUM(AO12:AO15)</f>
        <v>8791.7099999999991</v>
      </c>
      <c r="AP16" s="94">
        <f>AP10+SUM(AP12:AP15)</f>
        <v>7057.9239999999918</v>
      </c>
      <c r="AQ16" s="94">
        <f>AQ10+SUM(AQ12:AQ15)</f>
        <v>8350.4009999999907</v>
      </c>
      <c r="AR16" s="94">
        <f t="shared" ref="AR16" si="49">AR10+SUM(AR12:AR15)</f>
        <v>8380.4230000000389</v>
      </c>
      <c r="AS16" s="94">
        <f>AS10+SUM(AS12:AS15)</f>
        <v>8941.9830000000075</v>
      </c>
      <c r="AT16" s="94">
        <f>AT10+SUM(AT12:AT15)</f>
        <v>10205.084999999992</v>
      </c>
      <c r="AU16" s="94">
        <f>AU10+SUM(AU12:AU15)</f>
        <v>11004.316999999995</v>
      </c>
      <c r="AV16" s="94">
        <f t="shared" ref="AV16" si="50">AV10+SUM(AV12:AV15)</f>
        <v>23544.737999999987</v>
      </c>
      <c r="AW16" s="94">
        <f>AW10+SUM(AW12:AW15)</f>
        <v>8220.3979999999938</v>
      </c>
      <c r="AX16" s="94">
        <f>AX10+SUM(AX12:AX15)</f>
        <v>9357.3570000000109</v>
      </c>
      <c r="AY16" s="94">
        <f>AY10+SUM(AY12:AY15)</f>
        <v>9749.3079999999973</v>
      </c>
      <c r="AZ16" s="94">
        <f t="shared" ref="AZ16" si="51">AZ10+SUM(AZ12:AZ15)</f>
        <v>8127.9519999999975</v>
      </c>
      <c r="BA16" s="94">
        <f>BA10+SUM(BA12:BA15)</f>
        <v>6875.1600000000035</v>
      </c>
      <c r="BB16" s="94">
        <f>BB10+SUM(BB12:BB15)</f>
        <v>8668.3240000000078</v>
      </c>
      <c r="BC16" s="94">
        <f>BC10+SUM(BC12:BC15)</f>
        <v>9359.1580000000031</v>
      </c>
      <c r="BD16" s="94">
        <f t="shared" ref="BD16" si="52">BD10+SUM(BD12:BD15)</f>
        <v>8246.2379999999393</v>
      </c>
      <c r="BE16" s="94">
        <f>BE10+SUM(BE12:BE15)</f>
        <v>6748.1310000000085</v>
      </c>
      <c r="BF16" s="94">
        <f>BF10+SUM(BF12:BF15)</f>
        <v>8478.656999999992</v>
      </c>
      <c r="BG16" s="94">
        <f>BG10+SUM(BG12:BG15)</f>
        <v>9402.7330000000002</v>
      </c>
      <c r="BH16" s="94">
        <f>BH10+SUM(BH12:BH15)</f>
        <v>9516.5980000000127</v>
      </c>
      <c r="BI16" s="94">
        <f>BI10+SUM(BI12:BI15)</f>
        <v>7911.4170000000086</v>
      </c>
      <c r="BJ16" s="94"/>
      <c r="BK16" s="94">
        <f t="shared" ref="BK16:BP16" si="53">BK10+SUM(BK12:BK15)</f>
        <v>4167.3279999999977</v>
      </c>
      <c r="BL16" s="94">
        <f t="shared" si="53"/>
        <v>2684.182000000008</v>
      </c>
      <c r="BM16" s="94">
        <f t="shared" si="53"/>
        <v>5474.4929999999949</v>
      </c>
      <c r="BN16" s="94">
        <f t="shared" si="53"/>
        <v>6182.9170000000013</v>
      </c>
      <c r="BO16" s="94">
        <f t="shared" si="53"/>
        <v>4311.9100000000035</v>
      </c>
      <c r="BP16" s="253">
        <f t="shared" si="53"/>
        <v>5410.8459999999905</v>
      </c>
      <c r="BQ16" s="41"/>
      <c r="BR16" s="94" t="e">
        <f t="shared" ref="BR16:BY16" si="54">BR10+SUM(BR12:BR15)</f>
        <v>#REF!</v>
      </c>
      <c r="BS16" s="94">
        <f t="shared" si="54"/>
        <v>2043.7799999999988</v>
      </c>
      <c r="BT16" s="94">
        <f t="shared" si="54"/>
        <v>6887.8640000000014</v>
      </c>
      <c r="BU16" s="94">
        <f t="shared" si="54"/>
        <v>7959.6010000000097</v>
      </c>
      <c r="BV16" s="94">
        <f t="shared" si="54"/>
        <v>8516.7819999999701</v>
      </c>
      <c r="BW16" s="94"/>
      <c r="BX16" s="94">
        <f t="shared" si="54"/>
        <v>8764.8319999999949</v>
      </c>
      <c r="BY16" s="94">
        <f t="shared" si="54"/>
        <v>6608.1559999999881</v>
      </c>
      <c r="BZ16" s="94">
        <f t="shared" ref="BZ16:CB16" si="55">BZ10+SUM(BZ12:BZ15)</f>
        <v>7996.976999999999</v>
      </c>
      <c r="CA16" s="94">
        <f t="shared" si="55"/>
        <v>9210.4930000000168</v>
      </c>
      <c r="CB16" s="94">
        <f t="shared" si="55"/>
        <v>8422.7419999999984</v>
      </c>
      <c r="CC16" s="94">
        <f>CC10+SUM(CC12:CC15)</f>
        <v>10205.934000000001</v>
      </c>
      <c r="CD16" s="94">
        <f t="shared" ref="CD16:CE16" si="56">CD10+SUM(CD12:CD15)</f>
        <v>11003.40400000001</v>
      </c>
      <c r="CE16" s="94">
        <f t="shared" si="56"/>
        <v>24064.042999999983</v>
      </c>
      <c r="CF16" s="94">
        <f>CF10+SUM(CF12:CF15)</f>
        <v>8227.9339999999938</v>
      </c>
      <c r="CG16" s="94">
        <f>CG10+SUM(CG12:CG15)</f>
        <v>9355.7440000000061</v>
      </c>
      <c r="CH16" s="94">
        <f t="shared" ref="CH16:CI16" si="57">CH10+SUM(CH12:CH15)</f>
        <v>9718.3630000000121</v>
      </c>
      <c r="CI16" s="94">
        <f t="shared" si="57"/>
        <v>8152.9739999999802</v>
      </c>
    </row>
    <row r="17" spans="2:87" ht="13.5" customHeight="1">
      <c r="B17" s="123" t="s">
        <v>299</v>
      </c>
      <c r="C17" s="93">
        <v>426.73899999999998</v>
      </c>
      <c r="D17" s="93">
        <f>--403.975</f>
        <v>403.97500000000002</v>
      </c>
      <c r="E17" s="93">
        <v>900.40599999999995</v>
      </c>
      <c r="F17" s="93">
        <v>314</v>
      </c>
      <c r="G17" s="93">
        <v>662.47400000000005</v>
      </c>
      <c r="H17" s="93">
        <v>673.78399999999999</v>
      </c>
      <c r="I17" s="93">
        <v>560.35400000000004</v>
      </c>
      <c r="J17" s="93">
        <v>560.35400000000004</v>
      </c>
      <c r="K17" s="93">
        <v>565.71299999999997</v>
      </c>
      <c r="L17" s="264">
        <v>398.67700000000002</v>
      </c>
      <c r="M17" s="264">
        <v>388.22199999999998</v>
      </c>
      <c r="N17" s="264">
        <v>774.18100000000004</v>
      </c>
      <c r="O17" s="93">
        <v>774.18100000000004</v>
      </c>
      <c r="P17" s="93">
        <v>882.20699999999999</v>
      </c>
      <c r="Q17" s="93">
        <v>1026.635</v>
      </c>
      <c r="R17" s="93">
        <v>897.15</v>
      </c>
      <c r="S17" s="95">
        <f t="shared" ref="S17:S19" si="58">SUM(BF17:BI17)</f>
        <v>653.99199999999985</v>
      </c>
      <c r="U17" s="93">
        <v>167.53100000000001</v>
      </c>
      <c r="V17" s="93">
        <v>116.208</v>
      </c>
      <c r="W17" s="93">
        <v>344.863</v>
      </c>
      <c r="X17" s="95">
        <f>E17-SUM(U17:W17)</f>
        <v>271.80399999999986</v>
      </c>
      <c r="Y17" s="93">
        <f>150.072-Z17</f>
        <v>56.091000000000008</v>
      </c>
      <c r="Z17" s="93">
        <v>93.980999999999995</v>
      </c>
      <c r="AA17" s="93">
        <v>39.594999999999999</v>
      </c>
      <c r="AB17" s="95">
        <f>F17-SUM(Y17:AA17)</f>
        <v>124.333</v>
      </c>
      <c r="AC17" s="93">
        <v>67.022999999999996</v>
      </c>
      <c r="AD17" s="93">
        <v>326.904</v>
      </c>
      <c r="AE17" s="93">
        <v>99.349000000000004</v>
      </c>
      <c r="AF17" s="95">
        <f>G17-AE17-AD17-AC17</f>
        <v>169.19800000000001</v>
      </c>
      <c r="AG17" s="93">
        <v>84.992999999999995</v>
      </c>
      <c r="AH17" s="93">
        <v>116.43300000000001</v>
      </c>
      <c r="AI17" s="93">
        <v>100.824</v>
      </c>
      <c r="AJ17" s="95">
        <f>I17-AI17-AH17-AG17</f>
        <v>258.10400000000004</v>
      </c>
      <c r="AK17" s="93">
        <v>532.44200000000001</v>
      </c>
      <c r="AL17" s="93">
        <v>205.66800000000001</v>
      </c>
      <c r="AM17" s="93">
        <v>174.13499999999999</v>
      </c>
      <c r="AN17" s="95">
        <f>K17-AM17-AL17-AK17</f>
        <v>-346.53200000000004</v>
      </c>
      <c r="AO17" s="93">
        <v>81.144999999999996</v>
      </c>
      <c r="AP17" s="93">
        <v>97.494</v>
      </c>
      <c r="AQ17" s="93">
        <v>124.254</v>
      </c>
      <c r="AR17" s="95">
        <f>M17-AQ17-AP17-AO17</f>
        <v>85.328999999999965</v>
      </c>
      <c r="AS17" s="93">
        <v>90.608000000000004</v>
      </c>
      <c r="AT17" s="93">
        <v>268.50099999999998</v>
      </c>
      <c r="AU17" s="93">
        <v>130.405</v>
      </c>
      <c r="AV17" s="95">
        <f>N17-AU17-AT17-AS17</f>
        <v>284.66700000000009</v>
      </c>
      <c r="AW17" s="93">
        <v>214.322</v>
      </c>
      <c r="AX17" s="93">
        <v>181.554</v>
      </c>
      <c r="AY17" s="93">
        <v>174.30500000000001</v>
      </c>
      <c r="AZ17" s="95">
        <f>P17-AY17-AX17-AW17</f>
        <v>312.02600000000007</v>
      </c>
      <c r="BA17" s="93">
        <v>500.11900000000003</v>
      </c>
      <c r="BB17" s="93">
        <v>239.345</v>
      </c>
      <c r="BC17" s="93">
        <v>185.28200000000001</v>
      </c>
      <c r="BD17" s="95">
        <f t="shared" ref="BD17:BD19" si="59">Q17-BC17-BB17-BA17</f>
        <v>101.8889999999999</v>
      </c>
      <c r="BE17" s="93">
        <v>361.53899999999999</v>
      </c>
      <c r="BF17" s="93">
        <v>235.76300000000001</v>
      </c>
      <c r="BG17" s="93">
        <v>163.09899999999999</v>
      </c>
      <c r="BH17" s="95">
        <f t="shared" si="39"/>
        <v>136.74899999999991</v>
      </c>
      <c r="BI17" s="93">
        <v>118.381</v>
      </c>
      <c r="BJ17" s="93"/>
      <c r="BK17" s="93">
        <v>66.899000000000001</v>
      </c>
      <c r="BL17" s="93">
        <v>326.904</v>
      </c>
      <c r="BM17" s="93">
        <v>99.349000000000004</v>
      </c>
      <c r="BN17" s="95">
        <f>H17-BM17-BL17-BK17</f>
        <v>180.63199999999995</v>
      </c>
      <c r="BO17" s="93">
        <v>117.88200000000001</v>
      </c>
      <c r="BP17" s="93">
        <v>100.83</v>
      </c>
      <c r="BQ17" s="31"/>
      <c r="BR17" s="95">
        <f>J17-AG17-AH17-AI17</f>
        <v>258.10400000000004</v>
      </c>
      <c r="BS17" s="93">
        <v>531.29300000000001</v>
      </c>
      <c r="BT17" s="93">
        <v>206.56899999999999</v>
      </c>
      <c r="BU17" s="93">
        <v>173.773</v>
      </c>
      <c r="BV17" s="95">
        <f>K17-BS17-BT17-BU17</f>
        <v>-345.92200000000003</v>
      </c>
      <c r="BW17" s="95"/>
      <c r="BX17" s="93">
        <v>81.912999999999997</v>
      </c>
      <c r="BY17" s="93">
        <v>98.417000000000002</v>
      </c>
      <c r="BZ17" s="93">
        <v>122.589</v>
      </c>
      <c r="CA17" s="95">
        <f>M17-BX17-BY17-BZ17</f>
        <v>85.302999999999969</v>
      </c>
      <c r="CB17" s="93">
        <v>90.597999999999999</v>
      </c>
      <c r="CC17" s="93">
        <v>268.02999999999997</v>
      </c>
      <c r="CD17" s="93">
        <v>128.61000000000001</v>
      </c>
      <c r="CE17" s="95">
        <f>O17-CB17-CC17-CD17</f>
        <v>286.9430000000001</v>
      </c>
      <c r="CF17" s="93">
        <v>245.44900000000001</v>
      </c>
      <c r="CG17" s="93">
        <v>155.65100000000001</v>
      </c>
      <c r="CH17" s="93">
        <v>148.99600000000001</v>
      </c>
      <c r="CI17" s="95">
        <f t="shared" ref="CI17:CI19" si="60">P17-CF17-CG17-CH17</f>
        <v>332.11099999999999</v>
      </c>
    </row>
    <row r="18" spans="2:87" ht="13.5" customHeight="1">
      <c r="B18" s="123" t="s">
        <v>300</v>
      </c>
      <c r="C18" s="93">
        <v>-3691.1370000000002</v>
      </c>
      <c r="D18" s="93">
        <v>-4593.7479999999996</v>
      </c>
      <c r="E18" s="93">
        <v>-5491.5280000000002</v>
      </c>
      <c r="F18" s="93">
        <v>-6068.64</v>
      </c>
      <c r="G18" s="93">
        <v>-7657.8360000000002</v>
      </c>
      <c r="H18" s="93">
        <v>-7669.1459999999997</v>
      </c>
      <c r="I18" s="93">
        <v>-9120.4830000000002</v>
      </c>
      <c r="J18" s="93">
        <v>-9120.4830000000002</v>
      </c>
      <c r="K18" s="93">
        <v>-9424.4050000000007</v>
      </c>
      <c r="L18" s="264">
        <v>-8418.6110000000008</v>
      </c>
      <c r="M18" s="264">
        <v>-8360.5120000000006</v>
      </c>
      <c r="N18" s="264">
        <v>-9043.9230000000007</v>
      </c>
      <c r="O18" s="93">
        <v>-9043.9230000000007</v>
      </c>
      <c r="P18" s="93">
        <v>-11329.039000000001</v>
      </c>
      <c r="Q18" s="93">
        <v>-13605.66</v>
      </c>
      <c r="R18" s="93">
        <v>-14898.207</v>
      </c>
      <c r="S18" s="95">
        <f t="shared" si="58"/>
        <v>-14860.643999999998</v>
      </c>
      <c r="U18" s="93">
        <v>-1388.0740000000001</v>
      </c>
      <c r="V18" s="93">
        <v>-1384.769</v>
      </c>
      <c r="W18" s="93">
        <v>-1276.288</v>
      </c>
      <c r="X18" s="95">
        <f>E18-SUM(U18:W18)</f>
        <v>-1442.3970000000004</v>
      </c>
      <c r="Y18" s="93">
        <f>-3104.7-Z18</f>
        <v>-1526.0349999999999</v>
      </c>
      <c r="Z18" s="93">
        <v>-1578.665</v>
      </c>
      <c r="AA18" s="93">
        <v>-1386.0830000000001</v>
      </c>
      <c r="AB18" s="95">
        <f>F18-SUM(Y18:AA18)</f>
        <v>-1577.8570000000009</v>
      </c>
      <c r="AC18" s="93">
        <v>-1683.7909999999999</v>
      </c>
      <c r="AD18" s="93">
        <v>-2151.6529999999998</v>
      </c>
      <c r="AE18" s="93">
        <v>-1939.663</v>
      </c>
      <c r="AF18" s="95">
        <f>G18-AE18-AD18-AC18</f>
        <v>-1882.729000000001</v>
      </c>
      <c r="AG18" s="93">
        <v>-2124.0070000000001</v>
      </c>
      <c r="AH18" s="93">
        <v>-2094.2139999999999</v>
      </c>
      <c r="AI18" s="93">
        <v>-2076.2930000000001</v>
      </c>
      <c r="AJ18" s="95">
        <f>I18-AI18-AH18-AG18</f>
        <v>-2825.9690000000005</v>
      </c>
      <c r="AK18" s="93">
        <v>-2269.4169999999999</v>
      </c>
      <c r="AL18" s="93">
        <v>-2219.4459999999999</v>
      </c>
      <c r="AM18" s="93">
        <v>-2302.1210000000001</v>
      </c>
      <c r="AN18" s="95">
        <f>K18-AM18-AL18-AK18</f>
        <v>-2633.4210000000007</v>
      </c>
      <c r="AO18" s="93">
        <v>-1976.057</v>
      </c>
      <c r="AP18" s="93">
        <v>-2104.7689999999998</v>
      </c>
      <c r="AQ18" s="93">
        <v>-2037.2429999999999</v>
      </c>
      <c r="AR18" s="95">
        <f>M18-AQ18-AP18-AO18</f>
        <v>-2242.4430000000002</v>
      </c>
      <c r="AS18" s="93">
        <v>-1843.8430000000001</v>
      </c>
      <c r="AT18" s="93">
        <v>-1525.9860000000001</v>
      </c>
      <c r="AU18" s="93">
        <v>-2487.5729999999999</v>
      </c>
      <c r="AV18" s="95">
        <f>N18-AU18-AT18-AS18</f>
        <v>-3186.5210000000006</v>
      </c>
      <c r="AW18" s="93">
        <v>-1830.271</v>
      </c>
      <c r="AX18" s="93">
        <v>-2970.0239999999999</v>
      </c>
      <c r="AY18" s="93">
        <v>-3270.3719999999998</v>
      </c>
      <c r="AZ18" s="95">
        <f>P18-AY18-AX18-AW18</f>
        <v>-3258.3720000000021</v>
      </c>
      <c r="BA18" s="93">
        <v>-3272.8409999999999</v>
      </c>
      <c r="BB18" s="93">
        <v>-3401.44</v>
      </c>
      <c r="BC18" s="93">
        <v>-3432.1529999999998</v>
      </c>
      <c r="BD18" s="95">
        <f t="shared" si="59"/>
        <v>-3499.2259999999992</v>
      </c>
      <c r="BE18" s="93">
        <v>-3617.61</v>
      </c>
      <c r="BF18" s="93">
        <v>-3563.5450000000001</v>
      </c>
      <c r="BG18" s="93">
        <v>-3500.55</v>
      </c>
      <c r="BH18" s="95">
        <f t="shared" si="39"/>
        <v>-4216.5019999999986</v>
      </c>
      <c r="BI18" s="93">
        <v>-3580.047</v>
      </c>
      <c r="BJ18" s="93"/>
      <c r="BK18" s="93">
        <v>-1676.92</v>
      </c>
      <c r="BL18" s="93">
        <v>-2151.6529999999998</v>
      </c>
      <c r="BM18" s="93">
        <v>-1939.663</v>
      </c>
      <c r="BN18" s="95">
        <f>H18-BM18-BL18-BK18</f>
        <v>-1900.9100000000003</v>
      </c>
      <c r="BO18" s="93">
        <v>-2106.0259999999998</v>
      </c>
      <c r="BP18" s="93">
        <v>-2103.6640000000002</v>
      </c>
      <c r="BQ18" s="31"/>
      <c r="BR18" s="95">
        <f>J18-AG18-AH18-AI18</f>
        <v>-2825.9690000000005</v>
      </c>
      <c r="BS18" s="93">
        <v>-2262.3229999999999</v>
      </c>
      <c r="BT18" s="93">
        <v>-2217.7220000000002</v>
      </c>
      <c r="BU18" s="93">
        <v>-2299.3719999999998</v>
      </c>
      <c r="BV18" s="95">
        <f>K18-BS18-BT18-BU18</f>
        <v>-2644.9880000000007</v>
      </c>
      <c r="BW18" s="95"/>
      <c r="BX18" s="93">
        <v>-1979.568</v>
      </c>
      <c r="BY18" s="93">
        <v>-2093.9580000000001</v>
      </c>
      <c r="BZ18" s="93">
        <v>-2027.9839999999999</v>
      </c>
      <c r="CA18" s="95">
        <f>M18-BX18-BY18-BZ18</f>
        <v>-2259.0020000000009</v>
      </c>
      <c r="CB18" s="93">
        <v>-1831.55</v>
      </c>
      <c r="CC18" s="93">
        <v>-1525.432</v>
      </c>
      <c r="CD18" s="93">
        <v>-2483.5129999999999</v>
      </c>
      <c r="CE18" s="95">
        <f>O18-CB18-CC18-CD18</f>
        <v>-3203.4280000000008</v>
      </c>
      <c r="CF18" s="93">
        <v>-1841.6780000000001</v>
      </c>
      <c r="CG18" s="93">
        <v>-2929.8490000000002</v>
      </c>
      <c r="CH18" s="93">
        <v>-3219.34</v>
      </c>
      <c r="CI18" s="95">
        <f t="shared" si="60"/>
        <v>-3338.1720000000005</v>
      </c>
    </row>
    <row r="19" spans="2:87" ht="12.75">
      <c r="B19" s="123" t="s">
        <v>301</v>
      </c>
      <c r="C19" s="93">
        <v>-61.180999999999997</v>
      </c>
      <c r="D19" s="93">
        <v>46.954999999999998</v>
      </c>
      <c r="E19" s="93">
        <v>121.136</v>
      </c>
      <c r="F19" s="93">
        <v>233.863</v>
      </c>
      <c r="G19" s="93">
        <v>193.624</v>
      </c>
      <c r="H19" s="93">
        <v>193.624</v>
      </c>
      <c r="I19" s="93">
        <v>249.45099999999999</v>
      </c>
      <c r="J19" s="93">
        <v>249.45099999999999</v>
      </c>
      <c r="K19" s="93">
        <v>194.34299999999999</v>
      </c>
      <c r="L19" s="264">
        <v>246.64</v>
      </c>
      <c r="M19" s="264">
        <v>246.64</v>
      </c>
      <c r="N19" s="264">
        <v>451.95100000000002</v>
      </c>
      <c r="O19" s="93">
        <v>451.95100000000002</v>
      </c>
      <c r="P19" s="93">
        <v>316.16399999999999</v>
      </c>
      <c r="Q19" s="93">
        <v>464.48399999999998</v>
      </c>
      <c r="R19" s="93">
        <v>-2.2519999999999998</v>
      </c>
      <c r="S19" s="95">
        <f t="shared" si="58"/>
        <v>-59.293999999999997</v>
      </c>
      <c r="U19" s="93">
        <v>5.8019999999999996</v>
      </c>
      <c r="V19" s="93">
        <v>38.939</v>
      </c>
      <c r="W19" s="93">
        <v>63.405000000000001</v>
      </c>
      <c r="X19" s="95">
        <f>E19-SUM(U19:W19)</f>
        <v>12.989999999999995</v>
      </c>
      <c r="Y19" s="93">
        <f>126.695-Z19</f>
        <v>61.198999999999998</v>
      </c>
      <c r="Z19" s="93">
        <v>65.495999999999995</v>
      </c>
      <c r="AA19" s="93">
        <v>64.432000000000002</v>
      </c>
      <c r="AB19" s="95">
        <f>F19-SUM(Y19:AA19)</f>
        <v>42.73599999999999</v>
      </c>
      <c r="AC19" s="93">
        <v>40.154000000000003</v>
      </c>
      <c r="AD19" s="93">
        <v>68.840999999999994</v>
      </c>
      <c r="AE19" s="93">
        <v>84.706999999999994</v>
      </c>
      <c r="AF19" s="95">
        <f>G19-AE19-AD19-AC19</f>
        <v>-7.799999999999585E-2</v>
      </c>
      <c r="AG19" s="93">
        <v>110.59099999999999</v>
      </c>
      <c r="AH19" s="93">
        <v>-48.261000000000003</v>
      </c>
      <c r="AI19" s="93">
        <v>70.013999999999996</v>
      </c>
      <c r="AJ19" s="95">
        <f>I19-AI19-AH19-AG19</f>
        <v>117.10700000000001</v>
      </c>
      <c r="AK19" s="93">
        <v>34.049999999999997</v>
      </c>
      <c r="AL19" s="93">
        <v>88.977000000000004</v>
      </c>
      <c r="AM19" s="93">
        <v>78.055000000000007</v>
      </c>
      <c r="AN19" s="95">
        <f>K19-AM19-AL19-AK19</f>
        <v>-6.7390000000000185</v>
      </c>
      <c r="AO19" s="93">
        <v>87.338999999999999</v>
      </c>
      <c r="AP19" s="93">
        <v>26.635999999999999</v>
      </c>
      <c r="AQ19" s="93">
        <v>75.427999999999997</v>
      </c>
      <c r="AR19" s="95">
        <f>M19-AQ19-AP19-AO19</f>
        <v>57.236999999999995</v>
      </c>
      <c r="AS19" s="93">
        <v>147.327</v>
      </c>
      <c r="AT19" s="93">
        <v>78.840999999999994</v>
      </c>
      <c r="AU19" s="93">
        <v>107.916</v>
      </c>
      <c r="AV19" s="95">
        <f>N19-AU19-AT19-AS19</f>
        <v>117.86700000000002</v>
      </c>
      <c r="AW19" s="93">
        <v>68.944000000000003</v>
      </c>
      <c r="AX19" s="93">
        <v>42.795999999999999</v>
      </c>
      <c r="AY19" s="93">
        <v>58.323</v>
      </c>
      <c r="AZ19" s="95">
        <f>P19-AY19-AX19-AW19</f>
        <v>146.101</v>
      </c>
      <c r="BA19" s="93">
        <v>111.023</v>
      </c>
      <c r="BB19" s="93">
        <v>78.424999999999997</v>
      </c>
      <c r="BC19" s="93">
        <v>83.918999999999997</v>
      </c>
      <c r="BD19" s="95">
        <f t="shared" si="59"/>
        <v>191.11699999999999</v>
      </c>
      <c r="BE19" s="93">
        <v>50.122999999999998</v>
      </c>
      <c r="BF19" s="93">
        <v>90.444000000000003</v>
      </c>
      <c r="BG19" s="93">
        <v>73.796000000000006</v>
      </c>
      <c r="BH19" s="95">
        <f t="shared" si="39"/>
        <v>-216.61500000000001</v>
      </c>
      <c r="BI19" s="93">
        <v>-6.9189999999999996</v>
      </c>
      <c r="BJ19" s="93"/>
      <c r="BK19" s="93">
        <v>40.154000000000003</v>
      </c>
      <c r="BL19" s="93">
        <v>68.840999999999994</v>
      </c>
      <c r="BM19" s="93">
        <v>84.706999999999994</v>
      </c>
      <c r="BN19" s="95">
        <f>H19-BM19-BL19-BK19</f>
        <v>-7.799999999999585E-2</v>
      </c>
      <c r="BO19" s="93">
        <v>-48.262999999999998</v>
      </c>
      <c r="BP19" s="93">
        <v>70.013999999999996</v>
      </c>
      <c r="BQ19" s="31"/>
      <c r="BR19" s="95">
        <f>J19-AG19-AH19-AI19</f>
        <v>117.10700000000001</v>
      </c>
      <c r="BS19" s="93">
        <v>34.048999999999999</v>
      </c>
      <c r="BT19" s="93">
        <v>88.975999999999999</v>
      </c>
      <c r="BU19" s="93">
        <v>78.055000000000007</v>
      </c>
      <c r="BV19" s="95">
        <f>K19-BS19-BT19-BU19</f>
        <v>-6.7370000000000232</v>
      </c>
      <c r="BW19" s="95"/>
      <c r="BX19" s="93">
        <v>87.338999999999999</v>
      </c>
      <c r="BY19" s="93">
        <v>26.635999999999999</v>
      </c>
      <c r="BZ19" s="93">
        <v>75.427999999999997</v>
      </c>
      <c r="CA19" s="95">
        <f>M19-BX19-BY19-BZ19</f>
        <v>57.236999999999995</v>
      </c>
      <c r="CB19" s="93">
        <v>147.32599999999999</v>
      </c>
      <c r="CC19" s="93">
        <v>78.840999999999994</v>
      </c>
      <c r="CD19" s="93">
        <v>107.916</v>
      </c>
      <c r="CE19" s="95">
        <f>O19-CB19-CC19-CD19</f>
        <v>117.86799999999999</v>
      </c>
      <c r="CF19" s="93">
        <v>68.942999999999998</v>
      </c>
      <c r="CG19" s="93">
        <v>42.795999999999999</v>
      </c>
      <c r="CH19" s="93">
        <v>58.323999999999998</v>
      </c>
      <c r="CI19" s="95">
        <f t="shared" si="60"/>
        <v>146.101</v>
      </c>
    </row>
    <row r="20" spans="2:87" s="5" customFormat="1" ht="13.5" customHeight="1">
      <c r="B20" s="5" t="s">
        <v>302</v>
      </c>
      <c r="C20" s="94">
        <f t="shared" ref="C20:G20" si="61">SUM(C16,C17,C18,C19)</f>
        <v>6986.489999999988</v>
      </c>
      <c r="D20" s="94">
        <f t="shared" si="61"/>
        <v>9977.9929999999877</v>
      </c>
      <c r="E20" s="94">
        <f t="shared" si="61"/>
        <v>13613.617000000017</v>
      </c>
      <c r="F20" s="94">
        <f t="shared" si="61"/>
        <v>11951.368000000019</v>
      </c>
      <c r="G20" s="94">
        <f t="shared" si="61"/>
        <v>11707.182000000012</v>
      </c>
      <c r="H20" s="94">
        <f t="shared" ref="H20:N20" si="62">SUM(H16,H17,H18,H19)</f>
        <v>11707.181999999983</v>
      </c>
      <c r="I20" s="94">
        <f t="shared" si="62"/>
        <v>12107.97599999995</v>
      </c>
      <c r="J20" s="94">
        <f t="shared" si="62"/>
        <v>12107.97599999995</v>
      </c>
      <c r="K20" s="94">
        <f t="shared" si="62"/>
        <v>16743.678</v>
      </c>
      <c r="L20" s="94">
        <f t="shared" si="62"/>
        <v>26353.134000000016</v>
      </c>
      <c r="M20" s="94">
        <f t="shared" si="62"/>
        <v>24854.808000000012</v>
      </c>
      <c r="N20" s="94">
        <f t="shared" si="62"/>
        <v>45878.331999999988</v>
      </c>
      <c r="O20" s="94">
        <f t="shared" ref="O20" si="63">SUM(O16,O17,O18,O19)</f>
        <v>45878.331999999988</v>
      </c>
      <c r="P20" s="94">
        <f>SUM(P16,P17,P18,P19)</f>
        <v>25324.346999999987</v>
      </c>
      <c r="Q20" s="94">
        <f>SUM(Q16,Q17,Q18,Q19)</f>
        <v>21034.338999999978</v>
      </c>
      <c r="R20" s="94">
        <f>SUM(R16,R17,R18,R19)</f>
        <v>20142.810000000005</v>
      </c>
      <c r="S20" s="94">
        <f t="shared" ref="S20" si="64">SUM(S16,S17,S18,S19)</f>
        <v>21043.459000000024</v>
      </c>
      <c r="U20" s="94">
        <f t="shared" ref="U20:AB20" si="65">SUM(U16,U17,U18,U19)</f>
        <v>2669.6960000000017</v>
      </c>
      <c r="V20" s="94">
        <f t="shared" si="65"/>
        <v>3623.4429999999943</v>
      </c>
      <c r="W20" s="94">
        <f t="shared" si="65"/>
        <v>4969.061999999999</v>
      </c>
      <c r="X20" s="94">
        <f t="shared" si="65"/>
        <v>2351.4160000000143</v>
      </c>
      <c r="Y20" s="94">
        <f t="shared" si="65"/>
        <v>2177.2539999999926</v>
      </c>
      <c r="Z20" s="94">
        <f t="shared" si="65"/>
        <v>3169.7490000000053</v>
      </c>
      <c r="AA20" s="94">
        <f t="shared" si="65"/>
        <v>3594.1070000000004</v>
      </c>
      <c r="AB20" s="94">
        <f t="shared" si="65"/>
        <v>3010.2580000000225</v>
      </c>
      <c r="AC20" s="94">
        <f t="shared" ref="AC20:AH20" si="66">SUM(AC16,AC17,AC18,AC19)</f>
        <v>2569.9089999999974</v>
      </c>
      <c r="AD20" s="94">
        <f t="shared" si="66"/>
        <v>928.28599999999608</v>
      </c>
      <c r="AE20" s="94">
        <f t="shared" si="66"/>
        <v>3718.885999999995</v>
      </c>
      <c r="AF20" s="94">
        <f t="shared" si="66"/>
        <v>4490.1010000000051</v>
      </c>
      <c r="AG20" s="94">
        <f t="shared" si="66"/>
        <v>2691.6569999999983</v>
      </c>
      <c r="AH20" s="94">
        <f t="shared" si="66"/>
        <v>2250.745000000004</v>
      </c>
      <c r="AI20" s="94">
        <f t="shared" ref="AI20:AN20" si="67">SUM(AI16,AI17,AI18,AI19)</f>
        <v>3487.8420000000056</v>
      </c>
      <c r="AJ20" s="94">
        <f t="shared" si="67"/>
        <v>3677.7319999999759</v>
      </c>
      <c r="AK20" s="94">
        <f t="shared" si="67"/>
        <v>324.19100000000918</v>
      </c>
      <c r="AL20" s="94">
        <f t="shared" si="67"/>
        <v>4950.7540000000072</v>
      </c>
      <c r="AM20" s="253">
        <f t="shared" si="67"/>
        <v>5895.5330000000004</v>
      </c>
      <c r="AN20" s="94">
        <f t="shared" si="67"/>
        <v>5573.2000000000007</v>
      </c>
      <c r="AO20" s="94">
        <f>SUM(AO16,AO17,AO18,AO19)</f>
        <v>6984.1369999999997</v>
      </c>
      <c r="AP20" s="94">
        <f>SUM(AP16,AP17,AP18,AP19)</f>
        <v>5077.2849999999926</v>
      </c>
      <c r="AQ20" s="94">
        <f>SUM(AQ16,AQ17,AQ18,AQ19)</f>
        <v>6512.8399999999911</v>
      </c>
      <c r="AR20" s="94">
        <f t="shared" ref="AR20" si="68">SUM(AR16,AR17,AR18,AR19)</f>
        <v>6280.5460000000385</v>
      </c>
      <c r="AS20" s="94">
        <f>SUM(AS16,AS17,AS18,AS19)</f>
        <v>7336.075000000008</v>
      </c>
      <c r="AT20" s="94">
        <f>SUM(AT16,AT17,AT18,AT19)</f>
        <v>9026.4409999999916</v>
      </c>
      <c r="AU20" s="94">
        <f>SUM(AU16,AU17,AU18,AU19)</f>
        <v>8755.0649999999951</v>
      </c>
      <c r="AV20" s="94">
        <f t="shared" ref="AV20" si="69">SUM(AV16,AV17,AV18,AV19)</f>
        <v>20760.750999999986</v>
      </c>
      <c r="AW20" s="94">
        <f>SUM(AW16,AW17,AW18,AW19)</f>
        <v>6673.3929999999946</v>
      </c>
      <c r="AX20" s="94">
        <f>SUM(AX16,AX17,AX18,AX19)</f>
        <v>6611.6830000000118</v>
      </c>
      <c r="AY20" s="94">
        <f>SUM(AY16,AY17,AY18,AY19)</f>
        <v>6711.5639999999985</v>
      </c>
      <c r="AZ20" s="94">
        <f t="shared" ref="AZ20" si="70">SUM(AZ16,AZ17,AZ18,AZ19)</f>
        <v>5327.7069999999949</v>
      </c>
      <c r="BA20" s="94">
        <f>SUM(BA16,BA17,BA18,BA19)</f>
        <v>4213.4610000000039</v>
      </c>
      <c r="BB20" s="94">
        <f>SUM(BB16,BB17,BB18,BB19)</f>
        <v>5584.6540000000068</v>
      </c>
      <c r="BC20" s="94">
        <f>SUM(BC16,BC17,BC18,BC19)</f>
        <v>6196.2060000000019</v>
      </c>
      <c r="BD20" s="94">
        <f t="shared" ref="BD20" si="71">SUM(BD16,BD17,BD18,BD19)</f>
        <v>5040.01799999994</v>
      </c>
      <c r="BE20" s="94">
        <f>SUM(BE16,BE17,BE18,BE19)</f>
        <v>3542.1830000000082</v>
      </c>
      <c r="BF20" s="94">
        <f>SUM(BF16,BF17,BF18,BF19)</f>
        <v>5241.3189999999931</v>
      </c>
      <c r="BG20" s="94">
        <f>SUM(BG16,BG17,BG18,BG19)</f>
        <v>6139.0780000000004</v>
      </c>
      <c r="BH20" s="94">
        <f>SUM(BH16,BH17,BH18,BH19)</f>
        <v>5220.2300000000141</v>
      </c>
      <c r="BI20" s="94">
        <f>SUM(BI16,BI17,BI18,BI19)</f>
        <v>4442.8320000000094</v>
      </c>
      <c r="BJ20" s="94"/>
      <c r="BK20" s="94">
        <f t="shared" ref="BK20:BP20" si="72">SUM(BK16,BK17,BK18,BK19)</f>
        <v>2597.460999999998</v>
      </c>
      <c r="BL20" s="94">
        <f t="shared" si="72"/>
        <v>928.27400000000819</v>
      </c>
      <c r="BM20" s="94">
        <f t="shared" si="72"/>
        <v>3718.885999999995</v>
      </c>
      <c r="BN20" s="94">
        <f t="shared" si="72"/>
        <v>4462.5610000000006</v>
      </c>
      <c r="BO20" s="94">
        <f t="shared" si="72"/>
        <v>2275.5030000000033</v>
      </c>
      <c r="BP20" s="253">
        <f t="shared" si="72"/>
        <v>3478.0259999999903</v>
      </c>
      <c r="BQ20" s="41"/>
      <c r="BR20" s="94" t="e">
        <f t="shared" ref="BR20:BY20" si="73">SUM(BR16,BR17,BR18,BR19)</f>
        <v>#REF!</v>
      </c>
      <c r="BS20" s="94">
        <f t="shared" si="73"/>
        <v>346.79899999999907</v>
      </c>
      <c r="BT20" s="94">
        <f t="shared" si="73"/>
        <v>4965.6870000000008</v>
      </c>
      <c r="BU20" s="94">
        <f t="shared" si="73"/>
        <v>5912.0570000000098</v>
      </c>
      <c r="BV20" s="94">
        <f t="shared" si="73"/>
        <v>5519.1349999999684</v>
      </c>
      <c r="BW20" s="94"/>
      <c r="BX20" s="94">
        <f t="shared" si="73"/>
        <v>6954.5159999999951</v>
      </c>
      <c r="BY20" s="94">
        <f t="shared" si="73"/>
        <v>4639.2509999999893</v>
      </c>
      <c r="BZ20" s="94">
        <f t="shared" ref="BZ20:CB20" si="74">SUM(BZ16,BZ17,BZ18,BZ19)</f>
        <v>6167.0099999999984</v>
      </c>
      <c r="CA20" s="94">
        <f t="shared" si="74"/>
        <v>7094.0310000000163</v>
      </c>
      <c r="CB20" s="94">
        <f t="shared" si="74"/>
        <v>6829.1159999999982</v>
      </c>
      <c r="CC20" s="94">
        <f>SUM(CC16,CC17,CC18,CC19)</f>
        <v>9027.3730000000014</v>
      </c>
      <c r="CD20" s="94">
        <f t="shared" ref="CD20:CE20" si="75">SUM(CD16,CD17,CD18,CD19)</f>
        <v>8756.4170000000104</v>
      </c>
      <c r="CE20" s="94">
        <f t="shared" si="75"/>
        <v>21265.425999999981</v>
      </c>
      <c r="CF20" s="94">
        <f>SUM(CF16,CF17,CF18,CF19)</f>
        <v>6700.6479999999947</v>
      </c>
      <c r="CG20" s="94">
        <f>SUM(CG16,CG17,CG18,CG19)</f>
        <v>6624.342000000006</v>
      </c>
      <c r="CH20" s="94">
        <f t="shared" ref="CH20:CI20" si="76">SUM(CH16,CH17,CH18,CH19)</f>
        <v>6706.3430000000108</v>
      </c>
      <c r="CI20" s="94">
        <f t="shared" si="76"/>
        <v>5293.0139999999801</v>
      </c>
    </row>
    <row r="21" spans="2:87" s="5" customFormat="1" ht="13.5" customHeight="1">
      <c r="B21" s="123" t="s">
        <v>303</v>
      </c>
      <c r="C21" s="93">
        <v>-2955.154</v>
      </c>
      <c r="D21" s="93">
        <v>-4062.7330000000002</v>
      </c>
      <c r="E21" s="93">
        <v>-6845.3140000000003</v>
      </c>
      <c r="F21" s="93">
        <v>-6281.93</v>
      </c>
      <c r="G21" s="93">
        <v>-4896.5649999999996</v>
      </c>
      <c r="H21" s="93">
        <v>-4896.5649999999996</v>
      </c>
      <c r="I21" s="93">
        <v>-4732.5640000000003</v>
      </c>
      <c r="J21" s="93">
        <v>-4732.5640000000003</v>
      </c>
      <c r="K21" s="93">
        <v>-6192.9570000000003</v>
      </c>
      <c r="L21" s="264">
        <v>-8970.607</v>
      </c>
      <c r="M21" s="264">
        <v>-8726.3310000000001</v>
      </c>
      <c r="N21" s="264">
        <v>-14381.307000000001</v>
      </c>
      <c r="O21" s="93">
        <v>-14381.307000000001</v>
      </c>
      <c r="P21" s="93">
        <v>-8385.8960000000006</v>
      </c>
      <c r="Q21" s="93">
        <v>-6796.73</v>
      </c>
      <c r="R21" s="93">
        <v>-7196.8680000000004</v>
      </c>
      <c r="S21" s="95">
        <f>SUM(BF21:BI21)</f>
        <v>-7512.3970000000008</v>
      </c>
      <c r="U21" s="93">
        <v>-1029.2809999999999</v>
      </c>
      <c r="V21" s="93">
        <v>-1561.915</v>
      </c>
      <c r="W21" s="93">
        <v>-2198.768</v>
      </c>
      <c r="X21" s="95">
        <f>E21-SUM(U21:W21)</f>
        <v>-2055.3500000000004</v>
      </c>
      <c r="Y21" s="93">
        <f>-2380.732-Z21</f>
        <v>-934.96499999999992</v>
      </c>
      <c r="Z21" s="93">
        <v>-1445.7670000000001</v>
      </c>
      <c r="AA21" s="93">
        <v>-1632.771</v>
      </c>
      <c r="AB21" s="95">
        <f>F21-SUM(Y21:AA21)</f>
        <v>-2268.4270000000006</v>
      </c>
      <c r="AC21" s="93">
        <v>-1034.9090000000001</v>
      </c>
      <c r="AD21" s="93">
        <v>-467.09500000000003</v>
      </c>
      <c r="AE21" s="93">
        <v>-1655.673</v>
      </c>
      <c r="AF21" s="95">
        <f>G21-AE21-AD21-AC21</f>
        <v>-1738.8879999999995</v>
      </c>
      <c r="AG21" s="93">
        <v>-1106.384</v>
      </c>
      <c r="AH21" s="93">
        <v>-773.16300000000001</v>
      </c>
      <c r="AI21" s="93">
        <v>-1305.3979999999999</v>
      </c>
      <c r="AJ21" s="95">
        <f>I21-AI21-AH21-AG21</f>
        <v>-1547.6190000000001</v>
      </c>
      <c r="AK21" s="93">
        <v>-31.317</v>
      </c>
      <c r="AL21" s="93">
        <v>-2081.6170000000002</v>
      </c>
      <c r="AM21" s="93">
        <v>-2024.9090000000001</v>
      </c>
      <c r="AN21" s="95">
        <f>K21-AM21-AL21-AK21</f>
        <v>-2055.1140000000005</v>
      </c>
      <c r="AO21" s="93">
        <v>-2619.0509999999999</v>
      </c>
      <c r="AP21" s="93">
        <v>-1721.366</v>
      </c>
      <c r="AQ21" s="93">
        <v>-2167.5479999999998</v>
      </c>
      <c r="AR21" s="95">
        <f>M21-AQ21-AP21-AO21</f>
        <v>-2218.3660000000004</v>
      </c>
      <c r="AS21" s="93">
        <v>-2493.9560000000001</v>
      </c>
      <c r="AT21" s="93">
        <v>-2944.1860000000001</v>
      </c>
      <c r="AU21" s="93">
        <v>-2728.8229999999999</v>
      </c>
      <c r="AV21" s="95">
        <f>N21-AU21-AT21-AS21</f>
        <v>-6214.3420000000006</v>
      </c>
      <c r="AW21" s="93">
        <v>-2202.2199999999998</v>
      </c>
      <c r="AX21" s="93">
        <v>-2315.3670000000002</v>
      </c>
      <c r="AY21" s="93">
        <v>-2182.2930000000001</v>
      </c>
      <c r="AZ21" s="95">
        <f>P21-AY21-AX21-AW21</f>
        <v>-1686.016000000001</v>
      </c>
      <c r="BA21" s="93">
        <v>-1456.078</v>
      </c>
      <c r="BB21" s="93">
        <v>-1925.271</v>
      </c>
      <c r="BC21" s="93">
        <v>-2085.9189999999999</v>
      </c>
      <c r="BD21" s="95">
        <f>Q21-BC21-BB21-BA21</f>
        <v>-1329.462</v>
      </c>
      <c r="BE21" s="93">
        <v>-1328.319</v>
      </c>
      <c r="BF21" s="93">
        <v>-1974.2639999999999</v>
      </c>
      <c r="BG21" s="93">
        <v>-2308.75</v>
      </c>
      <c r="BH21" s="95">
        <f t="shared" si="39"/>
        <v>-1585.5350000000008</v>
      </c>
      <c r="BI21" s="93">
        <v>-1643.848</v>
      </c>
      <c r="BJ21" s="93"/>
      <c r="BK21" s="93">
        <v>-1034.3879999999999</v>
      </c>
      <c r="BL21" s="93">
        <v>-467.09500000000003</v>
      </c>
      <c r="BM21" s="93">
        <v>-1655.673</v>
      </c>
      <c r="BN21" s="95">
        <f>H21-BM21-BL21-BK21</f>
        <v>-1739.4089999999997</v>
      </c>
      <c r="BO21" s="93">
        <v>-773.16300000000001</v>
      </c>
      <c r="BP21" s="93">
        <v>-1305.3979999999999</v>
      </c>
      <c r="BQ21" s="31"/>
      <c r="BR21" s="95">
        <f>J21-AG21-AH21-AI21</f>
        <v>-1547.6190000000004</v>
      </c>
      <c r="BS21" s="93">
        <v>-31.315999999999999</v>
      </c>
      <c r="BT21" s="93">
        <v>-2081.6170000000002</v>
      </c>
      <c r="BU21" s="93">
        <v>-2024.9090000000001</v>
      </c>
      <c r="BV21" s="95">
        <f>K21-BS21-BT21-BU21</f>
        <v>-2055.1150000000002</v>
      </c>
      <c r="BW21" s="95"/>
      <c r="BX21" s="93">
        <v>-2619.0509999999999</v>
      </c>
      <c r="BY21" s="93">
        <v>-1638.8520000000001</v>
      </c>
      <c r="BZ21" s="93">
        <v>-2127.884</v>
      </c>
      <c r="CA21" s="95">
        <f>M21-BX21-BY21-BZ21</f>
        <v>-2340.5440000000008</v>
      </c>
      <c r="CB21" s="93">
        <v>-2446.4769999999999</v>
      </c>
      <c r="CC21" s="93">
        <v>-2944.1860000000001</v>
      </c>
      <c r="CD21" s="93">
        <v>-2728.8229999999999</v>
      </c>
      <c r="CE21" s="95">
        <f>O21-CB21-CC21-CD21</f>
        <v>-6261.8210000000017</v>
      </c>
      <c r="CF21" s="93">
        <v>-2201.9189999999999</v>
      </c>
      <c r="CG21" s="93">
        <v>-2315.431</v>
      </c>
      <c r="CH21" s="93">
        <v>-2182.375</v>
      </c>
      <c r="CI21" s="95">
        <f>P21-CF21-CG21-CH21</f>
        <v>-1686.1710000000007</v>
      </c>
    </row>
    <row r="22" spans="2:87" s="5" customFormat="1" ht="13.5" customHeight="1">
      <c r="B22" s="5" t="s">
        <v>304</v>
      </c>
      <c r="C22" s="94">
        <f t="shared" ref="C22:G22" si="77">SUM(C20,C21)</f>
        <v>4031.335999999988</v>
      </c>
      <c r="D22" s="94">
        <f t="shared" si="77"/>
        <v>5915.2599999999875</v>
      </c>
      <c r="E22" s="94">
        <f t="shared" si="77"/>
        <v>6768.3030000000163</v>
      </c>
      <c r="F22" s="94">
        <f t="shared" si="77"/>
        <v>5669.4380000000183</v>
      </c>
      <c r="G22" s="94">
        <f t="shared" si="77"/>
        <v>6810.617000000012</v>
      </c>
      <c r="H22" s="94">
        <f t="shared" ref="H22:N22" si="78">SUM(H20,H21)</f>
        <v>6810.6169999999829</v>
      </c>
      <c r="I22" s="94">
        <f t="shared" si="78"/>
        <v>7375.4119999999493</v>
      </c>
      <c r="J22" s="94">
        <f t="shared" si="78"/>
        <v>7375.4119999999493</v>
      </c>
      <c r="K22" s="94">
        <f t="shared" si="78"/>
        <v>10550.721</v>
      </c>
      <c r="L22" s="94">
        <f t="shared" si="78"/>
        <v>17382.527000000016</v>
      </c>
      <c r="M22" s="94">
        <f t="shared" si="78"/>
        <v>16128.477000000012</v>
      </c>
      <c r="N22" s="94">
        <f t="shared" si="78"/>
        <v>31497.024999999987</v>
      </c>
      <c r="O22" s="94">
        <f t="shared" ref="O22" si="79">SUM(O20,O21)</f>
        <v>31497.024999999987</v>
      </c>
      <c r="P22" s="94">
        <f>SUM(P20,P21)</f>
        <v>16938.450999999986</v>
      </c>
      <c r="Q22" s="94">
        <f>SUM(Q20,Q21)</f>
        <v>14237.608999999979</v>
      </c>
      <c r="R22" s="94">
        <f>SUM(R20,R21)</f>
        <v>12945.942000000005</v>
      </c>
      <c r="S22" s="94">
        <f t="shared" ref="S22" si="80">SUM(S20,S21)</f>
        <v>13531.062000000024</v>
      </c>
      <c r="U22" s="94">
        <f t="shared" ref="U22:AB22" si="81">SUM(U20,U21)</f>
        <v>1640.4150000000018</v>
      </c>
      <c r="V22" s="94">
        <f t="shared" si="81"/>
        <v>2061.5279999999943</v>
      </c>
      <c r="W22" s="94">
        <f t="shared" si="81"/>
        <v>2770.293999999999</v>
      </c>
      <c r="X22" s="94">
        <f t="shared" si="81"/>
        <v>296.0660000000139</v>
      </c>
      <c r="Y22" s="94">
        <f t="shared" si="81"/>
        <v>1242.2889999999927</v>
      </c>
      <c r="Z22" s="94">
        <f t="shared" si="81"/>
        <v>1723.9820000000052</v>
      </c>
      <c r="AA22" s="94">
        <f t="shared" si="81"/>
        <v>1961.3360000000005</v>
      </c>
      <c r="AB22" s="94">
        <f t="shared" si="81"/>
        <v>741.83100000002196</v>
      </c>
      <c r="AC22" s="94">
        <f t="shared" ref="AC22:AH22" si="82">SUM(AC20,AC21)</f>
        <v>1534.9999999999973</v>
      </c>
      <c r="AD22" s="94">
        <f t="shared" si="82"/>
        <v>461.19099999999605</v>
      </c>
      <c r="AE22" s="94">
        <f t="shared" si="82"/>
        <v>2063.2129999999952</v>
      </c>
      <c r="AF22" s="94">
        <f t="shared" si="82"/>
        <v>2751.2130000000056</v>
      </c>
      <c r="AG22" s="94">
        <f t="shared" si="82"/>
        <v>1585.2729999999983</v>
      </c>
      <c r="AH22" s="94">
        <f t="shared" si="82"/>
        <v>1477.582000000004</v>
      </c>
      <c r="AI22" s="94">
        <f t="shared" ref="AI22:AN22" si="83">SUM(AI20,AI21)</f>
        <v>2182.4440000000059</v>
      </c>
      <c r="AJ22" s="94">
        <f t="shared" si="83"/>
        <v>2130.1129999999757</v>
      </c>
      <c r="AK22" s="94">
        <f t="shared" si="83"/>
        <v>292.87400000000918</v>
      </c>
      <c r="AL22" s="94">
        <f t="shared" si="83"/>
        <v>2869.137000000007</v>
      </c>
      <c r="AM22" s="253">
        <f t="shared" si="83"/>
        <v>3870.6240000000003</v>
      </c>
      <c r="AN22" s="94">
        <f t="shared" si="83"/>
        <v>3518.0860000000002</v>
      </c>
      <c r="AO22" s="94">
        <f>SUM(AO20,AO21)</f>
        <v>4365.0859999999993</v>
      </c>
      <c r="AP22" s="94">
        <f>SUM(AP20,AP21)</f>
        <v>3355.9189999999926</v>
      </c>
      <c r="AQ22" s="94">
        <f>SUM(AQ20,AQ21)</f>
        <v>4345.2919999999913</v>
      </c>
      <c r="AR22" s="94">
        <f t="shared" ref="AR22" si="84">SUM(AR20,AR21)</f>
        <v>4062.180000000038</v>
      </c>
      <c r="AS22" s="94">
        <f>SUM(AS20,AS21)</f>
        <v>4842.1190000000079</v>
      </c>
      <c r="AT22" s="94">
        <f>SUM(AT20,AT21)</f>
        <v>6082.2549999999919</v>
      </c>
      <c r="AU22" s="94">
        <f>SUM(AU20,AU21)</f>
        <v>6026.2419999999947</v>
      </c>
      <c r="AV22" s="94">
        <f t="shared" ref="AV22" si="85">SUM(AV20,AV21)</f>
        <v>14546.408999999985</v>
      </c>
      <c r="AW22" s="94">
        <f>SUM(AW20,AW21)</f>
        <v>4471.1729999999952</v>
      </c>
      <c r="AX22" s="94">
        <f>SUM(AX20,AX21)</f>
        <v>4296.3160000000116</v>
      </c>
      <c r="AY22" s="94">
        <f>SUM(AY20,AY21)</f>
        <v>4529.2709999999988</v>
      </c>
      <c r="AZ22" s="94">
        <f t="shared" ref="AZ22" si="86">SUM(AZ20,AZ21)</f>
        <v>3641.6909999999939</v>
      </c>
      <c r="BA22" s="94">
        <f>SUM(BA20,BA21)</f>
        <v>2757.3830000000039</v>
      </c>
      <c r="BB22" s="94">
        <f>SUM(BB20,BB21)</f>
        <v>3659.3830000000071</v>
      </c>
      <c r="BC22" s="94">
        <f>SUM(BC20,BC21)</f>
        <v>4110.2870000000021</v>
      </c>
      <c r="BD22" s="94">
        <f t="shared" ref="BD22" si="87">SUM(BD20,BD21)</f>
        <v>3710.55599999994</v>
      </c>
      <c r="BE22" s="94">
        <f>SUM(BE20,BE21)</f>
        <v>2213.8640000000082</v>
      </c>
      <c r="BF22" s="94">
        <f>SUM(BF20,BF21)</f>
        <v>3267.054999999993</v>
      </c>
      <c r="BG22" s="94">
        <f>SUM(BG20,BG21)</f>
        <v>3830.3280000000004</v>
      </c>
      <c r="BH22" s="94">
        <f>SUM(BH20,BH21)</f>
        <v>3634.6950000000134</v>
      </c>
      <c r="BI22" s="94">
        <f>SUM(BI20,BI21)</f>
        <v>2798.9840000000095</v>
      </c>
      <c r="BJ22" s="94"/>
      <c r="BK22" s="94">
        <f t="shared" ref="BK22:BP22" si="88">SUM(BK20,BK21)</f>
        <v>1563.072999999998</v>
      </c>
      <c r="BL22" s="94">
        <f t="shared" si="88"/>
        <v>461.17900000000816</v>
      </c>
      <c r="BM22" s="94">
        <f t="shared" si="88"/>
        <v>2063.2129999999952</v>
      </c>
      <c r="BN22" s="94">
        <f t="shared" si="88"/>
        <v>2723.152000000001</v>
      </c>
      <c r="BO22" s="94">
        <f t="shared" si="88"/>
        <v>1502.3400000000033</v>
      </c>
      <c r="BP22" s="253">
        <f t="shared" si="88"/>
        <v>2172.6279999999906</v>
      </c>
      <c r="BQ22" s="41"/>
      <c r="BR22" s="94" t="e">
        <f t="shared" ref="BR22:BY22" si="89">SUM(BR20,BR21)</f>
        <v>#REF!</v>
      </c>
      <c r="BS22" s="94">
        <f t="shared" si="89"/>
        <v>315.48299999999909</v>
      </c>
      <c r="BT22" s="94">
        <f t="shared" si="89"/>
        <v>2884.0700000000006</v>
      </c>
      <c r="BU22" s="94">
        <f t="shared" si="89"/>
        <v>3887.1480000000097</v>
      </c>
      <c r="BV22" s="94">
        <f t="shared" si="89"/>
        <v>3464.0199999999681</v>
      </c>
      <c r="BW22" s="94"/>
      <c r="BX22" s="94">
        <f t="shared" si="89"/>
        <v>4335.4649999999947</v>
      </c>
      <c r="BY22" s="94">
        <f t="shared" si="89"/>
        <v>3000.3989999999894</v>
      </c>
      <c r="BZ22" s="94">
        <f t="shared" ref="BZ22:CC22" si="90">SUM(BZ20,BZ21)</f>
        <v>4039.1259999999984</v>
      </c>
      <c r="CA22" s="94">
        <f t="shared" si="90"/>
        <v>4753.4870000000155</v>
      </c>
      <c r="CB22" s="94">
        <f t="shared" si="90"/>
        <v>4382.6389999999983</v>
      </c>
      <c r="CC22" s="94">
        <f t="shared" si="90"/>
        <v>6083.1870000000017</v>
      </c>
      <c r="CD22" s="94">
        <f t="shared" ref="CD22:CE22" si="91">SUM(CD20,CD21)</f>
        <v>6027.5940000000101</v>
      </c>
      <c r="CE22" s="94">
        <f t="shared" si="91"/>
        <v>15003.60499999998</v>
      </c>
      <c r="CF22" s="94">
        <f>SUM(CF20,CF21)</f>
        <v>4498.7289999999948</v>
      </c>
      <c r="CG22" s="94">
        <f t="shared" ref="CG22:CI22" si="92">SUM(CG20,CG21)</f>
        <v>4308.9110000000055</v>
      </c>
      <c r="CH22" s="94">
        <f t="shared" si="92"/>
        <v>4523.9680000000108</v>
      </c>
      <c r="CI22" s="94">
        <f t="shared" si="92"/>
        <v>3606.8429999999794</v>
      </c>
    </row>
    <row r="23" spans="2:87" ht="13.5" customHeight="1">
      <c r="B23" s="123" t="s">
        <v>305</v>
      </c>
      <c r="C23" s="93">
        <v>0</v>
      </c>
      <c r="D23" s="93">
        <v>0</v>
      </c>
      <c r="E23" s="93">
        <v>0</v>
      </c>
      <c r="F23" s="93">
        <v>0</v>
      </c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264">
        <v>0</v>
      </c>
      <c r="M23" s="264">
        <v>1254.05</v>
      </c>
      <c r="N23" s="264">
        <v>16987.636999999999</v>
      </c>
      <c r="O23" s="93">
        <v>16987.636999999999</v>
      </c>
      <c r="P23" s="93">
        <v>-16.003</v>
      </c>
      <c r="Q23" s="93">
        <v>-194.37700000000001</v>
      </c>
      <c r="R23" s="93">
        <v>0</v>
      </c>
      <c r="S23" s="95">
        <f>SUM(BF23:BI23)</f>
        <v>0</v>
      </c>
      <c r="U23" s="93">
        <v>0</v>
      </c>
      <c r="V23" s="93">
        <v>0</v>
      </c>
      <c r="W23" s="93">
        <v>0</v>
      </c>
      <c r="X23" s="95">
        <f>E23-SUM(U23:W23)</f>
        <v>0</v>
      </c>
      <c r="Y23" s="93">
        <v>0</v>
      </c>
      <c r="Z23" s="93">
        <v>0</v>
      </c>
      <c r="AA23" s="93">
        <v>0</v>
      </c>
      <c r="AB23" s="95">
        <f>F23-SUM(Y23:AA23)</f>
        <v>0</v>
      </c>
      <c r="AC23" s="93">
        <v>0</v>
      </c>
      <c r="AD23" s="93">
        <v>0</v>
      </c>
      <c r="AE23" s="93">
        <v>0</v>
      </c>
      <c r="AF23" s="95">
        <f>G23-AE23-AD23-AC23</f>
        <v>0</v>
      </c>
      <c r="AG23" s="93">
        <v>0</v>
      </c>
      <c r="AH23" s="93">
        <v>0</v>
      </c>
      <c r="AI23" s="93">
        <v>0</v>
      </c>
      <c r="AJ23" s="95">
        <f>I23-AI23-AH23-AG23</f>
        <v>0</v>
      </c>
      <c r="AK23" s="93">
        <v>0</v>
      </c>
      <c r="AL23" s="93">
        <v>0</v>
      </c>
      <c r="AM23" s="93">
        <v>0</v>
      </c>
      <c r="AN23" s="95">
        <f>K23-AM23-AL23-AK23</f>
        <v>0</v>
      </c>
      <c r="AO23" s="93">
        <v>0</v>
      </c>
      <c r="AP23" s="93">
        <v>0</v>
      </c>
      <c r="AQ23" s="93">
        <v>0</v>
      </c>
      <c r="AR23" s="95">
        <f>M23-AQ23-AP23-AO23</f>
        <v>1254.05</v>
      </c>
      <c r="AS23" s="93">
        <v>0</v>
      </c>
      <c r="AT23" s="93">
        <v>434.20100000000002</v>
      </c>
      <c r="AU23" s="93">
        <v>442.613</v>
      </c>
      <c r="AV23" s="95">
        <f>N23-AU23-AT23-AS23</f>
        <v>16110.822999999997</v>
      </c>
      <c r="AW23" s="93">
        <v>-28.001999999999999</v>
      </c>
      <c r="AX23" s="93">
        <v>12.999000000000001</v>
      </c>
      <c r="AY23" s="93">
        <v>0</v>
      </c>
      <c r="AZ23" s="95">
        <f>P23-AY23-AX23-AW23</f>
        <v>-1.0000000000000036</v>
      </c>
      <c r="BA23" s="93">
        <v>0</v>
      </c>
      <c r="BB23" s="93">
        <v>0</v>
      </c>
      <c r="BC23" s="93">
        <v>0</v>
      </c>
      <c r="BD23" s="95">
        <f>Q23-BC23-BB23-BA23</f>
        <v>-194.37700000000001</v>
      </c>
      <c r="BE23" s="93">
        <v>0</v>
      </c>
      <c r="BF23" s="93">
        <v>0</v>
      </c>
      <c r="BG23" s="93">
        <v>0</v>
      </c>
      <c r="BH23" s="95">
        <f t="shared" si="39"/>
        <v>0</v>
      </c>
      <c r="BI23" s="93">
        <v>0</v>
      </c>
      <c r="BJ23" s="93"/>
      <c r="BK23" s="93">
        <v>0</v>
      </c>
      <c r="BL23" s="93">
        <v>0</v>
      </c>
      <c r="BM23" s="93">
        <v>0</v>
      </c>
      <c r="BN23" s="95">
        <f>H23-BM23-BL23-BK23</f>
        <v>0</v>
      </c>
      <c r="BO23" s="93">
        <v>0</v>
      </c>
      <c r="BP23" s="93">
        <v>0</v>
      </c>
      <c r="BQ23" s="31"/>
      <c r="BR23" s="95">
        <f>J23-AG23-AH23-AI23</f>
        <v>0</v>
      </c>
      <c r="BS23" s="93">
        <v>0</v>
      </c>
      <c r="BT23" s="93">
        <v>0</v>
      </c>
      <c r="BU23" s="93">
        <v>0</v>
      </c>
      <c r="BV23" s="95">
        <f>K23-BS23-BT23-BU23</f>
        <v>0</v>
      </c>
      <c r="BW23" s="95"/>
      <c r="BX23" s="93">
        <v>0</v>
      </c>
      <c r="BY23" s="93">
        <v>318.97899999999998</v>
      </c>
      <c r="BZ23" s="93">
        <v>296.18099999999998</v>
      </c>
      <c r="CA23" s="95">
        <f>M23-BX23-BY23-BZ23</f>
        <v>638.88999999999987</v>
      </c>
      <c r="CB23" s="93">
        <v>458.11700000000002</v>
      </c>
      <c r="CC23" s="93">
        <v>434.20100000000002</v>
      </c>
      <c r="CD23" s="93">
        <v>442.613</v>
      </c>
      <c r="CE23" s="95">
        <f>O23-CB23-CC23-CD23</f>
        <v>15652.706</v>
      </c>
      <c r="CF23" s="93">
        <v>-28.001999999999999</v>
      </c>
      <c r="CG23" s="93">
        <v>11.999000000000001</v>
      </c>
      <c r="CH23" s="93">
        <v>0</v>
      </c>
      <c r="CI23" s="95">
        <f>P23-CF23-CG23-CH23</f>
        <v>-1.7763568394002505E-15</v>
      </c>
    </row>
    <row r="24" spans="2:87" s="5" customFormat="1" ht="13.5" customHeight="1">
      <c r="B24" s="5" t="s">
        <v>306</v>
      </c>
      <c r="C24" s="94">
        <f t="shared" ref="C24:G24" si="93">SUM(C22,C23)</f>
        <v>4031.335999999988</v>
      </c>
      <c r="D24" s="94">
        <f t="shared" si="93"/>
        <v>5915.2599999999875</v>
      </c>
      <c r="E24" s="94">
        <f t="shared" si="93"/>
        <v>6768.3030000000163</v>
      </c>
      <c r="F24" s="94">
        <f t="shared" si="93"/>
        <v>5669.4380000000183</v>
      </c>
      <c r="G24" s="94">
        <f t="shared" si="93"/>
        <v>6810.617000000012</v>
      </c>
      <c r="H24" s="94">
        <f t="shared" ref="H24:N24" si="94">SUM(H22,H23)</f>
        <v>6810.6169999999829</v>
      </c>
      <c r="I24" s="94">
        <f t="shared" si="94"/>
        <v>7375.4119999999493</v>
      </c>
      <c r="J24" s="94">
        <f t="shared" si="94"/>
        <v>7375.4119999999493</v>
      </c>
      <c r="K24" s="94">
        <f t="shared" si="94"/>
        <v>10550.721</v>
      </c>
      <c r="L24" s="94">
        <f t="shared" si="94"/>
        <v>17382.527000000016</v>
      </c>
      <c r="M24" s="94">
        <f t="shared" si="94"/>
        <v>17382.527000000013</v>
      </c>
      <c r="N24" s="94">
        <f t="shared" si="94"/>
        <v>48484.661999999982</v>
      </c>
      <c r="O24" s="94">
        <f t="shared" ref="O24" si="95">SUM(O22,O23)</f>
        <v>48484.661999999982</v>
      </c>
      <c r="P24" s="94">
        <f>SUM(P22,P23)</f>
        <v>16922.447999999986</v>
      </c>
      <c r="Q24" s="94">
        <f>SUM(Q22,Q23)</f>
        <v>14043.231999999978</v>
      </c>
      <c r="R24" s="94">
        <f>SUM(R22,R23)</f>
        <v>12945.942000000005</v>
      </c>
      <c r="S24" s="94">
        <f t="shared" ref="S24" si="96">SUM(S22,S23)</f>
        <v>13531.062000000024</v>
      </c>
      <c r="U24" s="94">
        <f t="shared" ref="U24:AB24" si="97">SUM(U22,U23)</f>
        <v>1640.4150000000018</v>
      </c>
      <c r="V24" s="94">
        <f t="shared" si="97"/>
        <v>2061.5279999999943</v>
      </c>
      <c r="W24" s="94">
        <f t="shared" si="97"/>
        <v>2770.293999999999</v>
      </c>
      <c r="X24" s="94">
        <f t="shared" si="97"/>
        <v>296.0660000000139</v>
      </c>
      <c r="Y24" s="94">
        <f t="shared" si="97"/>
        <v>1242.2889999999927</v>
      </c>
      <c r="Z24" s="94">
        <f t="shared" si="97"/>
        <v>1723.9820000000052</v>
      </c>
      <c r="AA24" s="94">
        <f t="shared" si="97"/>
        <v>1961.3360000000005</v>
      </c>
      <c r="AB24" s="94">
        <f t="shared" si="97"/>
        <v>741.83100000002196</v>
      </c>
      <c r="AC24" s="94">
        <f t="shared" ref="AC24:AH24" si="98">SUM(AC22,AC23)</f>
        <v>1534.9999999999973</v>
      </c>
      <c r="AD24" s="94">
        <f t="shared" si="98"/>
        <v>461.19099999999605</v>
      </c>
      <c r="AE24" s="94">
        <f t="shared" si="98"/>
        <v>2063.2129999999952</v>
      </c>
      <c r="AF24" s="94">
        <f t="shared" si="98"/>
        <v>2751.2130000000056</v>
      </c>
      <c r="AG24" s="94">
        <f t="shared" si="98"/>
        <v>1585.2729999999983</v>
      </c>
      <c r="AH24" s="94">
        <f t="shared" si="98"/>
        <v>1477.582000000004</v>
      </c>
      <c r="AI24" s="94">
        <f t="shared" ref="AI24:AN24" si="99">SUM(AI22,AI23)</f>
        <v>2182.4440000000059</v>
      </c>
      <c r="AJ24" s="94">
        <f t="shared" si="99"/>
        <v>2130.1129999999757</v>
      </c>
      <c r="AK24" s="94">
        <f t="shared" si="99"/>
        <v>292.87400000000918</v>
      </c>
      <c r="AL24" s="94">
        <f t="shared" si="99"/>
        <v>2869.137000000007</v>
      </c>
      <c r="AM24" s="94">
        <f t="shared" si="99"/>
        <v>3870.6240000000003</v>
      </c>
      <c r="AN24" s="94">
        <f t="shared" si="99"/>
        <v>3518.0860000000002</v>
      </c>
      <c r="AO24" s="94">
        <f>SUM(AO22,AO23)</f>
        <v>4365.0859999999993</v>
      </c>
      <c r="AP24" s="94">
        <f>SUM(AP22,AP23)</f>
        <v>3355.9189999999926</v>
      </c>
      <c r="AQ24" s="94">
        <f>SUM(AQ22,AQ23)</f>
        <v>4345.2919999999913</v>
      </c>
      <c r="AR24" s="94">
        <f t="shared" ref="AR24" si="100">SUM(AR22,AR23)</f>
        <v>5316.2300000000378</v>
      </c>
      <c r="AS24" s="94">
        <f>SUM(AS22,AS23)</f>
        <v>4842.1190000000079</v>
      </c>
      <c r="AT24" s="94">
        <f>SUM(AT22,AT23)</f>
        <v>6516.4559999999919</v>
      </c>
      <c r="AU24" s="94">
        <f>SUM(AU22,AU23)</f>
        <v>6468.854999999995</v>
      </c>
      <c r="AV24" s="94">
        <f t="shared" ref="AV24" si="101">SUM(AV22,AV23)</f>
        <v>30657.231999999982</v>
      </c>
      <c r="AW24" s="94">
        <f>SUM(AW22,AW23)</f>
        <v>4443.1709999999948</v>
      </c>
      <c r="AX24" s="94">
        <f>SUM(AX22,AX23)</f>
        <v>4309.3150000000114</v>
      </c>
      <c r="AY24" s="94">
        <f>SUM(AY22,AY23)</f>
        <v>4529.2709999999988</v>
      </c>
      <c r="AZ24" s="94">
        <f t="shared" ref="AZ24" si="102">SUM(AZ22,AZ23)</f>
        <v>3640.6909999999939</v>
      </c>
      <c r="BA24" s="94">
        <f>SUM(BA22,BA23)</f>
        <v>2757.3830000000039</v>
      </c>
      <c r="BB24" s="94">
        <f>SUM(BB22,BB23)</f>
        <v>3659.3830000000071</v>
      </c>
      <c r="BC24" s="94">
        <f>SUM(BC22,BC23)</f>
        <v>4110.2870000000021</v>
      </c>
      <c r="BD24" s="94">
        <f t="shared" ref="BD24" si="103">SUM(BD22,BD23)</f>
        <v>3516.1789999999401</v>
      </c>
      <c r="BE24" s="94">
        <f>SUM(BE22,BE23)</f>
        <v>2213.8640000000082</v>
      </c>
      <c r="BF24" s="94">
        <f>SUM(BF22,BF23)</f>
        <v>3267.054999999993</v>
      </c>
      <c r="BG24" s="94">
        <f>SUM(BG22,BG23)</f>
        <v>3830.3280000000004</v>
      </c>
      <c r="BH24" s="94">
        <f>SUM(BH22,BH23)</f>
        <v>3634.6950000000134</v>
      </c>
      <c r="BI24" s="94">
        <f>SUM(BI22,BI23)</f>
        <v>2798.9840000000095</v>
      </c>
      <c r="BJ24" s="94"/>
      <c r="BK24" s="94">
        <f t="shared" ref="BK24:BP24" si="104">SUM(BK22,BK23)</f>
        <v>1563.072999999998</v>
      </c>
      <c r="BL24" s="94">
        <f t="shared" si="104"/>
        <v>461.17900000000816</v>
      </c>
      <c r="BM24" s="94">
        <f t="shared" si="104"/>
        <v>2063.2129999999952</v>
      </c>
      <c r="BN24" s="94">
        <f t="shared" si="104"/>
        <v>2723.152000000001</v>
      </c>
      <c r="BO24" s="94">
        <f t="shared" si="104"/>
        <v>1502.3400000000033</v>
      </c>
      <c r="BP24" s="94">
        <f t="shared" si="104"/>
        <v>2172.6279999999906</v>
      </c>
      <c r="BQ24" s="41"/>
      <c r="BR24" s="94" t="e">
        <f t="shared" ref="BR24:BY24" si="105">SUM(BR22,BR23)</f>
        <v>#REF!</v>
      </c>
      <c r="BS24" s="94">
        <f t="shared" si="105"/>
        <v>315.48299999999909</v>
      </c>
      <c r="BT24" s="94">
        <f t="shared" si="105"/>
        <v>2884.0700000000006</v>
      </c>
      <c r="BU24" s="94">
        <f t="shared" si="105"/>
        <v>3887.1480000000097</v>
      </c>
      <c r="BV24" s="94">
        <f t="shared" si="105"/>
        <v>3464.0199999999681</v>
      </c>
      <c r="BW24" s="94"/>
      <c r="BX24" s="94">
        <f t="shared" si="105"/>
        <v>4335.4649999999947</v>
      </c>
      <c r="BY24" s="94">
        <f t="shared" si="105"/>
        <v>3319.3779999999892</v>
      </c>
      <c r="BZ24" s="94">
        <f t="shared" ref="BZ24:CB24" si="106">SUM(BZ22,BZ23)</f>
        <v>4335.306999999998</v>
      </c>
      <c r="CA24" s="94">
        <f t="shared" si="106"/>
        <v>5392.377000000015</v>
      </c>
      <c r="CB24" s="94">
        <f t="shared" si="106"/>
        <v>4840.7559999999985</v>
      </c>
      <c r="CC24" s="94">
        <f>SUM(CC22,CC23)</f>
        <v>6517.3880000000017</v>
      </c>
      <c r="CD24" s="94">
        <f t="shared" ref="CD24:CE24" si="107">SUM(CD22,CD23)</f>
        <v>6470.2070000000103</v>
      </c>
      <c r="CE24" s="94">
        <f t="shared" si="107"/>
        <v>30656.31099999998</v>
      </c>
      <c r="CF24" s="94">
        <f>SUM(CF22,CF23)</f>
        <v>4470.7269999999944</v>
      </c>
      <c r="CG24" s="94">
        <f>SUM(CG22,CG23)</f>
        <v>4320.9100000000053</v>
      </c>
      <c r="CH24" s="94">
        <f t="shared" ref="CH24:CI24" si="108">SUM(CH22,CH23)</f>
        <v>4523.9680000000108</v>
      </c>
      <c r="CI24" s="94">
        <f t="shared" si="108"/>
        <v>3606.8429999999794</v>
      </c>
    </row>
    <row r="25" spans="2:87" ht="13.5" customHeight="1">
      <c r="B25" s="123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U25" s="124"/>
      <c r="Y25" s="124"/>
      <c r="Z25" s="124"/>
      <c r="AD25" s="124"/>
      <c r="AK25" s="93"/>
      <c r="AL25" s="93"/>
      <c r="AO25" s="93"/>
      <c r="AP25" s="93"/>
      <c r="AQ25" s="93"/>
      <c r="AS25" s="93"/>
      <c r="AT25" s="93"/>
      <c r="AU25" s="93"/>
      <c r="AW25" s="93"/>
      <c r="AX25" s="93"/>
      <c r="AY25" s="93"/>
      <c r="BA25" s="93"/>
      <c r="BB25" s="93"/>
      <c r="BC25" s="93"/>
      <c r="BE25" s="93"/>
      <c r="BF25" s="93"/>
      <c r="BG25" s="93"/>
      <c r="BH25" s="93"/>
      <c r="BI25" s="93"/>
      <c r="BJ25" s="93"/>
      <c r="BO25" s="93"/>
      <c r="BQ25" s="138"/>
      <c r="BS25" s="93"/>
      <c r="BT25" s="93"/>
      <c r="BU25" s="93"/>
      <c r="BX25" s="93"/>
      <c r="BY25" s="93"/>
      <c r="BZ25" s="93"/>
      <c r="CB25" s="93"/>
      <c r="CC25" s="93"/>
      <c r="CD25" s="93"/>
      <c r="CF25" s="93"/>
      <c r="CG25" s="93"/>
      <c r="CH25" s="93"/>
    </row>
    <row r="26" spans="2:87" s="5" customFormat="1" ht="13.5" customHeight="1">
      <c r="B26" s="7"/>
      <c r="C26" s="4"/>
      <c r="D26" s="4"/>
      <c r="E26" s="4"/>
      <c r="F26" s="4"/>
      <c r="G26" s="4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4"/>
      <c r="U26" s="4"/>
      <c r="Y26" s="4"/>
      <c r="Z26" s="4"/>
      <c r="AD26" s="4"/>
      <c r="AW26" s="85"/>
      <c r="BB26" s="85"/>
      <c r="BF26" s="85"/>
      <c r="BQ26" s="20"/>
      <c r="CF26" s="85"/>
    </row>
    <row r="27" spans="2:87" s="5" customFormat="1" ht="13.5" customHeight="1">
      <c r="B27" s="381" t="s">
        <v>307</v>
      </c>
      <c r="C27" s="281"/>
      <c r="D27" s="281"/>
      <c r="E27" s="281"/>
      <c r="F27" s="281"/>
      <c r="G27" s="281"/>
      <c r="H27" s="281"/>
      <c r="I27" s="281"/>
      <c r="J27" s="281"/>
      <c r="K27" s="281"/>
      <c r="L27" s="281"/>
      <c r="M27" s="281"/>
      <c r="N27" s="281"/>
      <c r="O27" s="281"/>
      <c r="P27" s="281"/>
      <c r="Q27" s="281"/>
      <c r="R27" s="281"/>
      <c r="S27" s="281"/>
      <c r="U27" s="281"/>
      <c r="V27" s="281"/>
      <c r="W27" s="281"/>
      <c r="X27" s="281"/>
      <c r="Y27" s="281"/>
      <c r="Z27" s="281"/>
      <c r="AA27" s="282"/>
      <c r="AB27" s="281"/>
      <c r="AC27" s="282"/>
      <c r="AD27" s="281"/>
      <c r="AE27" s="282"/>
      <c r="AF27" s="281"/>
      <c r="AG27" s="282"/>
      <c r="AH27" s="282"/>
      <c r="AI27" s="282"/>
      <c r="AJ27" s="282"/>
      <c r="AK27" s="282"/>
      <c r="AL27" s="282"/>
      <c r="AM27" s="282"/>
      <c r="AN27" s="282"/>
      <c r="AO27" s="282"/>
      <c r="AP27" s="282"/>
      <c r="AQ27" s="282"/>
      <c r="AR27" s="282"/>
      <c r="AS27" s="282"/>
      <c r="AT27" s="282"/>
      <c r="AU27" s="282"/>
      <c r="AV27" s="282"/>
      <c r="AW27" s="282"/>
      <c r="AX27" s="282"/>
      <c r="AY27" s="282"/>
      <c r="AZ27" s="282"/>
      <c r="BA27" s="282"/>
      <c r="BB27" s="282"/>
      <c r="BC27" s="282"/>
      <c r="BD27" s="282"/>
      <c r="BE27" s="282"/>
      <c r="BF27" s="282"/>
      <c r="BG27" s="282"/>
      <c r="BH27" s="282"/>
      <c r="BI27" s="282"/>
      <c r="BK27" s="39"/>
      <c r="BL27" s="39"/>
      <c r="BM27" s="39"/>
      <c r="BN27" s="39"/>
      <c r="BO27" s="40"/>
      <c r="BP27" s="40"/>
      <c r="BQ27" s="48"/>
      <c r="BR27" s="39"/>
      <c r="BS27" s="40"/>
      <c r="BT27" s="40"/>
      <c r="BU27" s="40"/>
      <c r="BV27" s="39"/>
      <c r="BW27" s="39"/>
      <c r="BX27" s="40"/>
      <c r="BY27" s="40"/>
      <c r="BZ27" s="40"/>
      <c r="CA27" s="39"/>
      <c r="CB27" s="40"/>
      <c r="CC27" s="40"/>
      <c r="CD27" s="40"/>
      <c r="CE27" s="39"/>
      <c r="CF27" s="40"/>
      <c r="CG27" s="40"/>
      <c r="CH27" s="40"/>
      <c r="CI27" s="39"/>
    </row>
    <row r="28" spans="2:87" ht="13.5" customHeight="1">
      <c r="B28" s="130" t="str">
        <f>B9</f>
        <v>COGS</v>
      </c>
      <c r="C28" s="125">
        <f t="shared" ref="C28:G28" si="109">-C9/C7</f>
        <v>0.47204928665806128</v>
      </c>
      <c r="D28" s="125">
        <f t="shared" si="109"/>
        <v>0.46727982837068749</v>
      </c>
      <c r="E28" s="125">
        <f t="shared" si="109"/>
        <v>0.46005401501326576</v>
      </c>
      <c r="F28" s="125">
        <f t="shared" si="109"/>
        <v>0.46637673445385314</v>
      </c>
      <c r="G28" s="125">
        <f t="shared" si="109"/>
        <v>0.47063200736969391</v>
      </c>
      <c r="H28" s="125">
        <f t="shared" ref="H28:N28" si="110">-H9/H7</f>
        <v>0.46892486959210627</v>
      </c>
      <c r="I28" s="125">
        <f t="shared" si="110"/>
        <v>0.47335218097509663</v>
      </c>
      <c r="J28" s="125">
        <f t="shared" si="110"/>
        <v>0.47335218097509663</v>
      </c>
      <c r="K28" s="125">
        <f t="shared" si="110"/>
        <v>0.46098108371940605</v>
      </c>
      <c r="L28" s="125">
        <f t="shared" si="110"/>
        <v>0.46884714737796235</v>
      </c>
      <c r="M28" s="125">
        <f t="shared" ref="M28" si="111">-M9/M7</f>
        <v>0.46548528312652671</v>
      </c>
      <c r="N28" s="125">
        <f t="shared" si="110"/>
        <v>0.48488150148159315</v>
      </c>
      <c r="O28" s="125">
        <f t="shared" ref="O28" si="112">-O9/O7</f>
        <v>0.48488150148159315</v>
      </c>
      <c r="P28" s="125">
        <f>-P9/P7</f>
        <v>0.48606868917590845</v>
      </c>
      <c r="Q28" s="125">
        <f>-Q9/Q7</f>
        <v>0.4736470257543689</v>
      </c>
      <c r="R28" s="125">
        <f>-R9/R7</f>
        <v>0.47655194453918714</v>
      </c>
      <c r="S28" s="125">
        <f t="shared" ref="S28" si="113">-S9/S7</f>
        <v>0.47660745431932761</v>
      </c>
      <c r="T28" s="5"/>
      <c r="U28" s="126">
        <f t="shared" ref="U28:AA28" si="114">-U9/U7</f>
        <v>0.46319376578676658</v>
      </c>
      <c r="V28" s="126">
        <f t="shared" si="114"/>
        <v>0.45712795165268238</v>
      </c>
      <c r="W28" s="126">
        <f t="shared" si="114"/>
        <v>0.45866298801716027</v>
      </c>
      <c r="X28" s="126">
        <f t="shared" si="114"/>
        <v>0.46136167743686718</v>
      </c>
      <c r="Y28" s="126">
        <f t="shared" si="114"/>
        <v>0.46331038684355325</v>
      </c>
      <c r="Z28" s="126">
        <f t="shared" si="114"/>
        <v>0.45928781850042033</v>
      </c>
      <c r="AA28" s="126">
        <f t="shared" si="114"/>
        <v>0.47007736104956133</v>
      </c>
      <c r="AB28" s="126">
        <f t="shared" ref="AB28:AG28" si="115">-AB9/AB7</f>
        <v>0.47232944790713793</v>
      </c>
      <c r="AC28" s="126">
        <f t="shared" si="115"/>
        <v>0.47057979115476278</v>
      </c>
      <c r="AD28" s="126">
        <f t="shared" si="115"/>
        <v>0.46581890175841828</v>
      </c>
      <c r="AE28" s="126">
        <f t="shared" si="115"/>
        <v>0.47028310504907139</v>
      </c>
      <c r="AF28" s="126">
        <f t="shared" si="115"/>
        <v>0.47557680614224029</v>
      </c>
      <c r="AG28" s="126">
        <f t="shared" si="115"/>
        <v>0.47238839383921555</v>
      </c>
      <c r="AH28" s="126">
        <f t="shared" ref="AH28:AM28" si="116">-AH9/AH7</f>
        <v>0.47016979330230008</v>
      </c>
      <c r="AI28" s="126">
        <f t="shared" si="116"/>
        <v>0.472270556149335</v>
      </c>
      <c r="AJ28" s="126">
        <f t="shared" si="116"/>
        <v>0.47839194497733917</v>
      </c>
      <c r="AK28" s="126">
        <f t="shared" si="116"/>
        <v>0.46451305011698008</v>
      </c>
      <c r="AL28" s="126">
        <f t="shared" si="116"/>
        <v>0.45645934487226431</v>
      </c>
      <c r="AM28" s="126">
        <f t="shared" si="116"/>
        <v>0.46164986867416785</v>
      </c>
      <c r="AN28" s="126">
        <f>-AN9/AN7</f>
        <v>0.46181669049153368</v>
      </c>
      <c r="AO28" s="126">
        <f>-AO9/AO7</f>
        <v>0.46238633400827384</v>
      </c>
      <c r="AP28" s="126">
        <f>-AP9/AP7</f>
        <v>0.46258831891611507</v>
      </c>
      <c r="AQ28" s="126">
        <f t="shared" ref="AQ28" si="117">-AQ9/AQ7</f>
        <v>0.47019500811468784</v>
      </c>
      <c r="AR28" s="126">
        <f>-AR9/AR7</f>
        <v>0.46631392504775832</v>
      </c>
      <c r="AS28" s="126">
        <f>-AS9/AS7</f>
        <v>0.48326413142335645</v>
      </c>
      <c r="AT28" s="126">
        <f>-AT9/AT7</f>
        <v>0.48468462435332726</v>
      </c>
      <c r="AU28" s="126">
        <f t="shared" ref="AU28" si="118">-AU9/AU7</f>
        <v>0.48824625330255705</v>
      </c>
      <c r="AV28" s="126">
        <f>-AV9/AV7</f>
        <v>0.48322271115953852</v>
      </c>
      <c r="AW28" s="126">
        <f>-AW9/AW7</f>
        <v>0.48657692408399172</v>
      </c>
      <c r="AX28" s="126">
        <f>-AX9/AX7</f>
        <v>0.49052452369843996</v>
      </c>
      <c r="AY28" s="126">
        <f t="shared" ref="AY28" si="119">-AY9/AY7</f>
        <v>0.48366332634602255</v>
      </c>
      <c r="AZ28" s="126">
        <f>-AZ9/AZ7</f>
        <v>0.48349590074016624</v>
      </c>
      <c r="BA28" s="126">
        <f>-BA9/BA7</f>
        <v>0.47991810520323369</v>
      </c>
      <c r="BB28" s="126">
        <f>-BB9/BB7</f>
        <v>0.4768907704599657</v>
      </c>
      <c r="BC28" s="126">
        <f t="shared" ref="BC28" si="120">-BC9/BC7</f>
        <v>0.46918873855505228</v>
      </c>
      <c r="BD28" s="126">
        <f>-BD9/BD7</f>
        <v>0.46973412678808502</v>
      </c>
      <c r="BE28" s="126">
        <f>-BE9/BE7</f>
        <v>0.47493073018705767</v>
      </c>
      <c r="BF28" s="126">
        <f>-BF9/BF7</f>
        <v>0.47233496246399936</v>
      </c>
      <c r="BG28" s="126">
        <f t="shared" ref="BG28:BH28" si="121">-BG9/BG7</f>
        <v>0.4769078661490786</v>
      </c>
      <c r="BH28" s="126">
        <f t="shared" si="121"/>
        <v>0.4819374404822554</v>
      </c>
      <c r="BI28" s="126">
        <f>-BI9/BI7</f>
        <v>0.47511003576539923</v>
      </c>
      <c r="BJ28" s="99"/>
      <c r="BK28" s="126">
        <f t="shared" ref="BK28:BP28" si="122">-BK9/BK7</f>
        <v>0.4684788439331839</v>
      </c>
      <c r="BL28" s="126">
        <f t="shared" si="122"/>
        <v>0.46495984285247721</v>
      </c>
      <c r="BM28" s="126">
        <f t="shared" si="122"/>
        <v>0.46855741383279981</v>
      </c>
      <c r="BN28" s="126">
        <f t="shared" si="122"/>
        <v>0.47342470425186006</v>
      </c>
      <c r="BO28" s="126">
        <f t="shared" si="122"/>
        <v>0.46946381791908642</v>
      </c>
      <c r="BP28" s="126">
        <f t="shared" si="122"/>
        <v>0.47194201835335009</v>
      </c>
      <c r="BQ28" s="157"/>
      <c r="BR28" s="126">
        <f t="shared" ref="BR28:BX28" si="123">-BR9/BR7</f>
        <v>0.47839194497733917</v>
      </c>
      <c r="BS28" s="126">
        <f t="shared" si="123"/>
        <v>0.46411593440410837</v>
      </c>
      <c r="BT28" s="126">
        <f t="shared" si="123"/>
        <v>0.45616877474158629</v>
      </c>
      <c r="BU28" s="126">
        <f t="shared" si="123"/>
        <v>0.46142757878606749</v>
      </c>
      <c r="BV28" s="126">
        <f t="shared" si="123"/>
        <v>0.46268327902409062</v>
      </c>
      <c r="BW28" s="126"/>
      <c r="BX28" s="126">
        <f t="shared" si="123"/>
        <v>0.46276729813268364</v>
      </c>
      <c r="BY28" s="126">
        <f t="shared" ref="BY28:CB28" si="124">-BY9/BY7</f>
        <v>0.4606920754982991</v>
      </c>
      <c r="BZ28" s="126">
        <f t="shared" si="124"/>
        <v>0.46608852745703039</v>
      </c>
      <c r="CA28" s="126">
        <f t="shared" si="124"/>
        <v>0.4715075409860961</v>
      </c>
      <c r="CB28" s="126">
        <f t="shared" si="124"/>
        <v>0.48175730574058928</v>
      </c>
      <c r="CC28" s="126">
        <f t="shared" ref="CC28:CE28" si="125">-CC9/CC7</f>
        <v>0.48465263298275379</v>
      </c>
      <c r="CD28" s="126">
        <f t="shared" si="125"/>
        <v>0.48824181541300216</v>
      </c>
      <c r="CE28" s="126">
        <f t="shared" si="125"/>
        <v>0.48451299385885116</v>
      </c>
      <c r="CF28" s="126">
        <f>-CF9/CF7</f>
        <v>0.48897598182617752</v>
      </c>
      <c r="CG28" s="126">
        <f t="shared" ref="CG28:CI28" si="126">-CG9/CG7</f>
        <v>0.48933792815497029</v>
      </c>
      <c r="CH28" s="126">
        <f t="shared" si="126"/>
        <v>0.48352850633476463</v>
      </c>
      <c r="CI28" s="126">
        <f t="shared" si="126"/>
        <v>0.48249132851657717</v>
      </c>
    </row>
    <row r="29" spans="2:87" ht="13.5" customHeight="1">
      <c r="B29" s="130" t="s">
        <v>294</v>
      </c>
      <c r="C29" s="125">
        <f t="shared" ref="C29:G29" si="127">-C12/C7</f>
        <v>0.384180603696339</v>
      </c>
      <c r="D29" s="125">
        <f t="shared" si="127"/>
        <v>0.38435421168021267</v>
      </c>
      <c r="E29" s="125">
        <f t="shared" si="127"/>
        <v>0.38230529813456365</v>
      </c>
      <c r="F29" s="125">
        <f t="shared" si="127"/>
        <v>0.38428078562428952</v>
      </c>
      <c r="G29" s="125">
        <f t="shared" si="127"/>
        <v>0.37684051812511177</v>
      </c>
      <c r="H29" s="125">
        <f t="shared" ref="H29:N29" si="128">-H12/H7</f>
        <v>0.37916923035467714</v>
      </c>
      <c r="I29" s="125">
        <f t="shared" si="128"/>
        <v>0.37761135300456106</v>
      </c>
      <c r="J29" s="125">
        <f t="shared" si="128"/>
        <v>0.37761135300456106</v>
      </c>
      <c r="K29" s="125">
        <f t="shared" si="128"/>
        <v>0.37308756280706323</v>
      </c>
      <c r="L29" s="125">
        <f t="shared" si="128"/>
        <v>0.36379364645514323</v>
      </c>
      <c r="M29" s="125">
        <f t="shared" ref="M29" si="129">-M12/M7</f>
        <v>0.36725051677989612</v>
      </c>
      <c r="N29" s="125">
        <f t="shared" si="128"/>
        <v>0.35227574649793653</v>
      </c>
      <c r="O29" s="125">
        <f t="shared" ref="O29" si="130">-O12/O7</f>
        <v>0.35227574649793653</v>
      </c>
      <c r="P29" s="125">
        <f>-P12/P7</f>
        <v>0.34879846249196855</v>
      </c>
      <c r="Q29" s="125">
        <f>-Q12/Q7</f>
        <v>0.36153592514035898</v>
      </c>
      <c r="R29" s="125">
        <f>-R12/R7</f>
        <v>0.36272575838520976</v>
      </c>
      <c r="S29" s="125">
        <f t="shared" ref="S29" si="131">-S12/S7</f>
        <v>0.36264503840705126</v>
      </c>
      <c r="T29" s="5"/>
      <c r="U29" s="126">
        <f t="shared" ref="U29:AA29" si="132">-U12/U7</f>
        <v>0.39262633451757772</v>
      </c>
      <c r="V29" s="126">
        <f t="shared" si="132"/>
        <v>0.38188260651909756</v>
      </c>
      <c r="W29" s="126">
        <f t="shared" si="132"/>
        <v>0.37767471675863312</v>
      </c>
      <c r="X29" s="126">
        <f t="shared" si="132"/>
        <v>0.37850739214089263</v>
      </c>
      <c r="Y29" s="126">
        <f t="shared" si="132"/>
        <v>0.39529641728494153</v>
      </c>
      <c r="Z29" s="126">
        <f t="shared" si="132"/>
        <v>0.38413454208923159</v>
      </c>
      <c r="AA29" s="126">
        <f t="shared" si="132"/>
        <v>0.38100161685881245</v>
      </c>
      <c r="AB29" s="126">
        <f t="shared" ref="AB29:AG29" si="133">-AB12/AB7</f>
        <v>0.37717578131316637</v>
      </c>
      <c r="AC29" s="126">
        <f t="shared" si="133"/>
        <v>0.38473384116112952</v>
      </c>
      <c r="AD29" s="126">
        <f t="shared" si="133"/>
        <v>0.38030137475215114</v>
      </c>
      <c r="AE29" s="126">
        <f t="shared" si="133"/>
        <v>0.37141716855940182</v>
      </c>
      <c r="AF29" s="126">
        <f t="shared" si="133"/>
        <v>0.37175441333892389</v>
      </c>
      <c r="AG29" s="126">
        <f t="shared" si="133"/>
        <v>0.38437766360825992</v>
      </c>
      <c r="AH29" s="126">
        <f t="shared" ref="AH29:AM29" si="134">-AH12/AH7</f>
        <v>0.3800215507479297</v>
      </c>
      <c r="AI29" s="126">
        <f t="shared" si="134"/>
        <v>0.37214732692332547</v>
      </c>
      <c r="AJ29" s="126">
        <f t="shared" si="134"/>
        <v>0.3744745686532121</v>
      </c>
      <c r="AK29" s="126">
        <f t="shared" si="134"/>
        <v>0.38225528050315083</v>
      </c>
      <c r="AL29" s="126">
        <f t="shared" si="134"/>
        <v>0.38064122213730528</v>
      </c>
      <c r="AM29" s="126">
        <f t="shared" si="134"/>
        <v>0.36268315372019772</v>
      </c>
      <c r="AN29" s="126">
        <f>-AN12/AN7</f>
        <v>0.36785116162111609</v>
      </c>
      <c r="AO29" s="126">
        <f>-AO12/AO7</f>
        <v>0.37777072553390345</v>
      </c>
      <c r="AP29" s="126">
        <f>-AP12/AP7</f>
        <v>0.36493646878914643</v>
      </c>
      <c r="AQ29" s="126">
        <f t="shared" ref="AQ29" si="135">-AQ12/AQ7</f>
        <v>0.36149020491398287</v>
      </c>
      <c r="AR29" s="126">
        <f>-AR12/AR7</f>
        <v>0.36576014248099731</v>
      </c>
      <c r="AS29" s="126">
        <f>-AS12/AS7</f>
        <v>0.35833704401647815</v>
      </c>
      <c r="AT29" s="126">
        <f>-AT12/AT7</f>
        <v>0.35733472110926068</v>
      </c>
      <c r="AU29" s="126">
        <f t="shared" ref="AU29" si="136">-AU12/AU7</f>
        <v>0.34658503801447887</v>
      </c>
      <c r="AV29" s="126">
        <f>-AV12/AV7</f>
        <v>0.34786250081256348</v>
      </c>
      <c r="AW29" s="126">
        <f>-AW12/AW7</f>
        <v>0.35304958167062039</v>
      </c>
      <c r="AX29" s="126">
        <f>-AX12/AX7</f>
        <v>0.34543913225238843</v>
      </c>
      <c r="AY29" s="126">
        <f t="shared" ref="AY29" si="137">-AY12/AY7</f>
        <v>0.34289254339833025</v>
      </c>
      <c r="AZ29" s="126">
        <f>-AZ12/AZ7</f>
        <v>0.35375705510815386</v>
      </c>
      <c r="BA29" s="126">
        <f>-BA12/BA7</f>
        <v>0.36065030153314925</v>
      </c>
      <c r="BB29" s="126">
        <f>-BB12/BB7</f>
        <v>0.35924196528028923</v>
      </c>
      <c r="BC29" s="126">
        <f t="shared" ref="BC29" si="138">-BC12/BC7</f>
        <v>0.35804827654804089</v>
      </c>
      <c r="BD29" s="126">
        <f>-BD12/BD7</f>
        <v>0.3676663920608314</v>
      </c>
      <c r="BE29" s="126">
        <f>-BE12/BE7</f>
        <v>0.36876588313942837</v>
      </c>
      <c r="BF29" s="126">
        <f>-BF12/BF7</f>
        <v>0.36846492234615247</v>
      </c>
      <c r="BG29" s="126">
        <f t="shared" ref="BG29:BH29" si="139">-BG12/BG7</f>
        <v>0.35560284578719759</v>
      </c>
      <c r="BH29" s="126">
        <f t="shared" si="139"/>
        <v>0.35830905918070338</v>
      </c>
      <c r="BI29" s="126">
        <f>-BI12/BI7</f>
        <v>0.36863020596369894</v>
      </c>
      <c r="BJ29" s="99"/>
      <c r="BK29" s="126">
        <f t="shared" ref="BK29:BP29" si="140">-BK12/BK7</f>
        <v>0.38703700394316765</v>
      </c>
      <c r="BL29" s="126">
        <f t="shared" si="140"/>
        <v>0.38205880157375011</v>
      </c>
      <c r="BM29" s="126">
        <f t="shared" si="140"/>
        <v>0.37371596144820879</v>
      </c>
      <c r="BN29" s="126">
        <f t="shared" si="140"/>
        <v>0.37470559552715027</v>
      </c>
      <c r="BO29" s="126">
        <f t="shared" si="140"/>
        <v>0.38011760101127579</v>
      </c>
      <c r="BP29" s="126">
        <f t="shared" si="140"/>
        <v>0.37218332220052847</v>
      </c>
      <c r="BQ29" s="157"/>
      <c r="BR29" s="126">
        <f t="shared" ref="BR29:BX29" si="141">-BR12/BR7</f>
        <v>0.3744745686532121</v>
      </c>
      <c r="BS29" s="126">
        <f t="shared" si="141"/>
        <v>0.38236734685741741</v>
      </c>
      <c r="BT29" s="126">
        <f t="shared" si="141"/>
        <v>0.38072068948129661</v>
      </c>
      <c r="BU29" s="126">
        <f t="shared" si="141"/>
        <v>0.36269936768194172</v>
      </c>
      <c r="BV29" s="126">
        <f t="shared" si="141"/>
        <v>0.36769229595120428</v>
      </c>
      <c r="BW29" s="126"/>
      <c r="BX29" s="126">
        <f t="shared" si="141"/>
        <v>0.37765349495677608</v>
      </c>
      <c r="BY29" s="126">
        <f t="shared" ref="BY29:CB29" si="142">-BY12/BY7</f>
        <v>0.36807556668535452</v>
      </c>
      <c r="BZ29" s="126">
        <f t="shared" si="142"/>
        <v>0.36506011606445538</v>
      </c>
      <c r="CA29" s="126">
        <f t="shared" si="142"/>
        <v>0.35960835357622606</v>
      </c>
      <c r="CB29" s="126">
        <f t="shared" si="142"/>
        <v>0.36070624444547394</v>
      </c>
      <c r="CC29" s="126">
        <f t="shared" ref="CC29:CE29" si="143">-CC12/CC7</f>
        <v>0.35737222901136573</v>
      </c>
      <c r="CD29" s="126">
        <f t="shared" si="143"/>
        <v>0.34659973553697637</v>
      </c>
      <c r="CE29" s="126">
        <f t="shared" si="143"/>
        <v>0.34611169412157561</v>
      </c>
      <c r="CF29" s="126">
        <f>-CF12/CF7</f>
        <v>0.35066370039649575</v>
      </c>
      <c r="CG29" s="126">
        <f t="shared" ref="CG29:CI29" si="144">-CG12/CG7</f>
        <v>0.34631354851407026</v>
      </c>
      <c r="CH29" s="126">
        <f t="shared" si="144"/>
        <v>0.34297879831019484</v>
      </c>
      <c r="CI29" s="126">
        <f t="shared" si="144"/>
        <v>0.35506492849004467</v>
      </c>
    </row>
    <row r="30" spans="2:87" ht="13.5" customHeight="1">
      <c r="B30" s="130" t="s">
        <v>295</v>
      </c>
      <c r="C30" s="125">
        <f t="shared" ref="C30:G30" si="145">-C13/C7</f>
        <v>5.9956381264847092E-2</v>
      </c>
      <c r="D30" s="125">
        <f t="shared" si="145"/>
        <v>6.523018873416539E-2</v>
      </c>
      <c r="E30" s="125">
        <f t="shared" si="145"/>
        <v>6.8691645996024203E-2</v>
      </c>
      <c r="F30" s="125">
        <f t="shared" si="145"/>
        <v>6.8737884459401502E-2</v>
      </c>
      <c r="G30" s="125">
        <f t="shared" si="145"/>
        <v>6.674587268492535E-2</v>
      </c>
      <c r="H30" s="125">
        <f t="shared" ref="H30:N30" si="146">-H13/H7</f>
        <v>6.5692586541843012E-2</v>
      </c>
      <c r="I30" s="125">
        <f t="shared" si="146"/>
        <v>5.7004381554830799E-2</v>
      </c>
      <c r="J30" s="125">
        <f t="shared" si="146"/>
        <v>5.7004381554830799E-2</v>
      </c>
      <c r="K30" s="125">
        <f t="shared" si="146"/>
        <v>6.7611334094012751E-2</v>
      </c>
      <c r="L30" s="125">
        <f t="shared" si="146"/>
        <v>6.6895452011686063E-2</v>
      </c>
      <c r="M30" s="125">
        <f t="shared" ref="M30" si="147">-M13/M7</f>
        <v>6.8323573348812935E-2</v>
      </c>
      <c r="N30" s="125">
        <f t="shared" si="146"/>
        <v>6.5641060749447463E-2</v>
      </c>
      <c r="O30" s="125">
        <f t="shared" ref="O30" si="148">-O13/O7</f>
        <v>6.5641060749447463E-2</v>
      </c>
      <c r="P30" s="125">
        <f>-P13/P7</f>
        <v>6.4669727808875671E-2</v>
      </c>
      <c r="Q30" s="125">
        <f>-Q13/Q7</f>
        <v>6.7435770064974088E-2</v>
      </c>
      <c r="R30" s="125">
        <f>-R13/R7</f>
        <v>6.7976645620241985E-2</v>
      </c>
      <c r="S30" s="125">
        <f t="shared" ref="S30" si="149">-S13/S7</f>
        <v>6.6575409592601331E-2</v>
      </c>
      <c r="T30" s="5"/>
      <c r="U30" s="126">
        <f t="shared" ref="U30:AA30" si="150">-U13/U7</f>
        <v>7.0967603013650654E-2</v>
      </c>
      <c r="V30" s="126">
        <f t="shared" si="150"/>
        <v>7.0818399573170501E-2</v>
      </c>
      <c r="W30" s="126">
        <f t="shared" si="150"/>
        <v>6.6155442911842624E-2</v>
      </c>
      <c r="X30" s="126">
        <f t="shared" si="150"/>
        <v>6.7320067965577116E-2</v>
      </c>
      <c r="Y30" s="126">
        <f t="shared" si="150"/>
        <v>7.6426261640649376E-2</v>
      </c>
      <c r="Z30" s="126">
        <f t="shared" si="150"/>
        <v>7.4953397898623361E-2</v>
      </c>
      <c r="AA30" s="126">
        <f t="shared" si="150"/>
        <v>6.128747632236084E-2</v>
      </c>
      <c r="AB30" s="126">
        <f t="shared" ref="AB30:AG30" si="151">-AB13/AB7</f>
        <v>6.2737870702720633E-2</v>
      </c>
      <c r="AC30" s="126">
        <f t="shared" si="151"/>
        <v>7.2317370090527119E-2</v>
      </c>
      <c r="AD30" s="126">
        <f t="shared" si="151"/>
        <v>7.0559026528400237E-2</v>
      </c>
      <c r="AE30" s="126">
        <f t="shared" si="151"/>
        <v>6.5282128537051828E-2</v>
      </c>
      <c r="AF30" s="126">
        <f t="shared" si="151"/>
        <v>5.9612337478710101E-2</v>
      </c>
      <c r="AG30" s="126">
        <f t="shared" si="151"/>
        <v>6.6187154116761099E-2</v>
      </c>
      <c r="AH30" s="126">
        <f t="shared" ref="AH30:AM30" si="152">-AH13/AH7</f>
        <v>6.3566866690157195E-2</v>
      </c>
      <c r="AI30" s="126">
        <f t="shared" si="152"/>
        <v>5.3580735512495523E-2</v>
      </c>
      <c r="AJ30" s="126">
        <f t="shared" si="152"/>
        <v>4.5589399467998531E-2</v>
      </c>
      <c r="AK30" s="126">
        <f t="shared" si="152"/>
        <v>7.4029914809515013E-2</v>
      </c>
      <c r="AL30" s="126">
        <f t="shared" si="152"/>
        <v>6.7668604223246887E-2</v>
      </c>
      <c r="AM30" s="126">
        <f t="shared" si="152"/>
        <v>6.4258376063160233E-2</v>
      </c>
      <c r="AN30" s="126">
        <f>-AN13/AN7</f>
        <v>6.5303846138768537E-2</v>
      </c>
      <c r="AO30" s="126">
        <f>-AO13/AO7</f>
        <v>6.7313700073406216E-2</v>
      </c>
      <c r="AP30" s="126">
        <f>-AP13/AP7</f>
        <v>6.8138400856047415E-2</v>
      </c>
      <c r="AQ30" s="126">
        <f t="shared" ref="AQ30" si="153">-AQ13/AQ7</f>
        <v>6.459763012605034E-2</v>
      </c>
      <c r="AR30" s="126">
        <f>-AR13/AR7</f>
        <v>7.3159003466911662E-2</v>
      </c>
      <c r="AS30" s="126">
        <f>-AS13/AS7</f>
        <v>7.1249595561076393E-2</v>
      </c>
      <c r="AT30" s="126">
        <f>-AT13/AT7</f>
        <v>6.5348467573748278E-2</v>
      </c>
      <c r="AU30" s="126">
        <f t="shared" ref="AU30" si="154">-AU13/AU7</f>
        <v>6.3758060287361681E-2</v>
      </c>
      <c r="AV30" s="126">
        <f>-AV13/AV7</f>
        <v>6.2799607904138952E-2</v>
      </c>
      <c r="AW30" s="126">
        <f>-AW13/AW7</f>
        <v>7.0891112290837693E-2</v>
      </c>
      <c r="AX30" s="126">
        <f>-AX13/AX7</f>
        <v>6.4007880267032677E-2</v>
      </c>
      <c r="AY30" s="126">
        <f t="shared" ref="AY30" si="155">-AY13/AY7</f>
        <v>6.3572012319692547E-2</v>
      </c>
      <c r="AZ30" s="126">
        <f>-AZ13/AZ7</f>
        <v>6.0262144384500477E-2</v>
      </c>
      <c r="BA30" s="126">
        <f>-BA13/BA7</f>
        <v>7.4197867829722736E-2</v>
      </c>
      <c r="BB30" s="126">
        <f>-BB13/BB7</f>
        <v>6.1703399636009355E-2</v>
      </c>
      <c r="BC30" s="126">
        <f t="shared" ref="BC30" si="156">-BC13/BC7</f>
        <v>6.287325893593175E-2</v>
      </c>
      <c r="BD30" s="126">
        <f>-BD13/BD7</f>
        <v>7.1170327186392018E-2</v>
      </c>
      <c r="BE30" s="126">
        <f>-BE13/BE7</f>
        <v>7.8346158427029133E-2</v>
      </c>
      <c r="BF30" s="126">
        <f>-BF13/BF7</f>
        <v>7.2407859353708789E-2</v>
      </c>
      <c r="BG30" s="126">
        <f t="shared" ref="BG30:BH30" si="157">-BG13/BG7</f>
        <v>6.8919068595472116E-2</v>
      </c>
      <c r="BH30" s="126">
        <f t="shared" si="157"/>
        <v>5.2712162480401573E-2</v>
      </c>
      <c r="BI30" s="126">
        <f>-BI13/BI7</f>
        <v>7.2782299332170675E-2</v>
      </c>
      <c r="BJ30" s="99"/>
      <c r="BK30" s="126">
        <f t="shared" ref="BK30:BP30" si="158">-BK13/BK7</f>
        <v>7.1940396485073652E-2</v>
      </c>
      <c r="BL30" s="126">
        <f t="shared" si="158"/>
        <v>6.8510001254777769E-2</v>
      </c>
      <c r="BM30" s="126">
        <f t="shared" si="158"/>
        <v>6.4465196048727982E-2</v>
      </c>
      <c r="BN30" s="126">
        <f t="shared" si="158"/>
        <v>5.871412868565834E-2</v>
      </c>
      <c r="BO30" s="126">
        <f t="shared" si="158"/>
        <v>6.3341892403721678E-2</v>
      </c>
      <c r="BP30" s="126">
        <f t="shared" si="158"/>
        <v>5.3515619019357141E-2</v>
      </c>
      <c r="BQ30" s="157"/>
      <c r="BR30" s="126">
        <f t="shared" ref="BR30:BX30" si="159">-BR13/BR7</f>
        <v>4.5589399467998545E-2</v>
      </c>
      <c r="BS30" s="126">
        <f t="shared" si="159"/>
        <v>7.3969055583260113E-2</v>
      </c>
      <c r="BT30" s="126">
        <f t="shared" si="159"/>
        <v>6.7647800216452392E-2</v>
      </c>
      <c r="BU30" s="126">
        <f t="shared" si="159"/>
        <v>6.4206723465559959E-2</v>
      </c>
      <c r="BV30" s="126">
        <f t="shared" si="159"/>
        <v>6.544826319040016E-2</v>
      </c>
      <c r="BW30" s="126"/>
      <c r="BX30" s="126">
        <f t="shared" si="159"/>
        <v>6.7432753861239994E-2</v>
      </c>
      <c r="BY30" s="126">
        <f t="shared" ref="BY30:CB30" si="160">-BY13/BY7</f>
        <v>6.9465431067281008E-2</v>
      </c>
      <c r="BZ30" s="126">
        <f t="shared" si="160"/>
        <v>6.6124285395748036E-2</v>
      </c>
      <c r="CA30" s="126">
        <f t="shared" si="160"/>
        <v>7.0121782762979964E-2</v>
      </c>
      <c r="CB30" s="126">
        <f t="shared" si="160"/>
        <v>7.2853851269805009E-2</v>
      </c>
      <c r="CC30" s="126">
        <f t="shared" ref="CC30:CE30" si="161">-CC13/CC7</f>
        <v>6.5338322220678077E-2</v>
      </c>
      <c r="CD30" s="126">
        <f t="shared" si="161"/>
        <v>6.3707531495564906E-2</v>
      </c>
      <c r="CE30" s="126">
        <f t="shared" si="161"/>
        <v>6.1737667383643863E-2</v>
      </c>
      <c r="CF30" s="126">
        <f>-CF13/CF7</f>
        <v>7.0665624960677922E-2</v>
      </c>
      <c r="CG30" s="126">
        <f t="shared" ref="CG30:CI30" si="162">-CG13/CG7</f>
        <v>6.4186583778182774E-2</v>
      </c>
      <c r="CH30" s="126">
        <f t="shared" si="162"/>
        <v>6.3414826938974461E-2</v>
      </c>
      <c r="CI30" s="126">
        <f t="shared" si="162"/>
        <v>6.0523912079735072E-2</v>
      </c>
    </row>
    <row r="31" spans="2:87" ht="13.5" customHeight="1">
      <c r="B31" s="130" t="str">
        <f>B14</f>
        <v>Other income</v>
      </c>
      <c r="C31" s="125" t="s">
        <v>308</v>
      </c>
      <c r="D31" s="125">
        <f t="shared" ref="D31:I31" si="163">D14/D7</f>
        <v>3.8346824860226804E-4</v>
      </c>
      <c r="E31" s="125">
        <f t="shared" si="163"/>
        <v>1.7429969047875235E-3</v>
      </c>
      <c r="F31" s="125">
        <f t="shared" si="163"/>
        <v>1.7081035015534898E-3</v>
      </c>
      <c r="G31" s="125">
        <f t="shared" si="163"/>
        <v>1.5622794246260921E-3</v>
      </c>
      <c r="H31" s="125">
        <f t="shared" si="163"/>
        <v>1.5565904113917287E-3</v>
      </c>
      <c r="I31" s="125">
        <f t="shared" si="163"/>
        <v>2.1999081595464067E-4</v>
      </c>
      <c r="J31" s="125">
        <f t="shared" ref="J31:P31" si="164">J14/J7</f>
        <v>9.5781180687122704E-5</v>
      </c>
      <c r="K31" s="125">
        <f t="shared" si="164"/>
        <v>3.5599699737694132E-4</v>
      </c>
      <c r="L31" s="125">
        <f t="shared" si="164"/>
        <v>6.4391254669414304E-3</v>
      </c>
      <c r="M31" s="125">
        <f t="shared" si="164"/>
        <v>0</v>
      </c>
      <c r="N31" s="125">
        <f t="shared" si="164"/>
        <v>3.7474194067962707E-2</v>
      </c>
      <c r="O31" s="125">
        <f t="shared" si="164"/>
        <v>3.7474194067962707E-2</v>
      </c>
      <c r="P31" s="125">
        <f t="shared" si="164"/>
        <v>-1.1798823473415451E-2</v>
      </c>
      <c r="Q31" s="125">
        <f t="shared" ref="Q31:R31" si="165">Q14/Q7</f>
        <v>0</v>
      </c>
      <c r="R31" s="125">
        <f t="shared" si="165"/>
        <v>0</v>
      </c>
      <c r="S31" s="125">
        <f t="shared" ref="S31" si="166">S14/S7</f>
        <v>0</v>
      </c>
      <c r="T31" s="5"/>
      <c r="U31" s="126">
        <f t="shared" ref="U31:AA31" si="167">U14/U7</f>
        <v>0</v>
      </c>
      <c r="V31" s="126">
        <f t="shared" si="167"/>
        <v>7.6671250176667426E-5</v>
      </c>
      <c r="W31" s="126">
        <f t="shared" si="167"/>
        <v>2.7760825191065912E-5</v>
      </c>
      <c r="X31" s="126">
        <f t="shared" si="167"/>
        <v>6.2878295083212757E-3</v>
      </c>
      <c r="Y31" s="126">
        <f t="shared" si="167"/>
        <v>0</v>
      </c>
      <c r="Z31" s="126">
        <f t="shared" si="167"/>
        <v>1.2453437252345109E-4</v>
      </c>
      <c r="AA31" s="126">
        <f t="shared" si="167"/>
        <v>2.2677864792089599E-4</v>
      </c>
      <c r="AB31" s="126">
        <f t="shared" ref="AB31:AG31" si="168">AB14/AB7</f>
        <v>6.118695784470031E-3</v>
      </c>
      <c r="AC31" s="126">
        <f t="shared" si="168"/>
        <v>3.3564577987453308E-5</v>
      </c>
      <c r="AD31" s="126">
        <f t="shared" si="168"/>
        <v>5.371695283694349E-6</v>
      </c>
      <c r="AE31" s="126">
        <f t="shared" si="168"/>
        <v>2.6177539637837125E-5</v>
      </c>
      <c r="AF31" s="126">
        <f t="shared" si="168"/>
        <v>5.8425323680937717E-3</v>
      </c>
      <c r="AG31" s="126">
        <f t="shared" si="168"/>
        <v>3.5401586586136179E-5</v>
      </c>
      <c r="AH31" s="126">
        <f t="shared" ref="AH31:AM31" si="169">AH14/AH7</f>
        <v>1.2625101328501899E-4</v>
      </c>
      <c r="AI31" s="126">
        <f t="shared" si="169"/>
        <v>2.8821384266568273E-4</v>
      </c>
      <c r="AJ31" s="126">
        <f t="shared" si="169"/>
        <v>4.1326438941348832E-4</v>
      </c>
      <c r="AK31" s="126">
        <f t="shared" si="169"/>
        <v>1.9001645124748796E-4</v>
      </c>
      <c r="AL31" s="126">
        <f t="shared" si="169"/>
        <v>4.8508735669109711E-4</v>
      </c>
      <c r="AM31" s="126">
        <f t="shared" si="169"/>
        <v>-1.3709737160457608E-4</v>
      </c>
      <c r="AN31" s="126">
        <f>AN14/AN7</f>
        <v>8.7121568905005589E-4</v>
      </c>
      <c r="AO31" s="126">
        <f>AO14/AO7</f>
        <v>2.7927504926717816E-2</v>
      </c>
      <c r="AP31" s="126">
        <f>AP14/AP7</f>
        <v>-9.3152407200115979E-3</v>
      </c>
      <c r="AQ31" s="126">
        <f t="shared" ref="AQ31" si="170">AQ14/AQ7</f>
        <v>5.0612667604075633E-3</v>
      </c>
      <c r="AR31" s="126">
        <f>AR14/AR7</f>
        <v>-2.1393418957751428E-2</v>
      </c>
      <c r="AS31" s="126">
        <f>AS14/AS7</f>
        <v>1.6364578803476297E-2</v>
      </c>
      <c r="AT31" s="126">
        <f>AT14/AT7</f>
        <v>1.8432033317240873E-2</v>
      </c>
      <c r="AU31" s="126">
        <f t="shared" ref="AU31" si="171">AU14/AU7</f>
        <v>1.3100026973066595E-2</v>
      </c>
      <c r="AV31" s="126">
        <f>AV14/AV7</f>
        <v>9.6952667624603528E-2</v>
      </c>
      <c r="AW31" s="126">
        <f>AW14/AW7</f>
        <v>1.7353410459892193E-4</v>
      </c>
      <c r="AX31" s="126">
        <f>AX14/AX7</f>
        <v>0</v>
      </c>
      <c r="AY31" s="126">
        <f t="shared" ref="AY31" si="172">AY14/AY7</f>
        <v>0</v>
      </c>
      <c r="AZ31" s="126">
        <f>AZ14/AZ7</f>
        <v>-4.6993858920423903E-2</v>
      </c>
      <c r="BA31" s="126">
        <f>BA14/BA7</f>
        <v>0</v>
      </c>
      <c r="BB31" s="126">
        <f>BB14/BB7</f>
        <v>0</v>
      </c>
      <c r="BC31" s="126">
        <f t="shared" ref="BC31" si="173">BC14/BC7</f>
        <v>0</v>
      </c>
      <c r="BD31" s="126">
        <f>BD14/BD7</f>
        <v>0</v>
      </c>
      <c r="BE31" s="126">
        <f>BE14/BE7</f>
        <v>0</v>
      </c>
      <c r="BF31" s="126">
        <f>BF14/BF7</f>
        <v>0</v>
      </c>
      <c r="BG31" s="126">
        <f t="shared" ref="BG31:BH31" si="174">BG14/BG7</f>
        <v>0</v>
      </c>
      <c r="BH31" s="126">
        <f t="shared" si="174"/>
        <v>0</v>
      </c>
      <c r="BI31" s="126">
        <f>BI14/BI7</f>
        <v>0</v>
      </c>
      <c r="BJ31" s="99"/>
      <c r="BK31" s="126">
        <f t="shared" ref="BK31:BP31" si="175">BK14/BK7</f>
        <v>3.3567111736188118E-5</v>
      </c>
      <c r="BL31" s="126">
        <f t="shared" si="175"/>
        <v>5.3438641984809526E-6</v>
      </c>
      <c r="BM31" s="126">
        <f t="shared" si="175"/>
        <v>2.6085264705144697E-5</v>
      </c>
      <c r="BN31" s="126">
        <f t="shared" si="175"/>
        <v>5.8101411329930285E-3</v>
      </c>
      <c r="BO31" s="126">
        <f t="shared" si="175"/>
        <v>0</v>
      </c>
      <c r="BP31" s="126">
        <f t="shared" si="175"/>
        <v>2.9040415274865652E-4</v>
      </c>
      <c r="BQ31" s="157"/>
      <c r="BR31" s="126" t="e">
        <f t="shared" ref="BR31:BX31" si="176">BR14/BR7</f>
        <v>#REF!</v>
      </c>
      <c r="BS31" s="126">
        <f t="shared" si="176"/>
        <v>0</v>
      </c>
      <c r="BT31" s="126">
        <f t="shared" si="176"/>
        <v>6.4947533099084253E-4</v>
      </c>
      <c r="BU31" s="126">
        <f t="shared" si="176"/>
        <v>1.7648150060386792E-3</v>
      </c>
      <c r="BV31" s="126">
        <f t="shared" si="176"/>
        <v>-1.0553827593466039E-3</v>
      </c>
      <c r="BW31" s="126"/>
      <c r="BX31" s="126">
        <f t="shared" si="176"/>
        <v>2.7874728950268112E-2</v>
      </c>
      <c r="BY31" s="126">
        <f t="shared" ref="BY31:CB31" si="177">BY14/BY7</f>
        <v>-1.1871648551214954E-2</v>
      </c>
      <c r="BZ31" s="126">
        <f t="shared" si="177"/>
        <v>0</v>
      </c>
      <c r="CA31" s="126">
        <f t="shared" si="177"/>
        <v>-1.3457822379935102E-2</v>
      </c>
      <c r="CB31" s="126">
        <f t="shared" si="177"/>
        <v>1.6862539594112345E-2</v>
      </c>
      <c r="CC31" s="126">
        <f t="shared" ref="CC31:CE31" si="178">CC14/CC7</f>
        <v>0</v>
      </c>
      <c r="CD31" s="126">
        <f t="shared" si="178"/>
        <v>5.6633044374051287E-3</v>
      </c>
      <c r="CE31" s="126">
        <f t="shared" si="178"/>
        <v>0.11773124789314825</v>
      </c>
      <c r="CF31" s="126">
        <f>CF14/CF7</f>
        <v>0</v>
      </c>
      <c r="CG31" s="126">
        <f t="shared" ref="CG31:CI31" si="179">CG14/CG7</f>
        <v>0</v>
      </c>
      <c r="CH31" s="126">
        <f t="shared" si="179"/>
        <v>0</v>
      </c>
      <c r="CI31" s="126">
        <f t="shared" si="179"/>
        <v>-4.6309011033401452E-2</v>
      </c>
    </row>
    <row r="32" spans="2:87" ht="13.5" customHeight="1">
      <c r="B32" s="130" t="str">
        <f>B16</f>
        <v>Operating Profit</v>
      </c>
      <c r="C32" s="125">
        <f t="shared" ref="C32:G32" si="180">C16/C7</f>
        <v>5.5129232331110993E-2</v>
      </c>
      <c r="D32" s="125">
        <f t="shared" si="180"/>
        <v>6.4423774410936649E-2</v>
      </c>
      <c r="E32" s="125">
        <f t="shared" si="180"/>
        <v>7.1720197360992638E-2</v>
      </c>
      <c r="F32" s="125">
        <f t="shared" si="180"/>
        <v>6.5312668629307596E-2</v>
      </c>
      <c r="G32" s="125">
        <f t="shared" si="180"/>
        <v>6.4207786105203016E-2</v>
      </c>
      <c r="H32" s="125">
        <f t="shared" ref="H32:N32" si="181">H16/H7</f>
        <v>6.3973974573703615E-2</v>
      </c>
      <c r="I32" s="125">
        <f t="shared" si="181"/>
        <v>6.9944665361104261E-2</v>
      </c>
      <c r="J32" s="125">
        <f t="shared" si="181"/>
        <v>6.9944665361104261E-2</v>
      </c>
      <c r="K32" s="125">
        <f t="shared" si="181"/>
        <v>7.6749690896899148E-2</v>
      </c>
      <c r="L32" s="125">
        <f t="shared" si="181"/>
        <v>9.7815008760418584E-2</v>
      </c>
      <c r="M32" s="125">
        <f t="shared" ref="M32" si="182">M16/M7</f>
        <v>9.6166492662269204E-2</v>
      </c>
      <c r="N32" s="125">
        <f t="shared" si="181"/>
        <v>0.13467588533898558</v>
      </c>
      <c r="O32" s="125">
        <f t="shared" ref="O32" si="183">O16/O7</f>
        <v>0.13467588533898558</v>
      </c>
      <c r="P32" s="125">
        <f>P16/P7</f>
        <v>8.8664297049831822E-2</v>
      </c>
      <c r="Q32" s="125">
        <f>Q16/Q7</f>
        <v>8.1180608606875676E-2</v>
      </c>
      <c r="R32" s="125">
        <f>R16/R7</f>
        <v>7.9976539453664758E-2</v>
      </c>
      <c r="S32" s="125">
        <f t="shared" ref="S32" si="184">S16/S7</f>
        <v>8.3366383352969017E-2</v>
      </c>
      <c r="T32" s="5"/>
      <c r="U32" s="126">
        <f t="shared" ref="U32:AA32" si="185">U16/U7</f>
        <v>6.8057877869616021E-2</v>
      </c>
      <c r="V32" s="126">
        <f t="shared" si="185"/>
        <v>7.9506530072356446E-2</v>
      </c>
      <c r="W32" s="126">
        <f t="shared" si="185"/>
        <v>8.9575573813110751E-2</v>
      </c>
      <c r="X32" s="126">
        <f t="shared" si="185"/>
        <v>5.0957323030125512E-2</v>
      </c>
      <c r="Y32" s="126">
        <f t="shared" si="185"/>
        <v>5.4267564804698874E-2</v>
      </c>
      <c r="Z32" s="126">
        <f t="shared" si="185"/>
        <v>7.0474829182963217E-2</v>
      </c>
      <c r="AA32" s="126">
        <f t="shared" si="185"/>
        <v>7.457075002912536E-2</v>
      </c>
      <c r="AB32" s="126">
        <f t="shared" ref="AB32:AG32" si="186">AB16/AB7</f>
        <v>6.2328713250849606E-2</v>
      </c>
      <c r="AC32" s="126">
        <f t="shared" si="186"/>
        <v>6.1746359631884996E-2</v>
      </c>
      <c r="AD32" s="126">
        <f t="shared" si="186"/>
        <v>3.7065995502109629E-2</v>
      </c>
      <c r="AE32" s="126">
        <f t="shared" si="186"/>
        <v>7.5624674144887466E-2</v>
      </c>
      <c r="AF32" s="126">
        <f t="shared" si="186"/>
        <v>8.1301566297305727E-2</v>
      </c>
      <c r="AG32" s="126">
        <f t="shared" si="186"/>
        <v>6.6406074768524545E-2</v>
      </c>
      <c r="AH32" s="126">
        <f t="shared" ref="AH32:AM32" si="187">AH16/AH7</f>
        <v>5.9133577084021144E-2</v>
      </c>
      <c r="AI32" s="126">
        <f t="shared" si="187"/>
        <v>7.1944036517971877E-2</v>
      </c>
      <c r="AJ32" s="126">
        <f t="shared" si="187"/>
        <v>8.1644262850219501E-2</v>
      </c>
      <c r="AK32" s="126">
        <f t="shared" si="187"/>
        <v>2.7244687267435602E-2</v>
      </c>
      <c r="AL32" s="126">
        <f t="shared" si="187"/>
        <v>7.9567831684859605E-2</v>
      </c>
      <c r="AM32" s="126">
        <f t="shared" si="187"/>
        <v>9.260411719618987E-2</v>
      </c>
      <c r="AN32" s="126">
        <f>AN16/AN7</f>
        <v>0.10137861376237493</v>
      </c>
      <c r="AO32" s="126">
        <f>AO16/AO7</f>
        <v>0.11109571293507987</v>
      </c>
      <c r="AP32" s="126">
        <f>AP16/AP7</f>
        <v>8.4234677761353197E-2</v>
      </c>
      <c r="AQ32" s="126">
        <f t="shared" ref="AQ32" si="188">AQ16/AQ7</f>
        <v>9.4694994359057511E-2</v>
      </c>
      <c r="AR32" s="126">
        <f>AR16/AR7</f>
        <v>9.5574239667749125E-2</v>
      </c>
      <c r="AS32" s="126">
        <f>AS16/AS7</f>
        <v>9.5819990179664721E-2</v>
      </c>
      <c r="AT32" s="126">
        <f>AT16/AT7</f>
        <v>0.10582411902076923</v>
      </c>
      <c r="AU32" s="126">
        <f t="shared" ref="AU32" si="189">AU16/AU7</f>
        <v>0.10702393281471465</v>
      </c>
      <c r="AV32" s="126">
        <f>AV16/AV7</f>
        <v>0.22184773869529964</v>
      </c>
      <c r="AW32" s="126">
        <f>AW16/AW7</f>
        <v>8.2562762262806316E-2</v>
      </c>
      <c r="AX32" s="126">
        <f>AX16/AX7</f>
        <v>9.3232207729973426E-2</v>
      </c>
      <c r="AY32" s="126">
        <f t="shared" ref="AY32" si="190">AY16/AY7</f>
        <v>9.8297451981462364E-2</v>
      </c>
      <c r="AZ32" s="126">
        <f>AZ16/AZ7</f>
        <v>8.0661654949552589E-2</v>
      </c>
      <c r="BA32" s="126">
        <f>BA16/BA7</f>
        <v>7.3420314072726686E-2</v>
      </c>
      <c r="BB32" s="126">
        <f>BB16/BB7</f>
        <v>8.8374201696421587E-2</v>
      </c>
      <c r="BC32" s="126">
        <f t="shared" ref="BC32" si="191">BC16/BC7</f>
        <v>8.8255347501049478E-2</v>
      </c>
      <c r="BD32" s="126">
        <f>BD16/BD7</f>
        <v>7.4585485895220266E-2</v>
      </c>
      <c r="BE32" s="126">
        <f>BE16/BE7</f>
        <v>6.5057553124949277E-2</v>
      </c>
      <c r="BF32" s="126">
        <f>BF16/BF7</f>
        <v>7.8869372459135292E-2</v>
      </c>
      <c r="BG32" s="126">
        <f t="shared" ref="BG32:BH32" si="192">BG16/BG7</f>
        <v>8.753175431854357E-2</v>
      </c>
      <c r="BH32" s="126">
        <f t="shared" si="192"/>
        <v>8.7870298072205713E-2</v>
      </c>
      <c r="BI32" s="126">
        <f>BI16/BI7</f>
        <v>7.8862797985931848E-2</v>
      </c>
      <c r="BJ32" s="99"/>
      <c r="BK32" s="126">
        <f t="shared" ref="BK32:BP32" si="193">BK16/BK7</f>
        <v>6.2060853867500126E-2</v>
      </c>
      <c r="BL32" s="126">
        <f t="shared" si="193"/>
        <v>3.6873789439606793E-2</v>
      </c>
      <c r="BM32" s="126">
        <f t="shared" si="193"/>
        <v>7.5358099752750166E-2</v>
      </c>
      <c r="BN32" s="126">
        <f t="shared" si="193"/>
        <v>8.057983908890673E-2</v>
      </c>
      <c r="BO32" s="126">
        <f t="shared" si="193"/>
        <v>5.9809323563792441E-2</v>
      </c>
      <c r="BP32" s="126">
        <f t="shared" si="193"/>
        <v>7.228836308062081E-2</v>
      </c>
      <c r="BQ32" s="157"/>
      <c r="BR32" s="126" t="e">
        <f t="shared" ref="BR32:BX32" si="194">BR16/BR7</f>
        <v>#REF!</v>
      </c>
      <c r="BS32" s="126">
        <f t="shared" si="194"/>
        <v>2.7525763702972512E-2</v>
      </c>
      <c r="BT32" s="126">
        <f t="shared" si="194"/>
        <v>7.9805508004993475E-2</v>
      </c>
      <c r="BU32" s="126">
        <f t="shared" si="194"/>
        <v>9.2861310409004333E-2</v>
      </c>
      <c r="BV32" s="126">
        <f t="shared" si="194"/>
        <v>0.10046008167730441</v>
      </c>
      <c r="BW32" s="126"/>
      <c r="BX32" s="126">
        <f t="shared" si="194"/>
        <v>0.11054677013857692</v>
      </c>
      <c r="BY32" s="126">
        <f t="shared" ref="BY32:CB32" si="195">BY16/BY7</f>
        <v>8.0928880942391493E-2</v>
      </c>
      <c r="BZ32" s="126">
        <f t="shared" si="195"/>
        <v>9.335795412757282E-2</v>
      </c>
      <c r="CA32" s="126">
        <f t="shared" si="195"/>
        <v>9.9904634686963409E-2</v>
      </c>
      <c r="CB32" s="126">
        <f t="shared" si="195"/>
        <v>9.2996749353242592E-2</v>
      </c>
      <c r="CC32" s="126">
        <f t="shared" ref="CC32:CE32" si="196">CC16/CC7</f>
        <v>0.10585470651623945</v>
      </c>
      <c r="CD32" s="126">
        <f t="shared" si="196"/>
        <v>0.10711422199186169</v>
      </c>
      <c r="CE32" s="126">
        <f t="shared" si="196"/>
        <v>0.22078001778531048</v>
      </c>
      <c r="CF32" s="126">
        <f>CF16/CF7</f>
        <v>8.295885933516868E-2</v>
      </c>
      <c r="CG32" s="126">
        <f t="shared" ref="CG32:CI32" si="197">CG16/CG7</f>
        <v>9.3523685431454132E-2</v>
      </c>
      <c r="CH32" s="126">
        <f t="shared" si="197"/>
        <v>9.83847085543373E-2</v>
      </c>
      <c r="CI32" s="126">
        <f t="shared" si="197"/>
        <v>8.0022840297330033E-2</v>
      </c>
    </row>
    <row r="33" spans="2:87" ht="13.5" customHeight="1">
      <c r="B33" s="130" t="s">
        <v>309</v>
      </c>
      <c r="C33" s="125">
        <f t="shared" ref="C33:S33" si="198">C17/C165</f>
        <v>0.16591718506998443</v>
      </c>
      <c r="D33" s="125">
        <f t="shared" si="198"/>
        <v>0.10561437908496733</v>
      </c>
      <c r="E33" s="125">
        <f t="shared" si="198"/>
        <v>0.13213535712556149</v>
      </c>
      <c r="F33" s="125">
        <f t="shared" si="198"/>
        <v>4.3513170217147346E-2</v>
      </c>
      <c r="G33" s="125">
        <f t="shared" si="198"/>
        <v>8.7353637357019565E-2</v>
      </c>
      <c r="H33" s="125">
        <f t="shared" si="198"/>
        <v>8.884497081087267E-2</v>
      </c>
      <c r="I33" s="125">
        <f t="shared" si="198"/>
        <v>8.9638210383945066E-2</v>
      </c>
      <c r="J33" s="125">
        <f t="shared" si="198"/>
        <v>8.9638210383945066E-2</v>
      </c>
      <c r="K33" s="125">
        <f t="shared" si="198"/>
        <v>6.1042386202860219E-2</v>
      </c>
      <c r="L33" s="125">
        <f t="shared" si="198"/>
        <v>4.5576289816535422E-2</v>
      </c>
      <c r="M33" s="125">
        <f t="shared" si="198"/>
        <v>4.4381086406175961E-2</v>
      </c>
      <c r="N33" s="125">
        <f t="shared" si="198"/>
        <v>6.2874386691678427E-2</v>
      </c>
      <c r="O33" s="125">
        <f t="shared" si="198"/>
        <v>6.2874386691678427E-2</v>
      </c>
      <c r="P33" s="125">
        <f t="shared" si="198"/>
        <v>0.1388619205291759</v>
      </c>
      <c r="Q33" s="125">
        <f t="shared" si="198"/>
        <v>0.12742081679345638</v>
      </c>
      <c r="R33" s="125">
        <f t="shared" si="198"/>
        <v>0.10511375519197978</v>
      </c>
      <c r="S33" s="125">
        <f t="shared" si="198"/>
        <v>3.341133323221257E-2</v>
      </c>
      <c r="T33" s="5"/>
      <c r="U33" s="126"/>
      <c r="V33" s="126"/>
      <c r="W33" s="126"/>
      <c r="X33" s="126">
        <f t="shared" ref="X33:AF33" si="199">SUM(U17:X17)/X165</f>
        <v>0.13213535712556149</v>
      </c>
      <c r="Y33" s="126">
        <f t="shared" si="199"/>
        <v>0.10135739979445015</v>
      </c>
      <c r="Z33" s="126">
        <f t="shared" si="199"/>
        <v>0.13621229348019184</v>
      </c>
      <c r="AA33" s="126">
        <f t="shared" si="199"/>
        <v>8.1173438874230411E-2</v>
      </c>
      <c r="AB33" s="126">
        <f t="shared" si="199"/>
        <v>4.3513170217147346E-2</v>
      </c>
      <c r="AC33" s="126">
        <f t="shared" si="199"/>
        <v>6.476968064854996E-2</v>
      </c>
      <c r="AD33" s="126">
        <f t="shared" si="199"/>
        <v>6.9075031887403687E-2</v>
      </c>
      <c r="AE33" s="126">
        <f t="shared" si="199"/>
        <v>7.7455605391513818E-2</v>
      </c>
      <c r="AF33" s="126">
        <f t="shared" si="199"/>
        <v>8.7353637357019565E-2</v>
      </c>
      <c r="AG33" s="126">
        <f>(AG17+G17-BK17)/AG165</f>
        <v>9.5788567267257055E-2</v>
      </c>
      <c r="AH33" s="126">
        <f>(AH17+G17-BL17+AG17-BK17)/AH165</f>
        <v>8.2635427779497547E-2</v>
      </c>
      <c r="AI33" s="126">
        <f>SUM(AF17:AI17)/AI165</f>
        <v>2.7634386807090239E-2</v>
      </c>
      <c r="AJ33" s="126">
        <f>SUM(AG17:AJ17)/AJ165</f>
        <v>8.9638210383945066E-2</v>
      </c>
      <c r="AK33" s="126">
        <f>SUM(AH17:AK17)/AK165</f>
        <v>3.96105085682526E-2</v>
      </c>
      <c r="AL33" s="126">
        <f>(AL17+AK17+I17-BO17-AG17)/AL165</f>
        <v>0.10599625971472826</v>
      </c>
      <c r="AM33" s="126">
        <f>-(AL17+AK17+I17-BO17-AG17+AM17-BP17)/AM165</f>
        <v>-9.715084506043721E-2</v>
      </c>
      <c r="AN33" s="126">
        <f>SUM(AK17:AN17)/AN165</f>
        <v>6.1042386202860219E-2</v>
      </c>
      <c r="AO33" s="126">
        <f>SUM(AL17:AO17)/AO165</f>
        <v>1.010935931263849E-2</v>
      </c>
      <c r="AP33" s="126">
        <f>(AP17+AO17+K17-BS17-BT17)/AP165</f>
        <v>5.4476718799235588E-4</v>
      </c>
      <c r="AQ33" s="126">
        <f>-(AP17+AO17+K17-BS17-BU17+AQ17-BT17)/AQ165</f>
        <v>3.8578859154573494E-3</v>
      </c>
      <c r="AR33" s="126">
        <f>SUM(AO17:AR17)/AR165</f>
        <v>4.4381086406175961E-2</v>
      </c>
      <c r="AS33" s="126">
        <f>SUM(AP17:AS17)/AS165</f>
        <v>4.3707066106655854E-2</v>
      </c>
      <c r="AT33" s="126" t="e">
        <f>(AT17+AS17+#REF!-BX17-BZ17)/AT165</f>
        <v>#REF!</v>
      </c>
      <c r="AU33" s="126" t="e">
        <f>-(AT17+AS17+#REF!-BX17-BZ17+AU17-BY17)/AU165</f>
        <v>#REF!</v>
      </c>
      <c r="AV33" s="126">
        <f>SUM(AS17:AV17)/AV165</f>
        <v>6.2874386691678427E-2</v>
      </c>
      <c r="AW33" s="126">
        <f>SUM(AT17:AW17)/AW165</f>
        <v>0.15012046988186079</v>
      </c>
      <c r="AX33" s="126">
        <f>(AX17+AW17+V17-CB17-CF17)/AX165</f>
        <v>2.71419644215883E-2</v>
      </c>
      <c r="AY33" s="126">
        <f>-(AX17+AW17+V17-CB17-CD17+AY17-CC17)/AY165</f>
        <v>-3.1867785279253359E-2</v>
      </c>
      <c r="AZ33" s="126">
        <f>SUM(AW17:AZ17)/AZ165</f>
        <v>0.1388619205291759</v>
      </c>
      <c r="BA33" s="126">
        <f>SUM(AX17:BA17)/BA165</f>
        <v>6.6486213379484932E-2</v>
      </c>
      <c r="BB33" s="126">
        <f>(BB17+BA17+Z17-CF17-CK17)/BB165</f>
        <v>7.7209209493120726E-2</v>
      </c>
      <c r="BC33" s="126">
        <f>-(BB17+BA17+Z17-CF17-CH17+BC17-CG17)/BC165</f>
        <v>-5.5562412463273578E-2</v>
      </c>
      <c r="BD33" s="126">
        <f t="shared" ref="BD33:BI33" si="200">SUM(BA17:BD17)/BD165</f>
        <v>0.12742081679345638</v>
      </c>
      <c r="BE33" s="126">
        <f t="shared" si="200"/>
        <v>4.9949814232509292E-2</v>
      </c>
      <c r="BF33" s="126">
        <f t="shared" si="200"/>
        <v>0.11802774357159518</v>
      </c>
      <c r="BG33" s="126">
        <f t="shared" si="200"/>
        <v>6.3325641586224737E-2</v>
      </c>
      <c r="BH33" s="126">
        <f t="shared" si="200"/>
        <v>0.10511375519197978</v>
      </c>
      <c r="BI33" s="126">
        <f t="shared" si="200"/>
        <v>3.341133323221257E-2</v>
      </c>
      <c r="BJ33" s="99"/>
      <c r="BK33" s="126">
        <f>SUM(Z17:AB17,BK17)/AC165</f>
        <v>6.4744963352622129E-2</v>
      </c>
      <c r="BL33" s="126">
        <f>SUM(AA17:AB17,BK17,BL17)/AD165</f>
        <v>6.905967789047969E-2</v>
      </c>
      <c r="BM33" s="126">
        <f>SUM(AB17:AD17,BM17)/AE165</f>
        <v>7.7455605391513818E-2</v>
      </c>
      <c r="BN33" s="126">
        <f>SUM(AC17:AE17,BN17)/AF165</f>
        <v>8.8861321416379105E-2</v>
      </c>
      <c r="BO33" s="126"/>
      <c r="BP33" s="126"/>
      <c r="BQ33" s="157"/>
      <c r="BR33" s="126"/>
      <c r="BS33" s="126"/>
      <c r="BT33" s="126"/>
      <c r="BU33" s="126"/>
      <c r="BV33" s="126"/>
      <c r="BW33" s="126"/>
      <c r="BX33" s="126"/>
      <c r="BY33" s="126"/>
      <c r="BZ33" s="126"/>
      <c r="CA33" s="126"/>
      <c r="CB33" s="126"/>
      <c r="CC33" s="126"/>
      <c r="CD33" s="126"/>
      <c r="CE33" s="126"/>
      <c r="CF33" s="126"/>
      <c r="CG33" s="126"/>
      <c r="CH33" s="126"/>
      <c r="CI33" s="126"/>
    </row>
    <row r="34" spans="2:87" ht="13.5" customHeight="1">
      <c r="B34" s="130" t="s">
        <v>310</v>
      </c>
      <c r="C34" s="125">
        <f t="shared" ref="C34:S34" si="201">-C18/C168</f>
        <v>5.9339222558034858E-2</v>
      </c>
      <c r="D34" s="125">
        <f t="shared" si="201"/>
        <v>6.7793391478874268E-2</v>
      </c>
      <c r="E34" s="125">
        <f t="shared" si="201"/>
        <v>6.6563168931285679E-2</v>
      </c>
      <c r="F34" s="125">
        <f t="shared" si="201"/>
        <v>6.4345921802693523E-2</v>
      </c>
      <c r="G34" s="125">
        <f t="shared" si="201"/>
        <v>8.5233097479612913E-2</v>
      </c>
      <c r="H34" s="125">
        <f t="shared" si="201"/>
        <v>8.5358979821895303E-2</v>
      </c>
      <c r="I34" s="125">
        <f t="shared" si="201"/>
        <v>0.10523013737216903</v>
      </c>
      <c r="J34" s="125">
        <f t="shared" si="201"/>
        <v>0.10523013737216903</v>
      </c>
      <c r="K34" s="125">
        <f t="shared" si="201"/>
        <v>0.11057776735458674</v>
      </c>
      <c r="L34" s="125">
        <f t="shared" si="201"/>
        <v>9.0663884039551196E-2</v>
      </c>
      <c r="M34" s="125">
        <f t="shared" si="201"/>
        <v>9.003818925464975E-2</v>
      </c>
      <c r="N34" s="125">
        <f t="shared" si="201"/>
        <v>0.10759597401085397</v>
      </c>
      <c r="O34" s="125">
        <f t="shared" si="201"/>
        <v>0.10759597401085397</v>
      </c>
      <c r="P34" s="125">
        <f t="shared" si="201"/>
        <v>0.10305185719155721</v>
      </c>
      <c r="Q34" s="125">
        <f t="shared" si="201"/>
        <v>9.0160102260518543E-2</v>
      </c>
      <c r="R34" s="125">
        <f t="shared" si="201"/>
        <v>9.6953710914524607E-2</v>
      </c>
      <c r="S34" s="125">
        <f t="shared" si="201"/>
        <v>9.4458164791717314E-2</v>
      </c>
      <c r="T34" s="5"/>
      <c r="U34" s="126"/>
      <c r="V34" s="126"/>
      <c r="W34" s="126"/>
      <c r="X34" s="126">
        <f t="shared" ref="X34:AF34" si="202">-SUM(U18:X18)/X168</f>
        <v>6.6563168931285679E-2</v>
      </c>
      <c r="Y34" s="126">
        <f t="shared" si="202"/>
        <v>7.2699541550978228E-2</v>
      </c>
      <c r="Z34" s="126">
        <f t="shared" si="202"/>
        <v>7.9835828466452805E-2</v>
      </c>
      <c r="AA34" s="126">
        <f t="shared" si="202"/>
        <v>7.8526920429879826E-2</v>
      </c>
      <c r="AB34" s="126">
        <f t="shared" si="202"/>
        <v>6.4345921802693523E-2</v>
      </c>
      <c r="AC34" s="126">
        <f t="shared" si="202"/>
        <v>6.9537130058159674E-2</v>
      </c>
      <c r="AD34" s="126">
        <f t="shared" si="202"/>
        <v>7.332335383970745E-2</v>
      </c>
      <c r="AE34" s="126">
        <f t="shared" si="202"/>
        <v>8.3618066963035975E-2</v>
      </c>
      <c r="AF34" s="126">
        <f t="shared" si="202"/>
        <v>8.5233097479612926E-2</v>
      </c>
      <c r="AG34" s="126">
        <f>-(AG18+G18-BK18)/AG168</f>
        <v>9.0047527214193346E-2</v>
      </c>
      <c r="AH34" s="126">
        <f>-(AH18+G18-BL18+AG18-BK18)/AH168</f>
        <v>9.030483967125133E-2</v>
      </c>
      <c r="AI34" s="126">
        <f>-SUM(AF18:AI18)/AI168</f>
        <v>8.020659750232681E-2</v>
      </c>
      <c r="AJ34" s="126">
        <f>-SUM(AG18:AJ18)/AJ168</f>
        <v>0.10523013737216903</v>
      </c>
      <c r="AK34" s="126">
        <f>-SUM(AH18:AK18)/AK168</f>
        <v>7.7127995628175572E-2</v>
      </c>
      <c r="AL34" s="126">
        <f>-(AL18+AK18+I18-BO18-AG18)/AL168</f>
        <v>9.0891103406852927E-2</v>
      </c>
      <c r="AM34" s="126">
        <f>-(AL18+AK18+I18-BO18-AG18+AM18-BP18)/AM168</f>
        <v>9.9075459359688825E-2</v>
      </c>
      <c r="AN34" s="126">
        <f>-SUM(AK18:AN18)/AN168</f>
        <v>0.11057776735458674</v>
      </c>
      <c r="AO34" s="126">
        <f>-SUM(AL18:AO18)/AO168</f>
        <v>0.10367748035283962</v>
      </c>
      <c r="AP34" s="126">
        <f>-(AP18+AO18+K18-BS18-BT18)/AP168</f>
        <v>0.10202321371971311</v>
      </c>
      <c r="AQ34" s="126">
        <f>-(AP18+AO18+K18-BS18-BU18+AQ18-BT18)/AQ168</f>
        <v>9.6415910645268346E-2</v>
      </c>
      <c r="AR34" s="126">
        <f>-SUM(AO18:AR18)/AR168</f>
        <v>9.0038189254649736E-2</v>
      </c>
      <c r="AS34" s="126">
        <f>-SUM(AP18:AS18)/AS168</f>
        <v>9.0399217954234112E-2</v>
      </c>
      <c r="AT34" s="126" t="e">
        <f>-(AT18+AS18+#REF!-BX18-BZ18)/AT168</f>
        <v>#REF!</v>
      </c>
      <c r="AU34" s="126" t="e">
        <f>-(AT18+AS18+#REF!-BX18-BZ18+AU18-BY18)/AU168</f>
        <v>#REF!</v>
      </c>
      <c r="AV34" s="126">
        <f>-SUM(AS18:AV18)/AV168</f>
        <v>0.10759597401085397</v>
      </c>
      <c r="AW34" s="126">
        <f>-SUM(AT18:AW18)/AW168</f>
        <v>9.7584211414816865E-2</v>
      </c>
      <c r="AX34" s="126">
        <f>-(AX18+AW18+V18-CB18-CF18)/AX168</f>
        <v>2.4998364351342551E-2</v>
      </c>
      <c r="AY34" s="126">
        <f>-(AX18+AW18+V18-CB18-CD18+AY18-CC18)/AY168</f>
        <v>3.3695778122272632E-2</v>
      </c>
      <c r="AZ34" s="126">
        <f>-SUM(AW18:AZ18)/AZ168</f>
        <v>0.10305185719155721</v>
      </c>
      <c r="BA34" s="126">
        <f>-SUM(AX18:BA18)/BA168</f>
        <v>9.9473998385453011E-2</v>
      </c>
      <c r="BB34" s="126">
        <f>-(BB18+BA18+Z18-CF18-CK18)/BB168</f>
        <v>4.7317265973721691E-2</v>
      </c>
      <c r="BC34" s="126">
        <f>-(BB18+BA18+Z18-CF18-CH18+BC18-CG18)/BC168</f>
        <v>2.5366286010877429E-2</v>
      </c>
      <c r="BD34" s="126">
        <f t="shared" ref="BD34:BI34" si="203">-SUM(BA18:BD18)/BD168</f>
        <v>9.0160102260518529E-2</v>
      </c>
      <c r="BE34" s="126">
        <f t="shared" si="203"/>
        <v>8.652050228798136E-2</v>
      </c>
      <c r="BF34" s="126">
        <f t="shared" si="203"/>
        <v>8.9925917343940731E-2</v>
      </c>
      <c r="BG34" s="126">
        <f t="shared" si="203"/>
        <v>9.0504185243803159E-2</v>
      </c>
      <c r="BH34" s="126">
        <f t="shared" si="203"/>
        <v>9.6953710914524607E-2</v>
      </c>
      <c r="BI34" s="126">
        <f t="shared" si="203"/>
        <v>9.4458164791717314E-2</v>
      </c>
      <c r="BJ34" s="99"/>
      <c r="BK34" s="126">
        <f>-SUM(Z18:AB18,BK18)/AC168</f>
        <v>6.9460393914067706E-2</v>
      </c>
      <c r="BL34" s="126">
        <f>-SUM(AA18:AB18,BK18,BL18)/AD168</f>
        <v>7.3249258191596889E-2</v>
      </c>
      <c r="BM34" s="126">
        <f>-SUM(AB18:AD18,BM18)/AE168</f>
        <v>8.3618066963035975E-2</v>
      </c>
      <c r="BN34" s="126">
        <f>-SUM(AC18:AE18,BN18)/AF168</f>
        <v>8.5435455292613455E-2</v>
      </c>
      <c r="BO34" s="126"/>
      <c r="BP34" s="126"/>
      <c r="BQ34" s="157"/>
      <c r="BR34" s="126"/>
      <c r="BS34" s="126"/>
      <c r="BT34" s="126"/>
      <c r="BU34" s="126"/>
      <c r="BV34" s="126"/>
      <c r="BW34" s="126"/>
      <c r="BX34" s="126"/>
      <c r="BY34" s="126"/>
      <c r="BZ34" s="126"/>
      <c r="CA34" s="126"/>
      <c r="CB34" s="126"/>
      <c r="CC34" s="126"/>
      <c r="CD34" s="126"/>
      <c r="CE34" s="126"/>
      <c r="CF34" s="126"/>
      <c r="CG34" s="126"/>
      <c r="CH34" s="126"/>
      <c r="CI34" s="126"/>
    </row>
    <row r="35" spans="2:87" ht="13.5" customHeight="1">
      <c r="B35" s="130" t="str">
        <f>B19</f>
        <v>Share of profit (loss) of associates and joint ventures accounted for
using equity method</v>
      </c>
      <c r="C35" s="125">
        <f t="shared" ref="C35:G35" si="204">C19/C7</f>
        <v>-3.2707903363037093E-4</v>
      </c>
      <c r="D35" s="125">
        <f t="shared" si="204"/>
        <v>2.1422412122544044E-4</v>
      </c>
      <c r="E35" s="125">
        <f t="shared" si="204"/>
        <v>4.8042958184390546E-4</v>
      </c>
      <c r="F35" s="125">
        <f t="shared" si="204"/>
        <v>8.7420386126922287E-4</v>
      </c>
      <c r="G35" s="125">
        <f t="shared" si="204"/>
        <v>6.7168524024274886E-4</v>
      </c>
      <c r="H35" s="125">
        <f t="shared" ref="H35:N35" si="205">H19/H7</f>
        <v>6.6923931017362438E-4</v>
      </c>
      <c r="I35" s="125">
        <f t="shared" si="205"/>
        <v>8.5450131624703856E-4</v>
      </c>
      <c r="J35" s="125">
        <f t="shared" si="205"/>
        <v>8.5450131624703856E-4</v>
      </c>
      <c r="K35" s="125">
        <f t="shared" si="205"/>
        <v>5.8704932807163938E-4</v>
      </c>
      <c r="L35" s="125">
        <f t="shared" si="205"/>
        <v>7.0693287210339239E-4</v>
      </c>
      <c r="M35" s="125">
        <f t="shared" ref="M35" si="206">M19/M7</f>
        <v>7.2799786148562012E-4</v>
      </c>
      <c r="N35" s="125">
        <f t="shared" si="205"/>
        <v>1.1335436834953594E-3</v>
      </c>
      <c r="O35" s="125">
        <f t="shared" ref="O35" si="207">O19/O7</f>
        <v>1.1335436834953594E-3</v>
      </c>
      <c r="P35" s="125">
        <f>P19/P7</f>
        <v>7.9064862368449264E-4</v>
      </c>
      <c r="Q35" s="125">
        <f>Q19/Q7</f>
        <v>1.1375073247770686E-3</v>
      </c>
      <c r="R35" s="125">
        <f>R19/R7</f>
        <v>-5.274601393196486E-6</v>
      </c>
      <c r="S35" s="125">
        <f t="shared" ref="S35" si="208">S19/S7</f>
        <v>-1.3999460864692962E-4</v>
      </c>
      <c r="T35" s="5"/>
      <c r="U35" s="126">
        <f t="shared" ref="U35:AA35" si="209">U19/U7</f>
        <v>1.0165483631206065E-4</v>
      </c>
      <c r="V35" s="126">
        <f t="shared" si="209"/>
        <v>6.3792773731394302E-4</v>
      </c>
      <c r="W35" s="126">
        <f t="shared" si="209"/>
        <v>9.7301001726895207E-4</v>
      </c>
      <c r="X35" s="126">
        <f t="shared" si="209"/>
        <v>1.8863837048512059E-4</v>
      </c>
      <c r="Y35" s="126">
        <f t="shared" si="209"/>
        <v>9.2613542236982588E-4</v>
      </c>
      <c r="Z35" s="126">
        <f t="shared" si="209"/>
        <v>1.0058580913547852E-3</v>
      </c>
      <c r="AA35" s="126">
        <f t="shared" si="209"/>
        <v>9.853531487517143E-4</v>
      </c>
      <c r="AB35" s="126">
        <f t="shared" ref="AB35:AG35" si="210">AB19/AB7</f>
        <v>6.0249992637224177E-4</v>
      </c>
      <c r="AC35" s="126">
        <f t="shared" si="210"/>
        <v>5.9793791681819004E-4</v>
      </c>
      <c r="AD35" s="126">
        <f t="shared" si="210"/>
        <v>9.5062435739023813E-4</v>
      </c>
      <c r="AE35" s="126">
        <f t="shared" si="210"/>
        <v>1.1701429288138623E-3</v>
      </c>
      <c r="AF35" s="126">
        <f t="shared" si="210"/>
        <v>-1.0222144766904809E-6</v>
      </c>
      <c r="AG35" s="126">
        <f t="shared" si="210"/>
        <v>1.5895642964463604E-3</v>
      </c>
      <c r="AH35" s="126">
        <f t="shared" ref="AH35:AM35" si="211">AH19/AH7</f>
        <v>-6.6728727983225299E-4</v>
      </c>
      <c r="AI35" s="126">
        <f t="shared" si="211"/>
        <v>9.3395371565283285E-4</v>
      </c>
      <c r="AJ35" s="126">
        <f t="shared" si="211"/>
        <v>1.5601093727167202E-3</v>
      </c>
      <c r="AK35" s="126">
        <f t="shared" si="211"/>
        <v>4.5763616954144608E-4</v>
      </c>
      <c r="AL35" s="126">
        <f t="shared" si="211"/>
        <v>1.0296924335306378E-3</v>
      </c>
      <c r="AM35" s="126">
        <f t="shared" si="211"/>
        <v>9.0972841457070367E-4</v>
      </c>
      <c r="AN35" s="126">
        <f>AN19/AN7</f>
        <v>-7.9812978732050199E-5</v>
      </c>
      <c r="AO35" s="126">
        <f>AO19/AO7</f>
        <v>1.1036520167335981E-3</v>
      </c>
      <c r="AP35" s="126">
        <f>AP19/AP7</f>
        <v>3.178944512368518E-4</v>
      </c>
      <c r="AQ35" s="126">
        <f t="shared" ref="AQ35" si="212">AQ19/AQ7</f>
        <v>8.5536659072001412E-4</v>
      </c>
      <c r="AR35" s="126">
        <f>AR19/AR7</f>
        <v>6.5275735554910905E-4</v>
      </c>
      <c r="AS35" s="126">
        <f>AS19/AS7</f>
        <v>1.5787182432799808E-3</v>
      </c>
      <c r="AT35" s="126">
        <f>AT19/AT7</f>
        <v>8.1756098726433663E-4</v>
      </c>
      <c r="AU35" s="126">
        <f t="shared" ref="AU35" si="213">AU19/AU7</f>
        <v>1.0495512564416992E-3</v>
      </c>
      <c r="AV35" s="126">
        <f>AV19/AV7</f>
        <v>1.1105890163992864E-3</v>
      </c>
      <c r="AW35" s="126">
        <f>AW19/AW7</f>
        <v>6.924490859745384E-4</v>
      </c>
      <c r="AX35" s="126">
        <f>AX19/AX7</f>
        <v>4.2639877499724951E-4</v>
      </c>
      <c r="AY35" s="126">
        <f t="shared" ref="AY35" si="214">AY19/AY7</f>
        <v>5.8804197097012741E-4</v>
      </c>
      <c r="AZ35" s="126">
        <f>AZ19/AZ7</f>
        <v>1.4499037949270107E-3</v>
      </c>
      <c r="BA35" s="126">
        <f>BA19/BA7</f>
        <v>1.1856223752314608E-3</v>
      </c>
      <c r="BB35" s="126">
        <f>BB19/BB7</f>
        <v>7.9954865185494412E-4</v>
      </c>
      <c r="BC35" s="126">
        <f t="shared" ref="BC35" si="215">BC19/BC7</f>
        <v>7.9134260869840733E-4</v>
      </c>
      <c r="BD35" s="126">
        <f>BD19/BD7</f>
        <v>1.7286130121198196E-3</v>
      </c>
      <c r="BE35" s="126">
        <f>BE19/BE7</f>
        <v>4.8322709432905626E-4</v>
      </c>
      <c r="BF35" s="126">
        <f>BF19/BF7</f>
        <v>8.4131974234764287E-4</v>
      </c>
      <c r="BG35" s="126">
        <f t="shared" ref="BG35:BH35" si="216">BG19/BG7</f>
        <v>6.8698040683397494E-4</v>
      </c>
      <c r="BH35" s="126">
        <f t="shared" si="216"/>
        <v>-2.0000870707064453E-3</v>
      </c>
      <c r="BI35" s="126">
        <f>BI19/BI7</f>
        <v>-6.8970160372618694E-5</v>
      </c>
      <c r="BJ35" s="99"/>
      <c r="BK35" s="126">
        <f t="shared" ref="BK35:BP35" si="217">BK19/BK7</f>
        <v>5.979830544165474E-4</v>
      </c>
      <c r="BL35" s="126">
        <f t="shared" si="217"/>
        <v>9.4569911384994134E-4</v>
      </c>
      <c r="BM35" s="126">
        <f t="shared" si="217"/>
        <v>1.1660182149755627E-3</v>
      </c>
      <c r="BN35" s="126">
        <f t="shared" si="217"/>
        <v>-1.016547278401827E-6</v>
      </c>
      <c r="BO35" s="126">
        <f t="shared" si="217"/>
        <v>-6.6944286479989426E-4</v>
      </c>
      <c r="BP35" s="126">
        <f t="shared" si="217"/>
        <v>9.3538005937086259E-4</v>
      </c>
      <c r="BQ35" s="157"/>
      <c r="BR35" s="126">
        <f t="shared" ref="BR35:BX35" si="218">BR19/BR7</f>
        <v>1.5601093727167206E-3</v>
      </c>
      <c r="BS35" s="126">
        <f t="shared" si="218"/>
        <v>4.5857417546042706E-4</v>
      </c>
      <c r="BT35" s="126">
        <f t="shared" si="218"/>
        <v>1.0309110168627456E-3</v>
      </c>
      <c r="BU35" s="126">
        <f t="shared" si="218"/>
        <v>9.1063478985627859E-4</v>
      </c>
      <c r="BV35" s="126">
        <f t="shared" si="218"/>
        <v>-7.9466583770725202E-5</v>
      </c>
      <c r="BW35" s="126"/>
      <c r="BX35" s="126">
        <f t="shared" si="218"/>
        <v>1.1015663913618852E-3</v>
      </c>
      <c r="BY35" s="126">
        <f t="shared" ref="BY35:CB35" si="219">BY19/BY7</f>
        <v>3.262062325377221E-4</v>
      </c>
      <c r="BZ35" s="126">
        <f t="shared" si="219"/>
        <v>8.8055821142596304E-4</v>
      </c>
      <c r="CA35" s="126">
        <f t="shared" si="219"/>
        <v>6.2083990244362751E-4</v>
      </c>
      <c r="CB35" s="126">
        <f t="shared" si="219"/>
        <v>1.6266483165714705E-3</v>
      </c>
      <c r="CC35" s="126">
        <f t="shared" ref="CC35:CE35" si="220">CC19/CC7</f>
        <v>8.1772926578271355E-4</v>
      </c>
      <c r="CD35" s="126">
        <f t="shared" si="220"/>
        <v>1.0505238542976097E-3</v>
      </c>
      <c r="CE35" s="126">
        <f t="shared" si="220"/>
        <v>1.0814017883993554E-3</v>
      </c>
      <c r="CF35" s="126">
        <f>CF19/CF7</f>
        <v>6.9512378674215652E-4</v>
      </c>
      <c r="CG35" s="126">
        <f t="shared" ref="CG35:CI35" si="221">CG19/CG7</f>
        <v>4.2780559640414581E-4</v>
      </c>
      <c r="CH35" s="126">
        <f t="shared" si="221"/>
        <v>5.9044817956719264E-4</v>
      </c>
      <c r="CI35" s="126">
        <f t="shared" si="221"/>
        <v>1.4340064116824416E-3</v>
      </c>
    </row>
    <row r="36" spans="2:87" ht="13.5" customHeight="1">
      <c r="B36" s="130" t="str">
        <f>B20</f>
        <v>Profit before tax</v>
      </c>
      <c r="C36" s="125">
        <f t="shared" ref="C36:G36" si="222">C20/C7</f>
        <v>3.7350393057783399E-2</v>
      </c>
      <c r="D36" s="125">
        <f t="shared" si="222"/>
        <v>4.5522878969621844E-2</v>
      </c>
      <c r="E36" s="125">
        <f t="shared" si="222"/>
        <v>5.3992077687005445E-2</v>
      </c>
      <c r="F36" s="125">
        <f t="shared" si="222"/>
        <v>4.4675438410733834E-2</v>
      </c>
      <c r="G36" s="125">
        <f t="shared" si="222"/>
        <v>4.0612431073811066E-2</v>
      </c>
      <c r="H36" s="125">
        <f t="shared" ref="H36:N36" si="223">H20/H7</f>
        <v>4.0464541615487029E-2</v>
      </c>
      <c r="I36" s="125">
        <f t="shared" si="223"/>
        <v>4.1476207467949659E-2</v>
      </c>
      <c r="J36" s="125">
        <f t="shared" si="223"/>
        <v>4.1476207467949659E-2</v>
      </c>
      <c r="K36" s="125">
        <f t="shared" si="223"/>
        <v>5.0577406540744406E-2</v>
      </c>
      <c r="L36" s="125">
        <f t="shared" si="223"/>
        <v>7.553477419536804E-2</v>
      </c>
      <c r="M36" s="125">
        <f t="shared" ref="M36" si="224">M20/M7</f>
        <v>7.3362986829531684E-2</v>
      </c>
      <c r="N36" s="125">
        <f t="shared" si="223"/>
        <v>0.11506799066248996</v>
      </c>
      <c r="O36" s="125">
        <f t="shared" ref="O36" si="225">O20/O7</f>
        <v>0.11506799066248996</v>
      </c>
      <c r="P36" s="125">
        <f>P20/P7</f>
        <v>6.3329980963229532E-2</v>
      </c>
      <c r="Q36" s="125">
        <f>Q20/Q7</f>
        <v>5.1512462613015592E-2</v>
      </c>
      <c r="R36" s="125">
        <f>R20/R7</f>
        <v>4.7178194355635944E-2</v>
      </c>
      <c r="S36" s="125">
        <f t="shared" ref="S36" si="226">S20/S7</f>
        <v>4.9684130051652994E-2</v>
      </c>
      <c r="T36" s="5"/>
      <c r="U36" s="126">
        <f t="shared" ref="U36:AA36" si="227">U20/U7</f>
        <v>4.6774820731293222E-2</v>
      </c>
      <c r="V36" s="126">
        <f t="shared" si="227"/>
        <v>5.9361945460233753E-2</v>
      </c>
      <c r="W36" s="126">
        <f t="shared" si="227"/>
        <v>7.6254981506671274E-2</v>
      </c>
      <c r="X36" s="126">
        <f t="shared" si="227"/>
        <v>3.4146826987886313E-2</v>
      </c>
      <c r="Y36" s="126">
        <f t="shared" si="227"/>
        <v>3.2948774537106588E-2</v>
      </c>
      <c r="Z36" s="126">
        <f t="shared" si="227"/>
        <v>4.8679578588215221E-2</v>
      </c>
      <c r="AA36" s="126">
        <f t="shared" si="227"/>
        <v>5.4964375611506362E-2</v>
      </c>
      <c r="AB36" s="126">
        <f t="shared" ref="AB36:AG36" si="228">AB20/AB7</f>
        <v>4.2439166589326699E-2</v>
      </c>
      <c r="AC36" s="126">
        <f t="shared" si="228"/>
        <v>3.8268815905571456E-2</v>
      </c>
      <c r="AD36" s="126">
        <f t="shared" si="228"/>
        <v>1.2818687732954939E-2</v>
      </c>
      <c r="AE36" s="126">
        <f t="shared" si="228"/>
        <v>5.137271011799336E-2</v>
      </c>
      <c r="AF36" s="126">
        <f t="shared" si="228"/>
        <v>5.8844182615418635E-2</v>
      </c>
      <c r="AG36" s="126">
        <f t="shared" si="228"/>
        <v>3.8688156047778921E-2</v>
      </c>
      <c r="AH36" s="126">
        <f t="shared" ref="AH36:AM36" si="229">AH20/AH7</f>
        <v>3.1120231836183395E-2</v>
      </c>
      <c r="AI36" s="126">
        <f t="shared" si="229"/>
        <v>4.6526166131202522E-2</v>
      </c>
      <c r="AJ36" s="126">
        <f t="shared" si="229"/>
        <v>4.8995057200168828E-2</v>
      </c>
      <c r="AK36" s="126">
        <f t="shared" si="229"/>
        <v>4.3571667383205627E-3</v>
      </c>
      <c r="AL36" s="126">
        <f t="shared" si="229"/>
        <v>5.7292940131399656E-2</v>
      </c>
      <c r="AM36" s="126">
        <f t="shared" si="229"/>
        <v>6.871223994797597E-2</v>
      </c>
      <c r="AN36" s="126">
        <f>AN20/AN7</f>
        <v>6.6005890053340399E-2</v>
      </c>
      <c r="AO36" s="126">
        <f>AO20/AO7</f>
        <v>8.8254466907037421E-2</v>
      </c>
      <c r="AP36" s="126">
        <f>AP20/AP7</f>
        <v>6.059621297672687E-2</v>
      </c>
      <c r="AQ36" s="126">
        <f t="shared" ref="AQ36" si="230">AQ20/AQ7</f>
        <v>7.3856734192938034E-2</v>
      </c>
      <c r="AR36" s="126">
        <f>AR20/AR7</f>
        <v>7.1626266197818894E-2</v>
      </c>
      <c r="AS36" s="126">
        <f>AS20/AS7</f>
        <v>7.861149304995145E-2</v>
      </c>
      <c r="AT36" s="126">
        <f>AT20/AT7</f>
        <v>9.36018824652564E-2</v>
      </c>
      <c r="AU36" s="126">
        <f t="shared" ref="AU36" si="231">AU20/AU7</f>
        <v>8.5148536556013385E-2</v>
      </c>
      <c r="AV36" s="126">
        <f>AV20/AV7</f>
        <v>0.19561592331017574</v>
      </c>
      <c r="AW36" s="126">
        <f>AW20/AW7</f>
        <v>6.7025192666495689E-2</v>
      </c>
      <c r="AX36" s="126">
        <f>AX20/AX7</f>
        <v>6.5875631644783272E-2</v>
      </c>
      <c r="AY36" s="126">
        <f t="shared" ref="AY36" si="232">AY20/AY7</f>
        <v>6.7669381253573233E-2</v>
      </c>
      <c r="AZ36" s="126">
        <f>AZ20/AZ7</f>
        <v>5.2872072043033187E-2</v>
      </c>
      <c r="BA36" s="126">
        <f>BA20/BA7</f>
        <v>4.4995844453537832E-2</v>
      </c>
      <c r="BB36" s="126">
        <f>BB20/BB7</f>
        <v>5.6935958900558838E-2</v>
      </c>
      <c r="BC36" s="126">
        <f t="shared" ref="BC36" si="233">BC20/BC7</f>
        <v>5.8429221273760712E-2</v>
      </c>
      <c r="BD36" s="126">
        <f>BD20/BD7</f>
        <v>4.5585901286217374E-2</v>
      </c>
      <c r="BE36" s="126">
        <f>BE20/BE7</f>
        <v>3.4149568036066946E-2</v>
      </c>
      <c r="BF36" s="126">
        <f>BF20/BF7</f>
        <v>4.8755308816967401E-2</v>
      </c>
      <c r="BG36" s="126">
        <f t="shared" ref="BG36:BH36" si="234">BG20/BG7</f>
        <v>5.7149795409310873E-2</v>
      </c>
      <c r="BH36" s="126">
        <f t="shared" si="234"/>
        <v>4.8200330213115136E-2</v>
      </c>
      <c r="BI36" s="126">
        <f>BI20/BI7</f>
        <v>4.4287156460269247E-2</v>
      </c>
      <c r="BJ36" s="99"/>
      <c r="BK36" s="126">
        <f t="shared" ref="BK36:BP36" si="235">BK20/BK7</f>
        <v>3.8682015801859294E-2</v>
      </c>
      <c r="BL36" s="126">
        <f t="shared" si="235"/>
        <v>1.2752108470387534E-2</v>
      </c>
      <c r="BM36" s="126">
        <f t="shared" si="235"/>
        <v>5.1191623070320109E-2</v>
      </c>
      <c r="BN36" s="126">
        <f t="shared" si="235"/>
        <v>5.8159028708363814E-2</v>
      </c>
      <c r="BO36" s="126">
        <f t="shared" si="235"/>
        <v>3.1562879373034335E-2</v>
      </c>
      <c r="BP36" s="126">
        <f t="shared" si="235"/>
        <v>4.646608058921637E-2</v>
      </c>
      <c r="BQ36" s="157"/>
      <c r="BR36" s="126" t="e">
        <f t="shared" ref="BR36:BX36" si="236">BR20/BR7</f>
        <v>#REF!</v>
      </c>
      <c r="BS36" s="126">
        <f t="shared" si="236"/>
        <v>4.670711782299046E-3</v>
      </c>
      <c r="BT36" s="126">
        <f t="shared" si="236"/>
        <v>5.7534407419889827E-2</v>
      </c>
      <c r="BU36" s="126">
        <f t="shared" si="236"/>
        <v>6.8973477468622757E-2</v>
      </c>
      <c r="BV36" s="126">
        <f t="shared" si="236"/>
        <v>6.5101202882505191E-2</v>
      </c>
      <c r="BW36" s="126"/>
      <c r="BX36" s="126">
        <f t="shared" si="236"/>
        <v>8.7714092144271019E-2</v>
      </c>
      <c r="BY36" s="126">
        <f t="shared" ref="BY36:CB36" si="237">BY20/BY7</f>
        <v>5.6816060613712881E-2</v>
      </c>
      <c r="BZ36" s="126">
        <f t="shared" si="237"/>
        <v>7.1994634558068982E-2</v>
      </c>
      <c r="CA36" s="126">
        <f t="shared" si="237"/>
        <v>7.6947735100932613E-2</v>
      </c>
      <c r="CB36" s="126">
        <f t="shared" si="237"/>
        <v>7.5401287247812962E-2</v>
      </c>
      <c r="CC36" s="126">
        <f t="shared" ref="CC36:CE36" si="238">CC20/CC7</f>
        <v>9.3630815124575967E-2</v>
      </c>
      <c r="CD36" s="126">
        <f t="shared" si="238"/>
        <v>8.5240603216178545E-2</v>
      </c>
      <c r="CE36" s="126">
        <f t="shared" si="238"/>
        <v>0.19510358797531249</v>
      </c>
      <c r="CF36" s="126">
        <f>CF20/CF7</f>
        <v>6.7559865561206411E-2</v>
      </c>
      <c r="CG36" s="126">
        <f t="shared" ref="CG36:CI36" si="239">CG20/CG7</f>
        <v>6.6219520050823308E-2</v>
      </c>
      <c r="CH36" s="126">
        <f t="shared" si="239"/>
        <v>6.7892257319511554E-2</v>
      </c>
      <c r="CI36" s="126">
        <f t="shared" si="239"/>
        <v>5.1951841624115501E-2</v>
      </c>
    </row>
    <row r="37" spans="2:87" ht="13.5" customHeight="1">
      <c r="B37" s="128" t="s">
        <v>311</v>
      </c>
      <c r="C37" s="125">
        <f t="shared" ref="C37:G37" si="240">C21/C20</f>
        <v>-0.42298121087985602</v>
      </c>
      <c r="D37" s="125">
        <f t="shared" si="240"/>
        <v>-0.40716935760528244</v>
      </c>
      <c r="E37" s="125">
        <f t="shared" si="240"/>
        <v>-0.50282845477436244</v>
      </c>
      <c r="F37" s="125">
        <f t="shared" si="240"/>
        <v>-0.52562434693668458</v>
      </c>
      <c r="G37" s="125">
        <f t="shared" si="240"/>
        <v>-0.41825308601164607</v>
      </c>
      <c r="H37" s="125">
        <f t="shared" ref="H37:N37" si="241">H21/H20</f>
        <v>-0.41825308601164712</v>
      </c>
      <c r="I37" s="125">
        <f t="shared" si="241"/>
        <v>-0.39086334495542607</v>
      </c>
      <c r="J37" s="125">
        <f t="shared" si="241"/>
        <v>-0.39086334495542607</v>
      </c>
      <c r="K37" s="125">
        <f t="shared" si="241"/>
        <v>-0.36986837658965971</v>
      </c>
      <c r="L37" s="125">
        <f t="shared" si="241"/>
        <v>-0.34040000707316231</v>
      </c>
      <c r="M37" s="125">
        <f t="shared" ref="M37" si="242">M21/M20</f>
        <v>-0.35109227156371497</v>
      </c>
      <c r="N37" s="125">
        <f t="shared" si="241"/>
        <v>-0.31346621320060208</v>
      </c>
      <c r="O37" s="125">
        <f t="shared" ref="O37" si="243">O21/O20</f>
        <v>-0.31346621320060208</v>
      </c>
      <c r="P37" s="125">
        <f>P21/P20</f>
        <v>-0.33113967361132768</v>
      </c>
      <c r="Q37" s="125">
        <f>Q21/Q20</f>
        <v>-0.32312543788516512</v>
      </c>
      <c r="R37" s="125">
        <f>R21/R20</f>
        <v>-0.35729215536461889</v>
      </c>
      <c r="S37" s="125">
        <f t="shared" ref="S37" si="244">S21/S20</f>
        <v>-0.35699439906718722</v>
      </c>
      <c r="T37" s="5"/>
      <c r="U37" s="126">
        <f t="shared" ref="U37:AA37" si="245">U21/U20</f>
        <v>-0.38554239883492325</v>
      </c>
      <c r="V37" s="126">
        <f t="shared" si="245"/>
        <v>-0.43105825039886164</v>
      </c>
      <c r="W37" s="126">
        <f t="shared" si="245"/>
        <v>-0.44249156078149166</v>
      </c>
      <c r="X37" s="126">
        <f t="shared" si="245"/>
        <v>-0.87409033535537217</v>
      </c>
      <c r="Y37" s="126">
        <f t="shared" si="245"/>
        <v>-0.42942394410574197</v>
      </c>
      <c r="Z37" s="126">
        <f t="shared" si="245"/>
        <v>-0.45611403300387432</v>
      </c>
      <c r="AA37" s="126">
        <f t="shared" si="245"/>
        <v>-0.45429114937312653</v>
      </c>
      <c r="AB37" s="126">
        <f t="shared" ref="AB37:AG37" si="246">AB21/AB20</f>
        <v>-0.75356564121745828</v>
      </c>
      <c r="AC37" s="126">
        <f t="shared" si="246"/>
        <v>-0.40270258596705222</v>
      </c>
      <c r="AD37" s="126">
        <f t="shared" si="246"/>
        <v>-0.50318005442288471</v>
      </c>
      <c r="AE37" s="126">
        <f t="shared" si="246"/>
        <v>-0.44520670975125409</v>
      </c>
      <c r="AF37" s="126">
        <f t="shared" si="246"/>
        <v>-0.38727146672201751</v>
      </c>
      <c r="AG37" s="126">
        <f t="shared" si="246"/>
        <v>-0.41104197154392286</v>
      </c>
      <c r="AH37" s="126">
        <f t="shared" ref="AH37:AM37" si="247">AH21/AH20</f>
        <v>-0.34351425861214779</v>
      </c>
      <c r="AI37" s="126">
        <f t="shared" si="247"/>
        <v>-0.37427096754956152</v>
      </c>
      <c r="AJ37" s="126">
        <f t="shared" si="247"/>
        <v>-0.42080798709639805</v>
      </c>
      <c r="AK37" s="126">
        <f t="shared" si="247"/>
        <v>-9.6600460839440683E-2</v>
      </c>
      <c r="AL37" s="126">
        <f t="shared" si="247"/>
        <v>-0.42046464033559278</v>
      </c>
      <c r="AM37" s="126">
        <f t="shared" si="247"/>
        <v>-0.34346495897826373</v>
      </c>
      <c r="AN37" s="126">
        <f>AN21/AN20</f>
        <v>-0.36874937199454538</v>
      </c>
      <c r="AO37" s="126">
        <f>AO21/AO20</f>
        <v>-0.3749999463068952</v>
      </c>
      <c r="AP37" s="126">
        <f>AP21/AP20</f>
        <v>-0.33903277046689373</v>
      </c>
      <c r="AQ37" s="126">
        <f t="shared" ref="AQ37" si="248">AQ21/AQ20</f>
        <v>-0.33281149237506263</v>
      </c>
      <c r="AR37" s="126">
        <f>AR21/AR20</f>
        <v>-0.35321228440966546</v>
      </c>
      <c r="AS37" s="126">
        <f>AS21/AS20</f>
        <v>-0.33995781122739305</v>
      </c>
      <c r="AT37" s="126">
        <f>AT21/AT20</f>
        <v>-0.32617351622860025</v>
      </c>
      <c r="AU37" s="126">
        <f t="shared" ref="AU37" si="249">AU21/AU20</f>
        <v>-0.31168506458832701</v>
      </c>
      <c r="AV37" s="126">
        <f>AV21/AV20</f>
        <v>-0.29933127178299113</v>
      </c>
      <c r="AW37" s="126">
        <f>AW21/AW20</f>
        <v>-0.33000004645313136</v>
      </c>
      <c r="AX37" s="126">
        <f>AX21/AX20</f>
        <v>-0.35019328664123733</v>
      </c>
      <c r="AY37" s="126">
        <f t="shared" ref="AY37" si="250">AY21/AY20</f>
        <v>-0.32515416674861486</v>
      </c>
      <c r="AZ37" s="126">
        <f>AZ21/AZ20</f>
        <v>-0.31646184747021611</v>
      </c>
      <c r="BA37" s="126">
        <f>BA21/BA20</f>
        <v>-0.34557766168952286</v>
      </c>
      <c r="BB37" s="126">
        <f>BB21/BB20</f>
        <v>-0.34474311210685527</v>
      </c>
      <c r="BC37" s="126">
        <f t="shared" ref="BC37" si="251">BC21/BC20</f>
        <v>-0.33664455313461161</v>
      </c>
      <c r="BD37" s="126">
        <f>BD21/BD20</f>
        <v>-0.26378120078142892</v>
      </c>
      <c r="BE37" s="126">
        <f>BE21/BE20</f>
        <v>-0.3750001058669179</v>
      </c>
      <c r="BF37" s="126">
        <f>BF21/BF20</f>
        <v>-0.37667312369271982</v>
      </c>
      <c r="BG37" s="126">
        <f t="shared" ref="BG37:BH37" si="252">BG21/BG20</f>
        <v>-0.37607438771750412</v>
      </c>
      <c r="BH37" s="126">
        <f t="shared" si="252"/>
        <v>-0.30372895447135406</v>
      </c>
      <c r="BI37" s="126">
        <f>BI21/BI20</f>
        <v>-0.37000003601306475</v>
      </c>
      <c r="BJ37" s="99"/>
      <c r="BK37" s="126">
        <f t="shared" ref="BK37:BP37" si="253">BK21/BK20</f>
        <v>-0.39823042578887641</v>
      </c>
      <c r="BL37" s="126">
        <f t="shared" si="253"/>
        <v>-0.5031865591409389</v>
      </c>
      <c r="BM37" s="126">
        <f t="shared" si="253"/>
        <v>-0.44520670975125409</v>
      </c>
      <c r="BN37" s="126">
        <f t="shared" si="253"/>
        <v>-0.38977820135119706</v>
      </c>
      <c r="BO37" s="126">
        <f t="shared" si="253"/>
        <v>-0.33977674386717965</v>
      </c>
      <c r="BP37" s="126">
        <f t="shared" si="253"/>
        <v>-0.3753272689738385</v>
      </c>
      <c r="BQ37" s="157"/>
      <c r="BR37" s="126" t="e">
        <f t="shared" ref="BR37:BX37" si="254">BR21/BR20</f>
        <v>#REF!</v>
      </c>
      <c r="BS37" s="126">
        <f t="shared" si="254"/>
        <v>-9.0300145040787552E-2</v>
      </c>
      <c r="BT37" s="126">
        <f t="shared" si="254"/>
        <v>-0.41920020331527136</v>
      </c>
      <c r="BU37" s="126">
        <f t="shared" si="254"/>
        <v>-0.34250498599725893</v>
      </c>
      <c r="BV37" s="126">
        <f t="shared" si="254"/>
        <v>-0.37236179220113513</v>
      </c>
      <c r="BW37" s="126"/>
      <c r="BX37" s="126">
        <f t="shared" si="254"/>
        <v>-0.37659716362720308</v>
      </c>
      <c r="BY37" s="126">
        <f t="shared" ref="BY37:CB37" si="255">BY21/BY20</f>
        <v>-0.35325788580958517</v>
      </c>
      <c r="BZ37" s="126">
        <f t="shared" si="255"/>
        <v>-0.34504305976478078</v>
      </c>
      <c r="CA37" s="126">
        <f t="shared" si="255"/>
        <v>-0.32993145927893397</v>
      </c>
      <c r="CB37" s="126">
        <f t="shared" si="255"/>
        <v>-0.35824212094215424</v>
      </c>
      <c r="CC37" s="126">
        <f t="shared" ref="CC37:CE37" si="256">CC21/CC20</f>
        <v>-0.32613984156852716</v>
      </c>
      <c r="CD37" s="126">
        <f t="shared" si="256"/>
        <v>-0.31163694008633858</v>
      </c>
      <c r="CE37" s="126">
        <f t="shared" si="256"/>
        <v>-0.29446017211223546</v>
      </c>
      <c r="CF37" s="126">
        <f>CF21/CF20</f>
        <v>-0.32861284460846196</v>
      </c>
      <c r="CG37" s="126">
        <f t="shared" ref="CG37:CI37" si="257">CG21/CG20</f>
        <v>-0.3495337348222658</v>
      </c>
      <c r="CH37" s="126">
        <f t="shared" si="257"/>
        <v>-0.32541953192671424</v>
      </c>
      <c r="CI37" s="126">
        <f t="shared" si="257"/>
        <v>-0.31856537692891179</v>
      </c>
    </row>
    <row r="38" spans="2:87" ht="13.5" customHeight="1"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5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  <c r="AM38" s="127"/>
      <c r="AN38" s="127"/>
      <c r="AO38" s="127"/>
      <c r="AP38" s="127"/>
      <c r="AQ38" s="127"/>
      <c r="AR38" s="127"/>
      <c r="AS38" s="127"/>
      <c r="AT38" s="127"/>
      <c r="AU38" s="127"/>
      <c r="AV38" s="127"/>
      <c r="AW38" s="127"/>
      <c r="AX38" s="127"/>
      <c r="AY38" s="127"/>
      <c r="AZ38" s="127"/>
      <c r="BA38" s="127"/>
      <c r="BB38" s="127"/>
      <c r="BC38" s="127"/>
      <c r="BD38" s="127"/>
      <c r="BE38" s="127"/>
      <c r="BF38" s="127"/>
      <c r="BG38" s="127"/>
      <c r="BH38" s="127"/>
      <c r="BI38" s="127"/>
      <c r="BJ38" s="99"/>
      <c r="BK38" s="127"/>
      <c r="BL38" s="127"/>
      <c r="BM38" s="127"/>
      <c r="BN38" s="127"/>
      <c r="BO38" s="127"/>
      <c r="BP38" s="127"/>
      <c r="BQ38" s="138"/>
      <c r="BR38" s="127"/>
      <c r="BS38" s="127"/>
      <c r="BT38" s="127"/>
      <c r="BU38" s="127"/>
      <c r="BV38" s="127"/>
      <c r="BW38" s="127"/>
      <c r="BX38" s="127"/>
      <c r="BY38" s="127"/>
      <c r="BZ38" s="127"/>
      <c r="CA38" s="127"/>
      <c r="CB38" s="127"/>
      <c r="CC38" s="127"/>
      <c r="CD38" s="127"/>
      <c r="CE38" s="127"/>
      <c r="CF38" s="127"/>
      <c r="CG38" s="127"/>
      <c r="CH38" s="127"/>
      <c r="CI38" s="127"/>
    </row>
    <row r="39" spans="2:87" ht="13.5" customHeight="1">
      <c r="B39" s="130" t="s">
        <v>312</v>
      </c>
      <c r="C39" s="126">
        <f t="shared" ref="C39:S39" si="258">C65/C7</f>
        <v>-3.6506737541542447E-2</v>
      </c>
      <c r="D39" s="126">
        <f t="shared" si="258"/>
        <v>-4.3818064661740888E-2</v>
      </c>
      <c r="E39" s="126">
        <f t="shared" si="258"/>
        <v>-5.2163271655015581E-2</v>
      </c>
      <c r="F39" s="126">
        <f t="shared" si="258"/>
        <v>-5.0736027706516557E-2</v>
      </c>
      <c r="G39" s="126">
        <f t="shared" si="258"/>
        <v>-5.2267701910597333E-2</v>
      </c>
      <c r="H39" s="126">
        <f t="shared" si="258"/>
        <v>-5.0007475126307231E-2</v>
      </c>
      <c r="I39" s="126">
        <f t="shared" si="258"/>
        <v>-4.332232369864724E-2</v>
      </c>
      <c r="J39" s="126">
        <f t="shared" si="258"/>
        <v>-4.332232369864724E-2</v>
      </c>
      <c r="K39" s="126">
        <f t="shared" si="258"/>
        <v>-3.8282516647118035E-2</v>
      </c>
      <c r="L39" s="126">
        <f t="shared" si="258"/>
        <v>-6.0016110066902946E-2</v>
      </c>
      <c r="M39" s="126">
        <f t="shared" si="258"/>
        <v>-6.0904364847781438E-2</v>
      </c>
      <c r="N39" s="126">
        <f t="shared" si="258"/>
        <v>-7.3803221861863111E-2</v>
      </c>
      <c r="O39" s="126">
        <f t="shared" si="258"/>
        <v>-7.3780658887167352E-2</v>
      </c>
      <c r="P39" s="126">
        <f t="shared" si="258"/>
        <v>-8.7885657050440241E-2</v>
      </c>
      <c r="Q39" s="126">
        <f t="shared" si="258"/>
        <v>-7.0461105003665953E-2</v>
      </c>
      <c r="R39" s="126">
        <f t="shared" si="258"/>
        <v>-5.2100575574715945E-2</v>
      </c>
      <c r="S39" s="126">
        <f t="shared" si="258"/>
        <v>-4.4112083025949524E-2</v>
      </c>
      <c r="T39" s="5"/>
      <c r="U39" s="126">
        <f t="shared" ref="U39:BH39" si="259">U65/U7</f>
        <v>-3.2472640534657482E-2</v>
      </c>
      <c r="V39" s="126">
        <f t="shared" si="259"/>
        <v>-5.2635206432180538E-2</v>
      </c>
      <c r="W39" s="126">
        <f t="shared" si="259"/>
        <v>-4.406994936097082E-2</v>
      </c>
      <c r="X39" s="126">
        <f t="shared" si="259"/>
        <v>-7.5724001762483575E-2</v>
      </c>
      <c r="Y39" s="126">
        <f t="shared" si="259"/>
        <v>-4.2969481417280936E-2</v>
      </c>
      <c r="Z39" s="126">
        <f t="shared" si="259"/>
        <v>-4.1234683742665014E-2</v>
      </c>
      <c r="AA39" s="126">
        <f t="shared" si="259"/>
        <v>-4.2664451681527986E-2</v>
      </c>
      <c r="AB39" s="126">
        <f t="shared" si="259"/>
        <v>-7.413460174869059E-2</v>
      </c>
      <c r="AC39" s="126">
        <f t="shared" si="259"/>
        <v>-5.136726589067963E-2</v>
      </c>
      <c r="AD39" s="126">
        <f t="shared" si="259"/>
        <v>-5.0768126878945476E-2</v>
      </c>
      <c r="AE39" s="126">
        <f t="shared" si="259"/>
        <v>-4.4832193129958217E-2</v>
      </c>
      <c r="AF39" s="126">
        <f t="shared" si="259"/>
        <v>-6.1537363918025424E-2</v>
      </c>
      <c r="AG39" s="126">
        <f t="shared" si="259"/>
        <v>-2.6883502031307963E-2</v>
      </c>
      <c r="AH39" s="126">
        <f t="shared" si="259"/>
        <v>-4.9713310233264751E-2</v>
      </c>
      <c r="AI39" s="126">
        <f t="shared" si="259"/>
        <v>-3.779149653377032E-2</v>
      </c>
      <c r="AJ39" s="126">
        <f t="shared" si="259"/>
        <v>-5.79246240977302E-2</v>
      </c>
      <c r="AK39" s="126">
        <f t="shared" si="259"/>
        <v>-3.0775864400131581E-2</v>
      </c>
      <c r="AL39" s="126">
        <f t="shared" si="259"/>
        <v>-3.0649704830066096E-2</v>
      </c>
      <c r="AM39" s="126">
        <f t="shared" si="259"/>
        <v>-2.9815921924404666E-2</v>
      </c>
      <c r="AN39" s="126">
        <f t="shared" si="259"/>
        <v>-6.131236816098614E-2</v>
      </c>
      <c r="AO39" s="126">
        <f t="shared" si="259"/>
        <v>-3.1856141672025662E-2</v>
      </c>
      <c r="AP39" s="126">
        <f t="shared" si="259"/>
        <v>-5.4308357164178617E-2</v>
      </c>
      <c r="AQ39" s="126">
        <f t="shared" si="259"/>
        <v>-5.0100976305002765E-2</v>
      </c>
      <c r="AR39" s="126">
        <f t="shared" si="259"/>
        <v>-0.10428817458721194</v>
      </c>
      <c r="AS39" s="126">
        <f t="shared" si="259"/>
        <v>-4.0325183360825995E-2</v>
      </c>
      <c r="AT39" s="126">
        <f t="shared" si="259"/>
        <v>-6.576512388795383E-2</v>
      </c>
      <c r="AU39" s="126">
        <f t="shared" si="259"/>
        <v>-6.8399102495377284E-2</v>
      </c>
      <c r="AV39" s="126">
        <f t="shared" si="259"/>
        <v>-0.11577996262306905</v>
      </c>
      <c r="AW39" s="126">
        <f t="shared" si="259"/>
        <v>-5.2192034137788147E-2</v>
      </c>
      <c r="AX39" s="126">
        <f t="shared" si="259"/>
        <v>-7.5301360094124165E-2</v>
      </c>
      <c r="AY39" s="126">
        <f t="shared" si="259"/>
        <v>-8.7949010268991573E-2</v>
      </c>
      <c r="AZ39" s="126">
        <f t="shared" si="259"/>
        <v>-0.13562602011099059</v>
      </c>
      <c r="BA39" s="126">
        <f t="shared" si="259"/>
        <v>-5.7758048457219338E-2</v>
      </c>
      <c r="BB39" s="126">
        <f t="shared" si="259"/>
        <v>-6.4671623966860534E-2</v>
      </c>
      <c r="BC39" s="126">
        <f t="shared" si="259"/>
        <v>-6.4048782590888836E-2</v>
      </c>
      <c r="BD39" s="126">
        <f t="shared" si="259"/>
        <v>-9.25068948881691E-2</v>
      </c>
      <c r="BE39" s="126">
        <f t="shared" si="259"/>
        <v>-4.9530328870344573E-2</v>
      </c>
      <c r="BF39" s="126">
        <f t="shared" si="259"/>
        <v>-4.0483670853920108E-2</v>
      </c>
      <c r="BG39" s="126">
        <f t="shared" si="259"/>
        <v>-3.9894341899562057E-2</v>
      </c>
      <c r="BH39" s="126">
        <f t="shared" si="259"/>
        <v>-7.8200094300437367E-2</v>
      </c>
      <c r="BI39" s="126">
        <f t="shared" ref="BI39" si="260">BI65/BI7</f>
        <v>-1.5715696844934644E-2</v>
      </c>
      <c r="BJ39" s="99"/>
      <c r="BK39" s="127">
        <f t="shared" ref="BK39:BP39" si="261">BK65/BK7</f>
        <v>-5.1371143542441253E-2</v>
      </c>
      <c r="BL39" s="127">
        <f t="shared" si="261"/>
        <v>-4.8148092791352487E-2</v>
      </c>
      <c r="BM39" s="127">
        <f t="shared" si="261"/>
        <v>-4.3274834706831522E-2</v>
      </c>
      <c r="BN39" s="127">
        <f t="shared" si="261"/>
        <v>-5.6952374056243336E-2</v>
      </c>
      <c r="BO39" s="127">
        <f t="shared" si="261"/>
        <v>-4.9871835875795856E-2</v>
      </c>
      <c r="BP39" s="127">
        <f t="shared" si="261"/>
        <v>-3.7849212095872026E-2</v>
      </c>
      <c r="BQ39" s="99"/>
      <c r="BR39" s="127">
        <f>BR65/BR7</f>
        <v>-5.7924624097730207E-2</v>
      </c>
      <c r="BS39" s="127">
        <f>BS65/BS7</f>
        <v>-3.083985067632115E-2</v>
      </c>
      <c r="BT39" s="127">
        <f>BT65/BT7</f>
        <v>-3.0686321918603088E-2</v>
      </c>
      <c r="BU39" s="127">
        <f>BU65/BU7</f>
        <v>-2.984562794909959E-2</v>
      </c>
      <c r="BV39" s="127">
        <f>BV65/BV7</f>
        <v>-6.1064390073091446E-2</v>
      </c>
      <c r="BW39" s="127"/>
      <c r="BX39" s="127">
        <f t="shared" ref="BX39:CI39" si="262">BX65/BX7</f>
        <v>-3.1795941557941972E-2</v>
      </c>
      <c r="BY39" s="127">
        <f t="shared" si="262"/>
        <v>-5.3695387797070136E-2</v>
      </c>
      <c r="BZ39" s="127">
        <f t="shared" si="262"/>
        <v>-4.9776323177985346E-2</v>
      </c>
      <c r="CA39" s="127">
        <f t="shared" si="262"/>
        <v>-0.10266201771612438</v>
      </c>
      <c r="CB39" s="127">
        <f t="shared" si="262"/>
        <v>-4.1549742739020228E-2</v>
      </c>
      <c r="CC39" s="127">
        <f t="shared" si="262"/>
        <v>-6.5778660318606866E-2</v>
      </c>
      <c r="CD39" s="127">
        <f t="shared" si="262"/>
        <v>-6.9417523286144867E-2</v>
      </c>
      <c r="CE39" s="127">
        <f t="shared" si="262"/>
        <v>-0.11175357353527569</v>
      </c>
      <c r="CF39" s="127">
        <f t="shared" si="262"/>
        <v>-5.2394394581795276E-2</v>
      </c>
      <c r="CG39" s="127">
        <f t="shared" si="262"/>
        <v>-7.5549802565258131E-2</v>
      </c>
      <c r="CH39" s="127">
        <f t="shared" si="262"/>
        <v>-8.8307374663747537E-2</v>
      </c>
      <c r="CI39" s="127">
        <f t="shared" si="262"/>
        <v>-0.13413895674362517</v>
      </c>
    </row>
    <row r="40" spans="2:87" ht="13.5" customHeight="1">
      <c r="B40" s="130" t="s">
        <v>313</v>
      </c>
      <c r="C40" s="126">
        <f t="shared" ref="C40:G40" si="263">C44/C7</f>
        <v>3.1173041387010558E-2</v>
      </c>
      <c r="D40" s="126">
        <f t="shared" si="263"/>
        <v>3.2161498571523638E-2</v>
      </c>
      <c r="E40" s="126">
        <f t="shared" si="263"/>
        <v>3.3458511965189633E-2</v>
      </c>
      <c r="F40" s="126">
        <f t="shared" si="263"/>
        <v>3.2750035460574686E-2</v>
      </c>
      <c r="G40" s="126">
        <f t="shared" si="263"/>
        <v>3.4689595380410734E-2</v>
      </c>
      <c r="H40" s="126">
        <f t="shared" ref="H40:N40" si="264">H44/H7</f>
        <v>3.4563273824802267E-2</v>
      </c>
      <c r="I40" s="126">
        <f t="shared" si="264"/>
        <v>4.9238052503495049E-2</v>
      </c>
      <c r="J40" s="126">
        <f t="shared" si="264"/>
        <v>4.9238052503495049E-2</v>
      </c>
      <c r="K40" s="126">
        <f t="shared" si="264"/>
        <v>4.9091307189963997E-2</v>
      </c>
      <c r="L40" s="126">
        <f t="shared" si="264"/>
        <v>4.6933753189854009E-2</v>
      </c>
      <c r="M40" s="126">
        <f t="shared" ref="M40" si="265">M44/M7</f>
        <v>4.7599938279571506E-2</v>
      </c>
      <c r="N40" s="126">
        <f t="shared" si="264"/>
        <v>4.5241761458728713E-2</v>
      </c>
      <c r="O40" s="126">
        <f t="shared" ref="O40" si="266">O44/O7</f>
        <v>4.5853703141826255E-2</v>
      </c>
      <c r="P40" s="126">
        <f>P44/P7</f>
        <v>4.7337071683262053E-2</v>
      </c>
      <c r="Q40" s="126">
        <f>Q44/Q7</f>
        <v>5.6451033228105754E-2</v>
      </c>
      <c r="R40" s="126">
        <f>R44/R7</f>
        <v>5.8174164311899881E-2</v>
      </c>
      <c r="S40" s="126">
        <f t="shared" ref="S40" si="267">S44/S7</f>
        <v>5.8531896036463027E-2</v>
      </c>
      <c r="T40" s="5"/>
      <c r="U40" s="126">
        <f t="shared" ref="U40:AA40" si="268">U44/U7</f>
        <v>3.2238231700631448E-2</v>
      </c>
      <c r="V40" s="126">
        <f t="shared" si="268"/>
        <v>3.1866046020541772E-2</v>
      </c>
      <c r="W40" s="126">
        <f t="shared" si="268"/>
        <v>3.211925940011235E-2</v>
      </c>
      <c r="X40" s="126">
        <f t="shared" si="268"/>
        <v>3.7148834570654848E-2</v>
      </c>
      <c r="Y40" s="126">
        <f t="shared" si="268"/>
        <v>3.3766722862718056E-2</v>
      </c>
      <c r="Z40" s="126">
        <f t="shared" si="268"/>
        <v>3.1958155345088529E-2</v>
      </c>
      <c r="AA40" s="126">
        <f t="shared" si="268"/>
        <v>3.1994186734515005E-2</v>
      </c>
      <c r="AB40" s="126">
        <f t="shared" ref="AB40:AG40" si="269">AB44/AB7</f>
        <v>3.3226624660098111E-2</v>
      </c>
      <c r="AC40" s="126">
        <f t="shared" si="269"/>
        <v>3.410335349595555E-2</v>
      </c>
      <c r="AD40" s="126">
        <f t="shared" si="269"/>
        <v>3.5427863193333096E-2</v>
      </c>
      <c r="AE40" s="126">
        <f t="shared" si="269"/>
        <v>3.3937929972995572E-2</v>
      </c>
      <c r="AF40" s="126">
        <f t="shared" si="269"/>
        <v>3.5217988416632498E-2</v>
      </c>
      <c r="AG40" s="126">
        <f t="shared" si="269"/>
        <v>4.8461423043454702E-2</v>
      </c>
      <c r="AH40" s="126">
        <f t="shared" ref="AH40:AM40" si="270">AH44/AH7</f>
        <v>4.6883606216743139E-2</v>
      </c>
      <c r="AI40" s="126">
        <f t="shared" si="270"/>
        <v>5.0516712621118419E-2</v>
      </c>
      <c r="AJ40" s="126">
        <f t="shared" si="270"/>
        <v>5.0949420347435458E-2</v>
      </c>
      <c r="AK40" s="126">
        <f t="shared" si="270"/>
        <v>4.6994638090027421E-2</v>
      </c>
      <c r="AL40" s="126">
        <f t="shared" si="270"/>
        <v>4.9784819660034965E-2</v>
      </c>
      <c r="AM40" s="126">
        <f t="shared" si="270"/>
        <v>4.6051873085992262E-2</v>
      </c>
      <c r="AN40" s="126">
        <f>AN44/AN7</f>
        <v>5.3317734568230447E-2</v>
      </c>
      <c r="AO40" s="126">
        <f>AO44/AO7</f>
        <v>4.7678869018446229E-2</v>
      </c>
      <c r="AP40" s="126">
        <f>AP44/AP7</f>
        <v>4.7398986430372922E-2</v>
      </c>
      <c r="AQ40" s="126">
        <f t="shared" ref="AQ40" si="271">AQ44/AQ7</f>
        <v>4.5506278294157598E-2</v>
      </c>
      <c r="AR40" s="126">
        <f>AR44/AR7</f>
        <v>4.982625525865577E-2</v>
      </c>
      <c r="AS40" s="126">
        <f>AS44/AS7</f>
        <v>4.5873194914368462E-2</v>
      </c>
      <c r="AT40" s="126">
        <f>AT44/AT7</f>
        <v>4.5440342676071721E-2</v>
      </c>
      <c r="AU40" s="126">
        <f t="shared" ref="AU40" si="272">AU44/AU7</f>
        <v>4.4671839003917926E-2</v>
      </c>
      <c r="AV40" s="126">
        <f>AV44/AV7</f>
        <v>2.7602707388508917E-2</v>
      </c>
      <c r="AW40" s="126">
        <f>AW44/AW7</f>
        <v>4.5484224883125368E-2</v>
      </c>
      <c r="AX40" s="126">
        <f>AX44/AX7</f>
        <v>4.5721394770758449E-2</v>
      </c>
      <c r="AY40" s="126">
        <f t="shared" ref="AY40" si="273">AY44/AY7</f>
        <v>4.6240669246067324E-2</v>
      </c>
      <c r="AZ40" s="126">
        <f>AZ44/AZ7</f>
        <v>3.3222864189225106E-2</v>
      </c>
      <c r="BA40" s="126">
        <f>BA44/BA7</f>
        <v>5.2452430243407823E-2</v>
      </c>
      <c r="BB40" s="126">
        <f>BB44/BB7</f>
        <v>5.6393519811357699E-2</v>
      </c>
      <c r="BC40" s="126">
        <f t="shared" ref="BC40" si="274">BC44/BC7</f>
        <v>5.7327316367193237E-2</v>
      </c>
      <c r="BD40" s="126">
        <f>BD44/BD7</f>
        <v>5.9048229114355782E-2</v>
      </c>
      <c r="BE40" s="126">
        <f>BE44/BE7</f>
        <v>5.8568554531179283E-2</v>
      </c>
      <c r="BF40" s="126">
        <f>BF44/BF7</f>
        <v>5.8039815974933955E-2</v>
      </c>
      <c r="BG40" s="126">
        <f t="shared" ref="BG40:BH40" si="275">BG44/BG7</f>
        <v>5.7279975012665602E-2</v>
      </c>
      <c r="BH40" s="126">
        <f t="shared" si="275"/>
        <v>5.8816705406052119E-2</v>
      </c>
      <c r="BI40" s="126">
        <f>BI44/BI7</f>
        <v>6.0092288234942649E-2</v>
      </c>
      <c r="BJ40" s="99"/>
      <c r="BK40" s="127">
        <f t="shared" ref="BK40:BP40" si="276">BK44/BK7</f>
        <v>3.4027758541966185E-2</v>
      </c>
      <c r="BL40" s="127">
        <f t="shared" si="276"/>
        <v>3.5316417067912109E-2</v>
      </c>
      <c r="BM40" s="127">
        <f t="shared" si="276"/>
        <v>3.3818286164246203E-2</v>
      </c>
      <c r="BN40" s="127">
        <f t="shared" si="276"/>
        <v>3.5022751501029792E-2</v>
      </c>
      <c r="BO40" s="127">
        <f t="shared" si="276"/>
        <v>4.6978263656375065E-2</v>
      </c>
      <c r="BP40" s="127">
        <f t="shared" si="276"/>
        <v>5.0682558642146748E-2</v>
      </c>
      <c r="BQ40" s="138"/>
      <c r="BR40" s="127">
        <f t="shared" ref="BR40:BX40" si="277">BR44/BR7</f>
        <v>5.0949420347435465E-2</v>
      </c>
      <c r="BS40" s="127">
        <f t="shared" si="277"/>
        <v>4.7036317757519625E-2</v>
      </c>
      <c r="BT40" s="127">
        <f t="shared" si="277"/>
        <v>4.9827022085335924E-2</v>
      </c>
      <c r="BU40" s="127">
        <f t="shared" si="277"/>
        <v>4.6031559051676579E-2</v>
      </c>
      <c r="BV40" s="127">
        <f t="shared" si="277"/>
        <v>5.3235675346178318E-2</v>
      </c>
      <c r="BW40" s="127"/>
      <c r="BX40" s="127">
        <f t="shared" si="277"/>
        <v>4.7658931464834714E-2</v>
      </c>
      <c r="BY40" s="127">
        <f t="shared" ref="BY40:CB40" si="278">BY44/BY7</f>
        <v>4.7234187294940819E-2</v>
      </c>
      <c r="BZ40" s="127">
        <f t="shared" si="278"/>
        <v>4.6652307455232543E-2</v>
      </c>
      <c r="CA40" s="127">
        <f t="shared" si="278"/>
        <v>4.8753618095112555E-2</v>
      </c>
      <c r="CB40" s="127">
        <f t="shared" si="278"/>
        <v>4.6544659173200782E-2</v>
      </c>
      <c r="CC40" s="127">
        <f t="shared" ref="CC40:CE40" si="279">CC44/CC7</f>
        <v>4.6115362814892938E-2</v>
      </c>
      <c r="CD40" s="127">
        <f t="shared" si="279"/>
        <v>4.4647770009142385E-2</v>
      </c>
      <c r="CE40" s="127">
        <f t="shared" si="279"/>
        <v>4.618465855757839E-2</v>
      </c>
      <c r="CF40" s="127">
        <f>CF44/CF7</f>
        <v>4.5540070539390978E-2</v>
      </c>
      <c r="CG40" s="127">
        <f t="shared" ref="CG40:CI40" si="280">CG44/CG7</f>
        <v>4.5760404154932412E-2</v>
      </c>
      <c r="CH40" s="127">
        <f t="shared" si="280"/>
        <v>4.2051767132113477E-2</v>
      </c>
      <c r="CI40" s="127">
        <f t="shared" si="280"/>
        <v>5.575878359476881E-2</v>
      </c>
    </row>
    <row r="41" spans="2:87" ht="13.5" customHeight="1"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5"/>
      <c r="U41" s="127"/>
      <c r="Y41" s="127"/>
      <c r="Z41" s="127"/>
      <c r="AD41" s="127"/>
      <c r="BQ41" s="99"/>
    </row>
    <row r="42" spans="2:87" ht="13.5" customHeight="1">
      <c r="B42" s="16" t="s">
        <v>314</v>
      </c>
      <c r="C42" s="38">
        <f>C3</f>
        <v>41975</v>
      </c>
      <c r="D42" s="38">
        <f t="shared" ref="D42:AD42" si="281">D3</f>
        <v>42341</v>
      </c>
      <c r="E42" s="38">
        <f t="shared" si="281"/>
        <v>42708</v>
      </c>
      <c r="F42" s="38">
        <f t="shared" si="281"/>
        <v>43074</v>
      </c>
      <c r="G42" s="38">
        <f t="shared" ref="G42:L42" si="282">G3</f>
        <v>43439</v>
      </c>
      <c r="H42" s="38">
        <f t="shared" si="282"/>
        <v>43439</v>
      </c>
      <c r="I42" s="38">
        <f t="shared" si="282"/>
        <v>43804</v>
      </c>
      <c r="J42" s="38">
        <f t="shared" si="282"/>
        <v>43804</v>
      </c>
      <c r="K42" s="38">
        <f t="shared" si="282"/>
        <v>44170</v>
      </c>
      <c r="L42" s="38">
        <f t="shared" si="282"/>
        <v>44535</v>
      </c>
      <c r="M42" s="38">
        <f t="shared" ref="M42" si="283">M3</f>
        <v>44535</v>
      </c>
      <c r="N42" s="38">
        <f t="shared" ref="N42:O42" si="284">N3</f>
        <v>44900</v>
      </c>
      <c r="O42" s="38">
        <f t="shared" si="284"/>
        <v>44900</v>
      </c>
      <c r="P42" s="38">
        <f>P3</f>
        <v>45265</v>
      </c>
      <c r="Q42" s="38">
        <f>Q3</f>
        <v>45631</v>
      </c>
      <c r="R42" s="38">
        <f>R3</f>
        <v>45996</v>
      </c>
      <c r="S42" s="197" t="s">
        <v>277</v>
      </c>
      <c r="T42" s="5"/>
      <c r="U42" s="38">
        <f t="shared" si="281"/>
        <v>42437</v>
      </c>
      <c r="V42" s="38">
        <f t="shared" si="281"/>
        <v>42527</v>
      </c>
      <c r="W42" s="38">
        <f t="shared" si="281"/>
        <v>42622</v>
      </c>
      <c r="X42" s="38">
        <f t="shared" si="281"/>
        <v>42714</v>
      </c>
      <c r="Y42" s="38">
        <f t="shared" si="281"/>
        <v>42801</v>
      </c>
      <c r="Z42" s="38">
        <f t="shared" si="281"/>
        <v>42892</v>
      </c>
      <c r="AA42" s="38">
        <f t="shared" si="281"/>
        <v>42987</v>
      </c>
      <c r="AB42" s="38">
        <f t="shared" si="281"/>
        <v>43100</v>
      </c>
      <c r="AC42" s="38">
        <f t="shared" si="281"/>
        <v>43190</v>
      </c>
      <c r="AD42" s="38">
        <f t="shared" si="281"/>
        <v>43281</v>
      </c>
      <c r="AE42" s="38">
        <f t="shared" ref="AE42:AJ42" si="285">AE3</f>
        <v>43373</v>
      </c>
      <c r="AF42" s="38">
        <f t="shared" si="285"/>
        <v>43465</v>
      </c>
      <c r="AG42" s="38">
        <f t="shared" si="285"/>
        <v>43555</v>
      </c>
      <c r="AH42" s="38">
        <f t="shared" si="285"/>
        <v>43646</v>
      </c>
      <c r="AI42" s="38">
        <f t="shared" si="285"/>
        <v>43738</v>
      </c>
      <c r="AJ42" s="38">
        <f t="shared" si="285"/>
        <v>43830</v>
      </c>
      <c r="AK42" s="38">
        <f t="shared" ref="AK42:AP42" si="286">AK3</f>
        <v>43921</v>
      </c>
      <c r="AL42" s="38">
        <f t="shared" si="286"/>
        <v>44012</v>
      </c>
      <c r="AM42" s="38">
        <f t="shared" si="286"/>
        <v>44104</v>
      </c>
      <c r="AN42" s="38">
        <f t="shared" si="286"/>
        <v>44196</v>
      </c>
      <c r="AO42" s="38">
        <f t="shared" si="286"/>
        <v>44286</v>
      </c>
      <c r="AP42" s="38">
        <f t="shared" si="286"/>
        <v>44377</v>
      </c>
      <c r="AQ42" s="38">
        <f t="shared" ref="AQ42:AT42" si="287">AQ3</f>
        <v>44469</v>
      </c>
      <c r="AR42" s="38">
        <f t="shared" si="287"/>
        <v>44561</v>
      </c>
      <c r="AS42" s="38">
        <f t="shared" si="287"/>
        <v>44651</v>
      </c>
      <c r="AT42" s="38">
        <f t="shared" si="287"/>
        <v>44742</v>
      </c>
      <c r="AU42" s="38">
        <f t="shared" ref="AU42:AX42" si="288">AU3</f>
        <v>44834</v>
      </c>
      <c r="AV42" s="38">
        <f t="shared" si="288"/>
        <v>44926</v>
      </c>
      <c r="AW42" s="38">
        <f t="shared" si="288"/>
        <v>45016</v>
      </c>
      <c r="AX42" s="38">
        <f t="shared" si="288"/>
        <v>45107</v>
      </c>
      <c r="AY42" s="38">
        <f t="shared" ref="AY42:BB42" si="289">AY3</f>
        <v>45199</v>
      </c>
      <c r="AZ42" s="38">
        <f t="shared" si="289"/>
        <v>45291</v>
      </c>
      <c r="BA42" s="197">
        <f t="shared" si="289"/>
        <v>45382</v>
      </c>
      <c r="BB42" s="197">
        <f t="shared" si="289"/>
        <v>45473</v>
      </c>
      <c r="BC42" s="197">
        <f t="shared" ref="BC42:BF42" si="290">BC3</f>
        <v>45565</v>
      </c>
      <c r="BD42" s="197">
        <f t="shared" si="290"/>
        <v>45657</v>
      </c>
      <c r="BE42" s="197">
        <f t="shared" si="290"/>
        <v>45747</v>
      </c>
      <c r="BF42" s="197">
        <f t="shared" si="290"/>
        <v>45838</v>
      </c>
      <c r="BG42" s="197">
        <f t="shared" ref="BG42:BI42" si="291">BG3</f>
        <v>45930</v>
      </c>
      <c r="BH42" s="197">
        <f t="shared" si="291"/>
        <v>46022</v>
      </c>
      <c r="BI42" s="197">
        <f t="shared" si="291"/>
        <v>46112</v>
      </c>
      <c r="BJ42" s="289"/>
      <c r="BK42" s="197">
        <f t="shared" ref="BK42:BQ42" si="292">BK3</f>
        <v>43166</v>
      </c>
      <c r="BL42" s="197">
        <f t="shared" si="292"/>
        <v>43281</v>
      </c>
      <c r="BM42" s="197">
        <f t="shared" si="292"/>
        <v>43373</v>
      </c>
      <c r="BN42" s="197">
        <f t="shared" si="292"/>
        <v>43465</v>
      </c>
      <c r="BO42" s="254">
        <f t="shared" si="292"/>
        <v>43646</v>
      </c>
      <c r="BP42" s="254">
        <f t="shared" si="292"/>
        <v>43738</v>
      </c>
      <c r="BQ42" s="38">
        <f t="shared" si="292"/>
        <v>43079</v>
      </c>
      <c r="BR42" s="197">
        <f t="shared" ref="BR42:BX42" si="293">BR3</f>
        <v>43830</v>
      </c>
      <c r="BS42" s="38">
        <f t="shared" si="293"/>
        <v>43921</v>
      </c>
      <c r="BT42" s="38">
        <f t="shared" si="293"/>
        <v>44012</v>
      </c>
      <c r="BU42" s="38">
        <f t="shared" si="293"/>
        <v>44104</v>
      </c>
      <c r="BV42" s="197">
        <f t="shared" si="293"/>
        <v>44196</v>
      </c>
      <c r="BW42" s="197"/>
      <c r="BX42" s="38">
        <f t="shared" si="293"/>
        <v>44286</v>
      </c>
      <c r="BY42" s="38">
        <f t="shared" ref="BY42:CB42" si="294">BY3</f>
        <v>44377</v>
      </c>
      <c r="BZ42" s="38">
        <f t="shared" si="294"/>
        <v>44469</v>
      </c>
      <c r="CA42" s="197">
        <f t="shared" si="294"/>
        <v>44561</v>
      </c>
      <c r="CB42" s="38">
        <f t="shared" si="294"/>
        <v>44651</v>
      </c>
      <c r="CC42" s="38">
        <f t="shared" ref="CC42:CF42" si="295">CC3</f>
        <v>44742</v>
      </c>
      <c r="CD42" s="38">
        <f t="shared" si="295"/>
        <v>44834</v>
      </c>
      <c r="CE42" s="197">
        <f t="shared" si="295"/>
        <v>44926</v>
      </c>
      <c r="CF42" s="38">
        <f t="shared" si="295"/>
        <v>45016</v>
      </c>
      <c r="CG42" s="38">
        <f t="shared" ref="CG42:CI42" si="296">CG3</f>
        <v>45107</v>
      </c>
      <c r="CH42" s="38">
        <f t="shared" si="296"/>
        <v>45199</v>
      </c>
      <c r="CI42" s="197">
        <f t="shared" si="296"/>
        <v>45291</v>
      </c>
    </row>
    <row r="43" spans="2:87" s="5" customFormat="1" ht="13.5" customHeight="1">
      <c r="B43" s="15" t="s">
        <v>315</v>
      </c>
      <c r="C43" s="8">
        <f t="shared" ref="C43:G43" si="297">C16</f>
        <v>10312.068999999989</v>
      </c>
      <c r="D43" s="8">
        <f t="shared" si="297"/>
        <v>14120.810999999987</v>
      </c>
      <c r="E43" s="8">
        <f t="shared" si="297"/>
        <v>18083.603000000017</v>
      </c>
      <c r="F43" s="8">
        <f t="shared" si="297"/>
        <v>17472.145000000019</v>
      </c>
      <c r="G43" s="8">
        <f t="shared" si="297"/>
        <v>18508.920000000013</v>
      </c>
      <c r="H43" s="8">
        <f t="shared" ref="H43:N43" si="298">H16</f>
        <v>18508.919999999984</v>
      </c>
      <c r="I43" s="8">
        <f t="shared" si="298"/>
        <v>20418.653999999951</v>
      </c>
      <c r="J43" s="8">
        <f t="shared" si="298"/>
        <v>20418.653999999951</v>
      </c>
      <c r="K43" s="8">
        <f t="shared" si="298"/>
        <v>25408.027000000002</v>
      </c>
      <c r="L43" s="8">
        <f t="shared" si="298"/>
        <v>34126.428000000014</v>
      </c>
      <c r="M43" s="8">
        <f t="shared" ref="M43" si="299">M16</f>
        <v>32580.458000000013</v>
      </c>
      <c r="N43" s="8">
        <f t="shared" si="298"/>
        <v>53696.122999999992</v>
      </c>
      <c r="O43" s="8">
        <f t="shared" ref="O43" si="300">O16</f>
        <v>53696.122999999992</v>
      </c>
      <c r="P43" s="8">
        <f>P16</f>
        <v>35455.014999999985</v>
      </c>
      <c r="Q43" s="8">
        <f>Q16</f>
        <v>33148.879999999976</v>
      </c>
      <c r="R43" s="8">
        <f>R16</f>
        <v>34146.119000000006</v>
      </c>
      <c r="S43" s="8">
        <f t="shared" ref="S43" si="301">S16</f>
        <v>35309.405000000028</v>
      </c>
      <c r="T43" s="292"/>
      <c r="U43" s="8">
        <f t="shared" ref="U43:Z43" si="302">U16</f>
        <v>3884.4370000000017</v>
      </c>
      <c r="V43" s="8">
        <f t="shared" si="302"/>
        <v>4853.0649999999951</v>
      </c>
      <c r="W43" s="8">
        <f t="shared" si="302"/>
        <v>5837.0819999999985</v>
      </c>
      <c r="X43" s="8">
        <f t="shared" si="302"/>
        <v>3509.0190000000148</v>
      </c>
      <c r="Y43" s="8">
        <f t="shared" si="302"/>
        <v>3585.9989999999925</v>
      </c>
      <c r="Z43" s="8">
        <f t="shared" si="302"/>
        <v>4588.9370000000054</v>
      </c>
      <c r="AA43" s="8">
        <f t="shared" ref="AA43:AF43" si="303">AA16</f>
        <v>4876.1630000000005</v>
      </c>
      <c r="AB43" s="8">
        <f t="shared" si="303"/>
        <v>4421.0460000000239</v>
      </c>
      <c r="AC43" s="8">
        <f t="shared" si="303"/>
        <v>4146.5229999999974</v>
      </c>
      <c r="AD43" s="8">
        <f t="shared" si="303"/>
        <v>2684.1939999999959</v>
      </c>
      <c r="AE43" s="8">
        <f t="shared" si="303"/>
        <v>5474.4929999999949</v>
      </c>
      <c r="AF43" s="8">
        <f t="shared" si="303"/>
        <v>6203.7100000000064</v>
      </c>
      <c r="AG43" s="8">
        <f t="shared" ref="AG43:AM43" si="304">AG16</f>
        <v>4620.0799999999981</v>
      </c>
      <c r="AH43" s="8">
        <f t="shared" si="304"/>
        <v>4276.7870000000039</v>
      </c>
      <c r="AI43" s="8">
        <f t="shared" si="304"/>
        <v>5393.2970000000059</v>
      </c>
      <c r="AJ43" s="8">
        <f t="shared" si="304"/>
        <v>6128.4899999999761</v>
      </c>
      <c r="AK43" s="8">
        <f t="shared" si="304"/>
        <v>2027.1160000000091</v>
      </c>
      <c r="AL43" s="8">
        <f t="shared" si="304"/>
        <v>6875.5550000000076</v>
      </c>
      <c r="AM43" s="8">
        <f t="shared" si="304"/>
        <v>7945.4639999999999</v>
      </c>
      <c r="AN43" s="8">
        <f t="shared" ref="AN43:AS43" si="305">AN16</f>
        <v>8559.8919999999998</v>
      </c>
      <c r="AO43" s="8">
        <f t="shared" si="305"/>
        <v>8791.7099999999991</v>
      </c>
      <c r="AP43" s="8">
        <f t="shared" si="305"/>
        <v>7057.9239999999918</v>
      </c>
      <c r="AQ43" s="8">
        <f t="shared" si="305"/>
        <v>8350.4009999999907</v>
      </c>
      <c r="AR43" s="8">
        <f t="shared" si="305"/>
        <v>8380.4230000000389</v>
      </c>
      <c r="AS43" s="8">
        <f t="shared" si="305"/>
        <v>8941.9830000000075</v>
      </c>
      <c r="AT43" s="8">
        <f t="shared" ref="AT43:AW43" si="306">AT16</f>
        <v>10205.084999999992</v>
      </c>
      <c r="AU43" s="8">
        <f t="shared" si="306"/>
        <v>11004.316999999995</v>
      </c>
      <c r="AV43" s="8">
        <f t="shared" si="306"/>
        <v>23544.737999999987</v>
      </c>
      <c r="AW43" s="8">
        <f t="shared" si="306"/>
        <v>8220.3979999999938</v>
      </c>
      <c r="AX43" s="8">
        <f t="shared" ref="AX43:BA43" si="307">AX16</f>
        <v>9357.3570000000109</v>
      </c>
      <c r="AY43" s="8">
        <f t="shared" si="307"/>
        <v>9749.3079999999973</v>
      </c>
      <c r="AZ43" s="8">
        <f t="shared" si="307"/>
        <v>8127.9519999999975</v>
      </c>
      <c r="BA43" s="8">
        <f t="shared" si="307"/>
        <v>6875.1600000000035</v>
      </c>
      <c r="BB43" s="8">
        <f t="shared" ref="BB43:BE43" si="308">BB16</f>
        <v>8668.3240000000078</v>
      </c>
      <c r="BC43" s="8">
        <f t="shared" si="308"/>
        <v>9359.1580000000031</v>
      </c>
      <c r="BD43" s="8">
        <f t="shared" si="308"/>
        <v>8246.2379999999393</v>
      </c>
      <c r="BE43" s="8">
        <f t="shared" si="308"/>
        <v>6748.1310000000085</v>
      </c>
      <c r="BF43" s="8">
        <f t="shared" ref="BF43:BI43" si="309">BF16</f>
        <v>8478.656999999992</v>
      </c>
      <c r="BG43" s="8">
        <f t="shared" si="309"/>
        <v>9402.7330000000002</v>
      </c>
      <c r="BH43" s="8">
        <f t="shared" si="309"/>
        <v>9516.5980000000127</v>
      </c>
      <c r="BI43" s="8">
        <f t="shared" si="309"/>
        <v>7911.4170000000086</v>
      </c>
      <c r="BJ43" s="8"/>
      <c r="BK43" s="8">
        <f t="shared" ref="BK43:BP43" si="310">BK16</f>
        <v>4167.3279999999977</v>
      </c>
      <c r="BL43" s="8">
        <f t="shared" si="310"/>
        <v>2684.182000000008</v>
      </c>
      <c r="BM43" s="8">
        <f t="shared" si="310"/>
        <v>5474.4929999999949</v>
      </c>
      <c r="BN43" s="8">
        <f t="shared" si="310"/>
        <v>6182.9170000000013</v>
      </c>
      <c r="BO43" s="8">
        <f t="shared" si="310"/>
        <v>4311.9100000000035</v>
      </c>
      <c r="BP43" s="8">
        <f t="shared" si="310"/>
        <v>5410.8459999999905</v>
      </c>
      <c r="BQ43" s="41"/>
      <c r="BR43" s="94">
        <f>J43-AG43-AH43-AI43</f>
        <v>6128.4899999999434</v>
      </c>
      <c r="BS43" s="8">
        <f>BS16</f>
        <v>2043.7799999999988</v>
      </c>
      <c r="BT43" s="8">
        <f>BT16</f>
        <v>6887.8640000000014</v>
      </c>
      <c r="BU43" s="8">
        <f>BU16</f>
        <v>7959.6010000000097</v>
      </c>
      <c r="BV43" s="94">
        <f>K43-BS43-BT43-BU43</f>
        <v>8516.781999999992</v>
      </c>
      <c r="BW43" s="94"/>
      <c r="BX43" s="8">
        <f>BX16</f>
        <v>8764.8319999999949</v>
      </c>
      <c r="BY43" s="8">
        <f>BY16</f>
        <v>6608.1559999999881</v>
      </c>
      <c r="BZ43" s="8">
        <f>BZ16</f>
        <v>7996.976999999999</v>
      </c>
      <c r="CA43" s="94">
        <f>M43-BX43-BY43-BZ43</f>
        <v>9210.4930000000313</v>
      </c>
      <c r="CB43" s="8">
        <f>CB16</f>
        <v>8422.7419999999984</v>
      </c>
      <c r="CC43" s="8">
        <f>CC16</f>
        <v>10205.934000000001</v>
      </c>
      <c r="CD43" s="8">
        <f>CD16</f>
        <v>11003.40400000001</v>
      </c>
      <c r="CE43" s="94">
        <f>O43-CB43-CC43-CD43</f>
        <v>24064.042999999983</v>
      </c>
      <c r="CF43" s="8">
        <f t="shared" ref="CF43" si="311">CF16</f>
        <v>8227.9339999999938</v>
      </c>
      <c r="CG43" s="8">
        <f>CG16</f>
        <v>9355.7440000000061</v>
      </c>
      <c r="CH43" s="8">
        <f>CH16</f>
        <v>9718.3630000000121</v>
      </c>
      <c r="CI43" s="94">
        <f>P43-CF43-CG43-CH43</f>
        <v>8152.9739999999729</v>
      </c>
    </row>
    <row r="44" spans="2:87" ht="13.5" customHeight="1">
      <c r="B44" s="7" t="s">
        <v>316</v>
      </c>
      <c r="C44" s="97">
        <v>5831</v>
      </c>
      <c r="D44" s="6">
        <f t="shared" ref="D44:I44" si="312">D56+D57</f>
        <v>7049.3610000000008</v>
      </c>
      <c r="E44" s="6">
        <f t="shared" si="312"/>
        <v>8436.262999999999</v>
      </c>
      <c r="F44" s="6">
        <f t="shared" si="312"/>
        <v>8761.1389999999992</v>
      </c>
      <c r="G44" s="6">
        <f t="shared" si="312"/>
        <v>9999.83</v>
      </c>
      <c r="H44" s="6">
        <f t="shared" si="312"/>
        <v>9999.83</v>
      </c>
      <c r="I44" s="6">
        <f t="shared" si="312"/>
        <v>14373.859</v>
      </c>
      <c r="J44" s="6">
        <f t="shared" ref="J44:P44" si="313">J56+J57</f>
        <v>14373.859</v>
      </c>
      <c r="K44" s="6">
        <f t="shared" si="313"/>
        <v>16251.704</v>
      </c>
      <c r="L44" s="6">
        <f t="shared" si="313"/>
        <v>16374.597</v>
      </c>
      <c r="M44" s="6">
        <f t="shared" si="313"/>
        <v>16126.487999999999</v>
      </c>
      <c r="N44" s="6">
        <f t="shared" si="313"/>
        <v>18038.174999999999</v>
      </c>
      <c r="O44" s="6">
        <f t="shared" si="313"/>
        <v>18282.16</v>
      </c>
      <c r="P44" s="6">
        <f t="shared" si="313"/>
        <v>18929.114000000001</v>
      </c>
      <c r="Q44" s="6">
        <f t="shared" ref="Q44:R44" si="314">Q56+Q57</f>
        <v>23050.93</v>
      </c>
      <c r="R44" s="6">
        <f t="shared" si="314"/>
        <v>24837.558000000001</v>
      </c>
      <c r="S44" s="6">
        <f>S56+S57</f>
        <v>24790.885000000002</v>
      </c>
      <c r="U44" s="6">
        <f t="shared" ref="U44:AA44" si="315">U56+U57</f>
        <v>1840.0129999999999</v>
      </c>
      <c r="V44" s="6">
        <f t="shared" si="315"/>
        <v>1945.0980000000002</v>
      </c>
      <c r="W44" s="6">
        <f t="shared" si="315"/>
        <v>2093.0119999999997</v>
      </c>
      <c r="X44" s="6">
        <f t="shared" si="315"/>
        <v>2558.1399999999994</v>
      </c>
      <c r="Y44" s="6">
        <f t="shared" si="315"/>
        <v>2231.3040000000001</v>
      </c>
      <c r="Z44" s="6">
        <f t="shared" si="315"/>
        <v>2080.9410000000003</v>
      </c>
      <c r="AA44" s="6">
        <f t="shared" si="315"/>
        <v>2092.0919999999996</v>
      </c>
      <c r="AB44" s="6">
        <f t="shared" ref="AB44:AG44" si="316">AB56+AB57</f>
        <v>2356.8020000000006</v>
      </c>
      <c r="AC44" s="6">
        <f t="shared" si="316"/>
        <v>2290.181</v>
      </c>
      <c r="AD44" s="6">
        <f t="shared" si="316"/>
        <v>2565.5659999999998</v>
      </c>
      <c r="AE44" s="6">
        <f t="shared" si="316"/>
        <v>2456.777000000001</v>
      </c>
      <c r="AF44" s="6">
        <f t="shared" si="316"/>
        <v>2687.3059999999996</v>
      </c>
      <c r="AG44" s="6">
        <f t="shared" si="316"/>
        <v>3371.614</v>
      </c>
      <c r="AH44" s="6">
        <f t="shared" ref="AH44:AM44" si="317">AH56+AH57</f>
        <v>3390.8180000000002</v>
      </c>
      <c r="AI44" s="6">
        <f t="shared" si="317"/>
        <v>3786.9940000000006</v>
      </c>
      <c r="AJ44" s="6">
        <f t="shared" si="317"/>
        <v>3824.433</v>
      </c>
      <c r="AK44" s="6">
        <f t="shared" si="317"/>
        <v>3496.5929999999998</v>
      </c>
      <c r="AL44" s="6">
        <f t="shared" si="317"/>
        <v>4301.9679999999998</v>
      </c>
      <c r="AM44" s="6">
        <f t="shared" si="317"/>
        <v>3951.2660000000005</v>
      </c>
      <c r="AN44" s="6">
        <f t="shared" ref="AN44:AS44" si="318">AN56+AN57</f>
        <v>4501.8770000000004</v>
      </c>
      <c r="AO44" s="6">
        <f t="shared" si="318"/>
        <v>3773.1320000000005</v>
      </c>
      <c r="AP44" s="6">
        <f t="shared" si="318"/>
        <v>3971.5049999999997</v>
      </c>
      <c r="AQ44" s="6">
        <f t="shared" si="318"/>
        <v>4012.8379999999988</v>
      </c>
      <c r="AR44" s="6">
        <f t="shared" si="318"/>
        <v>4369.0130000000008</v>
      </c>
      <c r="AS44" s="6">
        <f t="shared" si="318"/>
        <v>4280.9160000000002</v>
      </c>
      <c r="AT44" s="6">
        <f t="shared" ref="AT44:AW44" si="319">AT56+AT57</f>
        <v>4382.0119999999997</v>
      </c>
      <c r="AU44" s="6">
        <f t="shared" si="319"/>
        <v>4593.2069999999994</v>
      </c>
      <c r="AV44" s="6">
        <f t="shared" si="319"/>
        <v>2929.4799999999996</v>
      </c>
      <c r="AW44" s="6">
        <f t="shared" si="319"/>
        <v>4528.6570000000002</v>
      </c>
      <c r="AX44" s="6">
        <f t="shared" ref="AX44:BA44" si="320">AX56+AX57</f>
        <v>4588.88</v>
      </c>
      <c r="AY44" s="6">
        <f t="shared" si="320"/>
        <v>4586.2279999999982</v>
      </c>
      <c r="AZ44" s="6">
        <f t="shared" si="320"/>
        <v>3347.7350000000006</v>
      </c>
      <c r="BA44" s="6">
        <f t="shared" si="320"/>
        <v>4911.7039999999997</v>
      </c>
      <c r="BB44" s="6">
        <f t="shared" ref="BB44:BE44" si="321">BB56+BB57</f>
        <v>5531.4480000000003</v>
      </c>
      <c r="BC44" s="6">
        <f t="shared" si="321"/>
        <v>6079.353000000001</v>
      </c>
      <c r="BD44" s="6">
        <f t="shared" si="321"/>
        <v>6528.4250000000002</v>
      </c>
      <c r="BE44" s="6">
        <f t="shared" si="321"/>
        <v>6075.0559999999996</v>
      </c>
      <c r="BF44" s="6">
        <f t="shared" ref="BF44:BI44" si="322">BF56+BF57</f>
        <v>6239.4270000000006</v>
      </c>
      <c r="BG44" s="6">
        <f t="shared" si="322"/>
        <v>6153.061999999999</v>
      </c>
      <c r="BH44" s="6">
        <f t="shared" si="322"/>
        <v>6370.0130000000026</v>
      </c>
      <c r="BI44" s="6">
        <f t="shared" si="322"/>
        <v>6028.3829999999998</v>
      </c>
      <c r="BJ44" s="6"/>
      <c r="BK44" s="6">
        <f t="shared" ref="BK44:BP44" si="323">BK56+BK57</f>
        <v>2284.9319999999998</v>
      </c>
      <c r="BL44" s="6">
        <f t="shared" si="323"/>
        <v>2570.8150000000001</v>
      </c>
      <c r="BM44" s="6">
        <f t="shared" si="323"/>
        <v>2456.7759999999998</v>
      </c>
      <c r="BN44" s="6">
        <f t="shared" si="323"/>
        <v>2687.3069999999998</v>
      </c>
      <c r="BO44" s="6">
        <f t="shared" si="323"/>
        <v>3386.8640000000005</v>
      </c>
      <c r="BP44" s="6">
        <f t="shared" si="323"/>
        <v>3793.6329999999989</v>
      </c>
      <c r="BQ44" s="31"/>
      <c r="BR44" s="95">
        <f>J44-AG44-AH44-AI44</f>
        <v>3824.433</v>
      </c>
      <c r="BS44" s="6">
        <f>BS56+BS57</f>
        <v>3492.433</v>
      </c>
      <c r="BT44" s="6">
        <f>BT56+BT57</f>
        <v>4300.4769999999999</v>
      </c>
      <c r="BU44" s="6">
        <f>BU56+BU57</f>
        <v>3945.5920000000015</v>
      </c>
      <c r="BV44" s="95">
        <f>K44-BS44-BT44-BU44</f>
        <v>4513.2020000000002</v>
      </c>
      <c r="BW44" s="95"/>
      <c r="BX44" s="6">
        <f>BX56+BX57</f>
        <v>3778.6950000000002</v>
      </c>
      <c r="BY44" s="6">
        <f>BY56+BY57</f>
        <v>3856.8539999999998</v>
      </c>
      <c r="BZ44" s="6">
        <f>BZ56+BZ57</f>
        <v>3996.2040000000011</v>
      </c>
      <c r="CA44" s="95">
        <f>M44-BX44-BY44-BZ44</f>
        <v>4494.7349999999988</v>
      </c>
      <c r="CB44" s="6">
        <f>CB56+CB57</f>
        <v>4215.5630000000001</v>
      </c>
      <c r="CC44" s="6">
        <f>CC56+CC57</f>
        <v>4446.1919999999991</v>
      </c>
      <c r="CD44" s="6">
        <f>CD56+CD57</f>
        <v>4586.482</v>
      </c>
      <c r="CE44" s="95">
        <f>O44-CB44-CC44-CD44</f>
        <v>5033.9230000000007</v>
      </c>
      <c r="CF44" s="6">
        <f t="shared" ref="CF44" si="324">CF56+CF57</f>
        <v>4516.7049999999999</v>
      </c>
      <c r="CG44" s="6">
        <f>CG56+CG57</f>
        <v>4577.6920000000009</v>
      </c>
      <c r="CH44" s="6">
        <f>CH56+CH57</f>
        <v>4153.8399999999983</v>
      </c>
      <c r="CI44" s="95">
        <f>P44-CF44-CG44-CH44</f>
        <v>5680.8770000000022</v>
      </c>
    </row>
    <row r="45" spans="2:87" s="5" customFormat="1" ht="13.5" customHeight="1">
      <c r="B45" s="5" t="s">
        <v>314</v>
      </c>
      <c r="C45" s="8">
        <f t="shared" ref="C45:AA45" si="325">SUM(C43+C44)</f>
        <v>16143.068999999989</v>
      </c>
      <c r="D45" s="8">
        <f t="shared" si="325"/>
        <v>21170.171999999988</v>
      </c>
      <c r="E45" s="8">
        <f t="shared" si="325"/>
        <v>26519.866000000016</v>
      </c>
      <c r="F45" s="8">
        <f t="shared" si="325"/>
        <v>26233.284000000018</v>
      </c>
      <c r="G45" s="8">
        <f t="shared" ref="G45:K45" si="326">SUM(G43+G44)</f>
        <v>28508.750000000015</v>
      </c>
      <c r="H45" s="8">
        <f t="shared" si="326"/>
        <v>28508.749999999985</v>
      </c>
      <c r="I45" s="8">
        <f t="shared" si="326"/>
        <v>34792.512999999948</v>
      </c>
      <c r="J45" s="8">
        <f t="shared" si="326"/>
        <v>34792.512999999948</v>
      </c>
      <c r="K45" s="8">
        <f t="shared" si="326"/>
        <v>41659.731</v>
      </c>
      <c r="L45" s="8">
        <f t="shared" ref="L45:N45" si="327">SUM(L43+L44)</f>
        <v>50501.025000000016</v>
      </c>
      <c r="M45" s="8">
        <f t="shared" ref="M45" si="328">SUM(M43+M44)</f>
        <v>48706.946000000011</v>
      </c>
      <c r="N45" s="8">
        <f t="shared" si="327"/>
        <v>71734.297999999995</v>
      </c>
      <c r="O45" s="8">
        <f t="shared" ref="O45" si="329">SUM(O43+O44)</f>
        <v>71978.282999999996</v>
      </c>
      <c r="P45" s="8">
        <f>SUM(P43+P44)</f>
        <v>54384.128999999986</v>
      </c>
      <c r="Q45" s="8">
        <f>SUM(Q43+Q44)</f>
        <v>56199.809999999976</v>
      </c>
      <c r="R45" s="8">
        <f>SUM(R43+R44)</f>
        <v>58983.677000000011</v>
      </c>
      <c r="S45" s="8">
        <f t="shared" ref="S45" si="330">SUM(S43+S44)</f>
        <v>60100.29000000003</v>
      </c>
      <c r="U45" s="8">
        <f t="shared" si="325"/>
        <v>5724.4500000000016</v>
      </c>
      <c r="V45" s="8">
        <f t="shared" si="325"/>
        <v>6798.162999999995</v>
      </c>
      <c r="W45" s="8">
        <f t="shared" si="325"/>
        <v>7930.0939999999982</v>
      </c>
      <c r="X45" s="8">
        <f t="shared" si="325"/>
        <v>6067.1590000000142</v>
      </c>
      <c r="Y45" s="8">
        <f t="shared" si="325"/>
        <v>5817.3029999999926</v>
      </c>
      <c r="Z45" s="8">
        <f t="shared" si="325"/>
        <v>6669.8780000000061</v>
      </c>
      <c r="AA45" s="8">
        <f t="shared" si="325"/>
        <v>6968.2550000000001</v>
      </c>
      <c r="AB45" s="8">
        <f t="shared" ref="AB45:AG45" si="331">SUM(AB43+AB44)</f>
        <v>6777.8480000000245</v>
      </c>
      <c r="AC45" s="8">
        <f t="shared" si="331"/>
        <v>6436.7039999999979</v>
      </c>
      <c r="AD45" s="8">
        <f t="shared" si="331"/>
        <v>5249.7599999999957</v>
      </c>
      <c r="AE45" s="8">
        <f t="shared" si="331"/>
        <v>7931.2699999999959</v>
      </c>
      <c r="AF45" s="8">
        <f t="shared" si="331"/>
        <v>8891.0160000000069</v>
      </c>
      <c r="AG45" s="8">
        <f t="shared" si="331"/>
        <v>7991.6939999999977</v>
      </c>
      <c r="AH45" s="8">
        <f t="shared" ref="AH45:AM45" si="332">SUM(AH43+AH44)</f>
        <v>7667.6050000000041</v>
      </c>
      <c r="AI45" s="8">
        <f t="shared" si="332"/>
        <v>9180.2910000000065</v>
      </c>
      <c r="AJ45" s="8">
        <f t="shared" si="332"/>
        <v>9952.922999999977</v>
      </c>
      <c r="AK45" s="8">
        <f t="shared" si="332"/>
        <v>5523.7090000000089</v>
      </c>
      <c r="AL45" s="8">
        <f t="shared" si="332"/>
        <v>11177.523000000008</v>
      </c>
      <c r="AM45" s="8">
        <f t="shared" si="332"/>
        <v>11896.73</v>
      </c>
      <c r="AN45" s="8">
        <f t="shared" ref="AN45:AT45" si="333">SUM(AN43+AN44)</f>
        <v>13061.769</v>
      </c>
      <c r="AO45" s="8">
        <f t="shared" si="333"/>
        <v>12564.842000000001</v>
      </c>
      <c r="AP45" s="8">
        <f t="shared" si="333"/>
        <v>11029.428999999991</v>
      </c>
      <c r="AQ45" s="8">
        <f t="shared" si="333"/>
        <v>12363.23899999999</v>
      </c>
      <c r="AR45" s="8">
        <f t="shared" si="333"/>
        <v>12749.43600000004</v>
      </c>
      <c r="AS45" s="8">
        <f t="shared" si="333"/>
        <v>13222.899000000009</v>
      </c>
      <c r="AT45" s="8">
        <f t="shared" si="333"/>
        <v>14587.096999999991</v>
      </c>
      <c r="AU45" s="8">
        <f t="shared" ref="AU45:AX45" si="334">SUM(AU43+AU44)</f>
        <v>15597.523999999994</v>
      </c>
      <c r="AV45" s="8">
        <f t="shared" si="334"/>
        <v>26474.217999999986</v>
      </c>
      <c r="AW45" s="8">
        <f t="shared" si="334"/>
        <v>12749.054999999993</v>
      </c>
      <c r="AX45" s="8">
        <f t="shared" si="334"/>
        <v>13946.237000000012</v>
      </c>
      <c r="AY45" s="8">
        <f t="shared" ref="AY45:BB45" si="335">SUM(AY43+AY44)</f>
        <v>14335.535999999996</v>
      </c>
      <c r="AZ45" s="8">
        <f t="shared" si="335"/>
        <v>11475.686999999998</v>
      </c>
      <c r="BA45" s="8">
        <f t="shared" si="335"/>
        <v>11786.864000000003</v>
      </c>
      <c r="BB45" s="8">
        <f t="shared" si="335"/>
        <v>14199.772000000008</v>
      </c>
      <c r="BC45" s="8">
        <f t="shared" ref="BC45:BF45" si="336">SUM(BC43+BC44)</f>
        <v>15438.511000000004</v>
      </c>
      <c r="BD45" s="8">
        <f t="shared" si="336"/>
        <v>14774.662999999939</v>
      </c>
      <c r="BE45" s="8">
        <f t="shared" si="336"/>
        <v>12823.187000000009</v>
      </c>
      <c r="BF45" s="8">
        <f t="shared" si="336"/>
        <v>14718.083999999992</v>
      </c>
      <c r="BG45" s="8">
        <f t="shared" ref="BG45:BI45" si="337">SUM(BG43+BG44)</f>
        <v>15555.794999999998</v>
      </c>
      <c r="BH45" s="8">
        <f t="shared" si="337"/>
        <v>15886.611000000015</v>
      </c>
      <c r="BI45" s="8">
        <f t="shared" si="337"/>
        <v>13939.800000000008</v>
      </c>
      <c r="BJ45" s="8"/>
      <c r="BK45" s="8">
        <f t="shared" ref="BK45:BP45" si="338">SUM(BK43+BK44)</f>
        <v>6452.2599999999975</v>
      </c>
      <c r="BL45" s="8">
        <f t="shared" si="338"/>
        <v>5254.9970000000085</v>
      </c>
      <c r="BM45" s="8">
        <f t="shared" si="338"/>
        <v>7931.2689999999948</v>
      </c>
      <c r="BN45" s="8">
        <f t="shared" si="338"/>
        <v>8870.224000000002</v>
      </c>
      <c r="BO45" s="8">
        <f t="shared" si="338"/>
        <v>7698.774000000004</v>
      </c>
      <c r="BP45" s="8">
        <f t="shared" si="338"/>
        <v>9204.4789999999884</v>
      </c>
      <c r="BQ45" s="41"/>
      <c r="BR45" s="8">
        <f t="shared" ref="BR45:BY45" si="339">SUM(BR43+BR44)</f>
        <v>9952.9229999999443</v>
      </c>
      <c r="BS45" s="8">
        <f t="shared" si="339"/>
        <v>5536.2129999999988</v>
      </c>
      <c r="BT45" s="8">
        <f t="shared" si="339"/>
        <v>11188.341</v>
      </c>
      <c r="BU45" s="8">
        <f t="shared" si="339"/>
        <v>11905.19300000001</v>
      </c>
      <c r="BV45" s="8">
        <f t="shared" si="339"/>
        <v>13029.983999999993</v>
      </c>
      <c r="BW45" s="8"/>
      <c r="BX45" s="8">
        <f t="shared" si="339"/>
        <v>12543.526999999995</v>
      </c>
      <c r="BY45" s="8">
        <f t="shared" si="339"/>
        <v>10465.009999999987</v>
      </c>
      <c r="BZ45" s="8">
        <f t="shared" ref="BZ45:CC45" si="340">SUM(BZ43+BZ44)</f>
        <v>11993.181</v>
      </c>
      <c r="CA45" s="8">
        <f t="shared" si="340"/>
        <v>13705.22800000003</v>
      </c>
      <c r="CB45" s="8">
        <f t="shared" si="340"/>
        <v>12638.304999999998</v>
      </c>
      <c r="CC45" s="8">
        <f t="shared" si="340"/>
        <v>14652.126</v>
      </c>
      <c r="CD45" s="8">
        <f t="shared" ref="CD45:CG45" si="341">SUM(CD43+CD44)</f>
        <v>15589.88600000001</v>
      </c>
      <c r="CE45" s="8">
        <f t="shared" si="341"/>
        <v>29097.965999999986</v>
      </c>
      <c r="CF45" s="8">
        <f t="shared" si="341"/>
        <v>12744.638999999994</v>
      </c>
      <c r="CG45" s="8">
        <f t="shared" si="341"/>
        <v>13933.436000000007</v>
      </c>
      <c r="CH45" s="8">
        <f t="shared" ref="CH45:CI45" si="342">SUM(CH43+CH44)</f>
        <v>13872.20300000001</v>
      </c>
      <c r="CI45" s="8">
        <f t="shared" si="342"/>
        <v>13833.850999999975</v>
      </c>
    </row>
    <row r="46" spans="2:87" ht="13.5" customHeight="1">
      <c r="B46" s="115" t="s">
        <v>317</v>
      </c>
      <c r="C46" s="116">
        <f>C45/(10444.523+5300.036)-1</f>
        <v>2.5310966156625314E-2</v>
      </c>
      <c r="D46" s="117">
        <f>+D45/C45-1</f>
        <v>0.31140937327344642</v>
      </c>
      <c r="E46" s="117">
        <f>+E45/D45-1</f>
        <v>0.25269960017330195</v>
      </c>
      <c r="F46" s="117">
        <f>+F45/E45-1</f>
        <v>-1.0806314028886765E-2</v>
      </c>
      <c r="G46" s="117">
        <f>+G45/F45-1</f>
        <v>8.6739654859833593E-2</v>
      </c>
      <c r="H46" s="117">
        <f>+H45/F45-1</f>
        <v>8.6739654859832482E-2</v>
      </c>
      <c r="I46" s="117">
        <f>+I45/H45-1</f>
        <v>0.22041524093479947</v>
      </c>
      <c r="J46" s="117">
        <f>+J45/H45-1</f>
        <v>0.22041524093479947</v>
      </c>
      <c r="K46" s="117">
        <f>+K45/J45-1</f>
        <v>0.19737631484107121</v>
      </c>
      <c r="L46" s="117">
        <f>+L45/K45-1</f>
        <v>0.2122263823547017</v>
      </c>
      <c r="M46" s="117">
        <f>+M45/L45-1</f>
        <v>-3.5525595767610718E-2</v>
      </c>
      <c r="N46" s="117">
        <f>+N45/L45-1</f>
        <v>0.42045231755196988</v>
      </c>
      <c r="O46" s="117">
        <f>+O45/M45-1</f>
        <v>0.47778271706873143</v>
      </c>
      <c r="P46" s="117">
        <f>+P45/O45-1</f>
        <v>-0.24443697830358091</v>
      </c>
      <c r="Q46" s="117">
        <f>+Q45/P45-1</f>
        <v>3.3386229280237156E-2</v>
      </c>
      <c r="R46" s="117">
        <f>+R45/Q45-1</f>
        <v>4.9535167467648744E-2</v>
      </c>
      <c r="S46" s="118"/>
      <c r="U46" s="118">
        <f>U45/(2575.132+1634.096)-1</f>
        <v>0.35997622366856863</v>
      </c>
      <c r="V46" s="118">
        <f>V45/(3988.683+3277.056-1634.096)-1</f>
        <v>0.20713670948247165</v>
      </c>
      <c r="W46" s="118">
        <f>W45/(4744.948+4986.738-3277.056)-1</f>
        <v>0.22859001987720395</v>
      </c>
      <c r="X46" s="117">
        <f>X45/(2812.048+7049.361-4986.738)-1</f>
        <v>0.24462943242734014</v>
      </c>
      <c r="Y46" s="117">
        <f t="shared" ref="Y46:AE46" si="343">+Y45/U45-1</f>
        <v>1.622042292272452E-2</v>
      </c>
      <c r="Z46" s="117">
        <f t="shared" si="343"/>
        <v>-1.8870538997077468E-2</v>
      </c>
      <c r="AA46" s="117">
        <f t="shared" si="343"/>
        <v>-0.12128973502710039</v>
      </c>
      <c r="AB46" s="117">
        <f t="shared" si="343"/>
        <v>0.11713703234083828</v>
      </c>
      <c r="AC46" s="117">
        <f t="shared" si="343"/>
        <v>0.10647562968612889</v>
      </c>
      <c r="AD46" s="117">
        <f t="shared" si="343"/>
        <v>-0.21291513877765222</v>
      </c>
      <c r="AE46" s="117">
        <f t="shared" si="343"/>
        <v>0.1382003098336666</v>
      </c>
      <c r="AF46" s="117">
        <f>+AF45/AB45-1</f>
        <v>0.31177565504566851</v>
      </c>
      <c r="AG46" s="122">
        <f>AG45/BK45-1</f>
        <v>0.2385883395895394</v>
      </c>
      <c r="AH46" s="122">
        <f>AH45/BL45-1</f>
        <v>0.45910739815836088</v>
      </c>
      <c r="AI46" s="122">
        <f>AI45/BM45-1</f>
        <v>0.15748072597210006</v>
      </c>
      <c r="AJ46" s="122">
        <f>AJ45/BN45-1</f>
        <v>0.12205993895982492</v>
      </c>
      <c r="AK46" s="122">
        <f>AK45/AG45-1</f>
        <v>-0.30881875607349196</v>
      </c>
      <c r="AL46" s="122">
        <f>AL45/BO45-1</f>
        <v>0.45185752952353231</v>
      </c>
      <c r="AM46" s="122">
        <f>AM45/BP45-1</f>
        <v>0.29249357839808354</v>
      </c>
      <c r="AN46" s="122">
        <f>AN45/BR45-1</f>
        <v>0.31235507398179152</v>
      </c>
      <c r="AO46" s="122">
        <f>AO45/AK45-1</f>
        <v>1.2747110682333158</v>
      </c>
      <c r="AP46" s="122">
        <f>AP45/BS45-1</f>
        <v>0.99223349968651742</v>
      </c>
      <c r="AQ46" s="122">
        <f>AQ45/BU45-1</f>
        <v>3.8474470762463131E-2</v>
      </c>
      <c r="AR46" s="122">
        <f>AR45/AN45-1</f>
        <v>-2.39119984436994E-2</v>
      </c>
      <c r="AS46" s="122">
        <f>AS45/BV45-1</f>
        <v>1.4805467144089812E-2</v>
      </c>
      <c r="AT46" s="122">
        <f>AT45/BX45-1</f>
        <v>0.16291829243880107</v>
      </c>
      <c r="AU46" s="122">
        <f t="shared" ref="AU46:AZ46" si="344">AU45/BZ45-1</f>
        <v>0.30053269437024199</v>
      </c>
      <c r="AV46" s="122">
        <f t="shared" si="344"/>
        <v>0.93168752829211798</v>
      </c>
      <c r="AW46" s="122">
        <f t="shared" si="344"/>
        <v>8.763042195927051E-3</v>
      </c>
      <c r="AX46" s="122">
        <f t="shared" si="344"/>
        <v>-4.8176558132245639E-2</v>
      </c>
      <c r="AY46" s="122">
        <f t="shared" si="344"/>
        <v>-8.045921567354708E-2</v>
      </c>
      <c r="AZ46" s="122">
        <f t="shared" si="344"/>
        <v>-0.60561892882822099</v>
      </c>
      <c r="BA46" s="122">
        <f>BA45/AW45-1</f>
        <v>-7.5471554558356746E-2</v>
      </c>
      <c r="BB46" s="122">
        <f>BB45/CG45-1</f>
        <v>1.9114883076938094E-2</v>
      </c>
      <c r="BC46" s="122">
        <f>BC45/CH45-1</f>
        <v>0.11290982405606331</v>
      </c>
      <c r="BD46" s="122">
        <f>BD45/CI45-1</f>
        <v>6.8007961051478993E-2</v>
      </c>
      <c r="BE46" s="122">
        <f>BE45/BA45-1</f>
        <v>8.7921859453032214E-2</v>
      </c>
      <c r="BF46" s="122">
        <f>BF45/BB45-1</f>
        <v>3.6501431149738472E-2</v>
      </c>
      <c r="BG46" s="122">
        <f>BG45/BC45-1</f>
        <v>7.596846612992314E-3</v>
      </c>
      <c r="BH46" s="122">
        <f>BH45/BD45-1</f>
        <v>7.5260464485726875E-2</v>
      </c>
      <c r="BI46" s="122">
        <f>BI45/BE45-1</f>
        <v>8.7077650821125729E-2</v>
      </c>
      <c r="BJ46" s="287"/>
      <c r="BK46" s="122">
        <f>BK45/Y45-1</f>
        <v>0.10914972109928023</v>
      </c>
      <c r="BL46" s="122">
        <f>BL45/Z45-1</f>
        <v>-0.21212996699489806</v>
      </c>
      <c r="BM46" s="122">
        <f>BM45/AA45-1</f>
        <v>0.13820016632571486</v>
      </c>
      <c r="BN46" s="122">
        <f>BN45/AB45-1</f>
        <v>0.30870801469728582</v>
      </c>
      <c r="BO46" s="122">
        <f>BO45/AD45-1</f>
        <v>0.46650018286550443</v>
      </c>
      <c r="BP46" s="122">
        <f>BP45/AE45-1</f>
        <v>0.16053028077470488</v>
      </c>
      <c r="BQ46" s="137">
        <f>+BQ45/X45-1</f>
        <v>-1</v>
      </c>
      <c r="BR46" s="122">
        <f>BR45/AF45-1</f>
        <v>0.11943595647560823</v>
      </c>
      <c r="BS46" s="122">
        <f>BS45/AG45-1</f>
        <v>-0.30725413160213588</v>
      </c>
      <c r="BT46" s="122">
        <f>BT45/AH45-1</f>
        <v>0.45917023633846488</v>
      </c>
      <c r="BU46" s="122">
        <f>BU45/AI45-1</f>
        <v>0.29682087419668957</v>
      </c>
      <c r="BV46" s="122">
        <f>BV45/AJ45-1</f>
        <v>0.3091615397808285</v>
      </c>
      <c r="BW46" s="122"/>
      <c r="BX46" s="122">
        <f>BX45/BS45-1</f>
        <v>1.2657233383180881</v>
      </c>
      <c r="BY46" s="122">
        <f>BY45/BT45-1</f>
        <v>-6.4650424937889639E-2</v>
      </c>
      <c r="BZ46" s="122">
        <f>BZ45/BU45-1</f>
        <v>7.3907243670883194E-3</v>
      </c>
      <c r="CA46" s="122">
        <f>CA45/BV45-1</f>
        <v>5.1822319966013497E-2</v>
      </c>
      <c r="CB46" s="122">
        <f>CB45/BX45-1</f>
        <v>7.5559290461131301E-3</v>
      </c>
      <c r="CC46" s="122">
        <f t="shared" ref="CC46:CI46" si="345">CC45/BY45-1</f>
        <v>0.4001062588568971</v>
      </c>
      <c r="CD46" s="122">
        <f t="shared" si="345"/>
        <v>0.2998958324734704</v>
      </c>
      <c r="CE46" s="122">
        <f t="shared" si="345"/>
        <v>1.1231289256917085</v>
      </c>
      <c r="CF46" s="122">
        <f t="shared" si="345"/>
        <v>8.413628251572991E-3</v>
      </c>
      <c r="CG46" s="122">
        <f>CG45/CD45-1</f>
        <v>-0.10625157874791402</v>
      </c>
      <c r="CH46" s="122">
        <f t="shared" si="345"/>
        <v>-0.11017931753958932</v>
      </c>
      <c r="CI46" s="122">
        <f t="shared" si="345"/>
        <v>-0.52457670065323536</v>
      </c>
    </row>
    <row r="47" spans="2:87" ht="13.5" customHeight="1">
      <c r="B47" s="115" t="s">
        <v>318</v>
      </c>
      <c r="C47" s="117">
        <f t="shared" ref="C47:AA47" si="346">C45/C7</f>
        <v>8.6302273718121547E-2</v>
      </c>
      <c r="D47" s="117">
        <f t="shared" si="346"/>
        <v>9.658527298246028E-2</v>
      </c>
      <c r="E47" s="117">
        <f t="shared" si="346"/>
        <v>0.10517870932618226</v>
      </c>
      <c r="F47" s="117">
        <f t="shared" ref="F47:K47" si="347">F45/F7</f>
        <v>9.8062704089882283E-2</v>
      </c>
      <c r="G47" s="117">
        <f t="shared" si="347"/>
        <v>9.889738148561375E-2</v>
      </c>
      <c r="H47" s="117">
        <f t="shared" si="347"/>
        <v>9.8537248398505889E-2</v>
      </c>
      <c r="I47" s="117">
        <f t="shared" si="347"/>
        <v>0.11918271786459929</v>
      </c>
      <c r="J47" s="117">
        <f t="shared" si="347"/>
        <v>0.11918271786459929</v>
      </c>
      <c r="K47" s="117">
        <f t="shared" si="347"/>
        <v>0.12584099808686314</v>
      </c>
      <c r="L47" s="117">
        <f t="shared" ref="L47:N47" si="348">L45/L7</f>
        <v>0.14474876195027261</v>
      </c>
      <c r="M47" s="117">
        <f t="shared" ref="M47" si="349">M45/M7</f>
        <v>0.14376643094184069</v>
      </c>
      <c r="N47" s="117">
        <f t="shared" si="348"/>
        <v>0.17991764679771433</v>
      </c>
      <c r="O47" s="117">
        <f t="shared" ref="O47" si="350">O45/O7</f>
        <v>0.18052958848081185</v>
      </c>
      <c r="P47" s="117">
        <f>P45/P7</f>
        <v>0.13600136873309387</v>
      </c>
      <c r="Q47" s="117">
        <f>Q45/Q7</f>
        <v>0.13763164183498144</v>
      </c>
      <c r="R47" s="117">
        <f>R45/R7</f>
        <v>0.13815070376556465</v>
      </c>
      <c r="S47" s="117">
        <f t="shared" ref="S47" si="351">S45/S7</f>
        <v>0.14189827938943203</v>
      </c>
      <c r="U47" s="117">
        <f t="shared" si="346"/>
        <v>0.10029610957024747</v>
      </c>
      <c r="V47" s="117">
        <f t="shared" si="346"/>
        <v>0.11137257609289822</v>
      </c>
      <c r="W47" s="117">
        <f t="shared" si="346"/>
        <v>0.12169483321322311</v>
      </c>
      <c r="X47" s="117">
        <f t="shared" si="346"/>
        <v>8.810615760078036E-2</v>
      </c>
      <c r="Y47" s="117">
        <f t="shared" si="346"/>
        <v>8.803428766741693E-2</v>
      </c>
      <c r="Z47" s="117">
        <f t="shared" si="346"/>
        <v>0.10243298452805176</v>
      </c>
      <c r="AA47" s="117">
        <f t="shared" si="346"/>
        <v>0.10656493676364037</v>
      </c>
      <c r="AB47" s="117">
        <f t="shared" ref="AB47:AG47" si="352">AB45/AB7</f>
        <v>9.5555337910947724E-2</v>
      </c>
      <c r="AC47" s="117">
        <f t="shared" si="352"/>
        <v>9.5849713127840547E-2</v>
      </c>
      <c r="AD47" s="117">
        <f t="shared" si="352"/>
        <v>7.2493858695442726E-2</v>
      </c>
      <c r="AE47" s="117">
        <f t="shared" si="352"/>
        <v>0.10956260411788303</v>
      </c>
      <c r="AF47" s="117">
        <f t="shared" si="352"/>
        <v>0.11651955471393823</v>
      </c>
      <c r="AG47" s="117">
        <f t="shared" si="352"/>
        <v>0.11486749781197925</v>
      </c>
      <c r="AH47" s="117">
        <f t="shared" ref="AH47:AM47" si="353">AH45/AH7</f>
        <v>0.10601718330076428</v>
      </c>
      <c r="AI47" s="117">
        <f t="shared" si="353"/>
        <v>0.12246074913909029</v>
      </c>
      <c r="AJ47" s="117">
        <f t="shared" si="353"/>
        <v>0.13259368319765497</v>
      </c>
      <c r="AK47" s="117">
        <f t="shared" si="353"/>
        <v>7.4239325357463026E-2</v>
      </c>
      <c r="AL47" s="117">
        <f t="shared" si="353"/>
        <v>0.12935265134489457</v>
      </c>
      <c r="AM47" s="117">
        <f t="shared" si="353"/>
        <v>0.13865599028218212</v>
      </c>
      <c r="AN47" s="117">
        <f t="shared" ref="AN47:AS47" si="354">AN45/AN7</f>
        <v>0.15469634833060539</v>
      </c>
      <c r="AO47" s="117">
        <f t="shared" si="354"/>
        <v>0.15877458195352612</v>
      </c>
      <c r="AP47" s="117">
        <f t="shared" si="354"/>
        <v>0.13163366419172612</v>
      </c>
      <c r="AQ47" s="117">
        <f t="shared" si="354"/>
        <v>0.14020127265321511</v>
      </c>
      <c r="AR47" s="117">
        <f t="shared" si="354"/>
        <v>0.14540049492640489</v>
      </c>
      <c r="AS47" s="117">
        <f t="shared" si="354"/>
        <v>0.1416931850940332</v>
      </c>
      <c r="AT47" s="117">
        <f t="shared" ref="AT47:AW47" si="355">AT45/AT7</f>
        <v>0.15126446169684094</v>
      </c>
      <c r="AU47" s="117">
        <f t="shared" si="355"/>
        <v>0.15169577181863256</v>
      </c>
      <c r="AV47" s="117">
        <f t="shared" si="355"/>
        <v>0.24945044608380856</v>
      </c>
      <c r="AW47" s="117">
        <f t="shared" si="355"/>
        <v>0.12804698714593168</v>
      </c>
      <c r="AX47" s="117">
        <f>AX45/AX7</f>
        <v>0.13895360250073188</v>
      </c>
      <c r="AY47" s="117">
        <f t="shared" ref="AY47:BA47" si="356">AY45/AY7</f>
        <v>0.14453812122752968</v>
      </c>
      <c r="AZ47" s="117">
        <f t="shared" si="356"/>
        <v>0.11388451913877769</v>
      </c>
      <c r="BA47" s="117">
        <f t="shared" si="356"/>
        <v>0.12587274431613452</v>
      </c>
      <c r="BB47" s="117">
        <f>BB45/BB7</f>
        <v>0.14476772150777928</v>
      </c>
      <c r="BC47" s="117">
        <f t="shared" ref="BC47:BE47" si="357">BC45/BC7</f>
        <v>0.14558266386824273</v>
      </c>
      <c r="BD47" s="117">
        <f t="shared" si="357"/>
        <v>0.13363371500957605</v>
      </c>
      <c r="BE47" s="117">
        <f t="shared" si="357"/>
        <v>0.12362610765612857</v>
      </c>
      <c r="BF47" s="117">
        <f>BF45/BF7</f>
        <v>0.13690918843406924</v>
      </c>
      <c r="BG47" s="117">
        <f t="shared" ref="BG47:BI47" si="358">BG45/BG7</f>
        <v>0.14481172933120917</v>
      </c>
      <c r="BH47" s="117">
        <f t="shared" si="358"/>
        <v>0.14668700347825783</v>
      </c>
      <c r="BI47" s="117">
        <f t="shared" si="358"/>
        <v>0.13895508622087449</v>
      </c>
      <c r="BJ47" s="224"/>
      <c r="BK47" s="117">
        <f t="shared" ref="BK47:BQ47" si="359">BK45/BK7</f>
        <v>9.6088612409466312E-2</v>
      </c>
      <c r="BL47" s="117">
        <f t="shared" si="359"/>
        <v>7.2190206507518909E-2</v>
      </c>
      <c r="BM47" s="117">
        <f t="shared" si="359"/>
        <v>0.10917638591699637</v>
      </c>
      <c r="BN47" s="117">
        <f t="shared" si="359"/>
        <v>0.11560259058993654</v>
      </c>
      <c r="BO47" s="117">
        <f t="shared" si="359"/>
        <v>0.10678758722016751</v>
      </c>
      <c r="BP47" s="117">
        <f t="shared" si="359"/>
        <v>0.12297092172276755</v>
      </c>
      <c r="BQ47" s="137" t="e">
        <f t="shared" si="359"/>
        <v>#REF!</v>
      </c>
      <c r="BR47" s="117">
        <f t="shared" ref="BR47:BX47" si="360">BR45/BR7</f>
        <v>0.13259368319765455</v>
      </c>
      <c r="BS47" s="117">
        <f t="shared" si="360"/>
        <v>7.4562081460492133E-2</v>
      </c>
      <c r="BT47" s="117">
        <f t="shared" si="360"/>
        <v>0.12963253009032938</v>
      </c>
      <c r="BU47" s="117">
        <f t="shared" si="360"/>
        <v>0.13889286946068091</v>
      </c>
      <c r="BV47" s="117">
        <f t="shared" si="360"/>
        <v>0.15369575702348301</v>
      </c>
      <c r="BW47" s="117"/>
      <c r="BX47" s="117">
        <f t="shared" si="360"/>
        <v>0.15820570160341163</v>
      </c>
      <c r="BY47" s="117">
        <f t="shared" ref="BY47:CB47" si="361">BY45/BY7</f>
        <v>0.12816306823733231</v>
      </c>
      <c r="BZ47" s="117">
        <f t="shared" si="361"/>
        <v>0.14001026158280538</v>
      </c>
      <c r="CA47" s="117">
        <f t="shared" si="361"/>
        <v>0.14865825278207612</v>
      </c>
      <c r="CB47" s="117">
        <f t="shared" si="361"/>
        <v>0.13954140852644339</v>
      </c>
      <c r="CC47" s="117">
        <f t="shared" ref="CC47:CD47" si="362">CC45/CC7</f>
        <v>0.15197006933113238</v>
      </c>
      <c r="CD47" s="117">
        <f t="shared" si="362"/>
        <v>0.15176199200100407</v>
      </c>
      <c r="CE47" s="117">
        <f t="shared" ref="CE47:CH47" si="363">CE45/CE7</f>
        <v>0.2669646763428889</v>
      </c>
      <c r="CF47" s="117">
        <f t="shared" si="363"/>
        <v>0.12849892987455966</v>
      </c>
      <c r="CG47" s="117">
        <f t="shared" si="363"/>
        <v>0.13928408958638655</v>
      </c>
      <c r="CH47" s="117">
        <f t="shared" si="363"/>
        <v>0.14043647568645076</v>
      </c>
      <c r="CI47" s="117">
        <f t="shared" ref="CI47" si="364">CI45/CI7</f>
        <v>0.13578162389209877</v>
      </c>
    </row>
    <row r="48" spans="2:87" ht="13.5" customHeight="1">
      <c r="B48" s="123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224"/>
      <c r="BK48" s="124"/>
      <c r="BL48" s="124"/>
      <c r="BM48" s="124"/>
      <c r="BN48" s="124"/>
      <c r="BO48" s="124"/>
      <c r="BP48" s="124"/>
      <c r="BQ48" s="2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4"/>
    </row>
    <row r="49" spans="2:90" ht="13.5" customHeight="1">
      <c r="B49" s="283" t="s">
        <v>319</v>
      </c>
      <c r="C49" s="284">
        <f t="shared" ref="C49:Z49" si="365">C50-C45</f>
        <v>2276.9310000000114</v>
      </c>
      <c r="D49" s="284">
        <f t="shared" si="365"/>
        <v>2198.8280000000123</v>
      </c>
      <c r="E49" s="284">
        <f t="shared" si="365"/>
        <v>2778.1339999999836</v>
      </c>
      <c r="F49" s="284">
        <f t="shared" ref="F49:K49" si="366">F50-F45</f>
        <v>1054.7159999999822</v>
      </c>
      <c r="G49" s="284">
        <f t="shared" si="366"/>
        <v>3196.2499999999854</v>
      </c>
      <c r="H49" s="284">
        <f t="shared" si="366"/>
        <v>3191.2500000000146</v>
      </c>
      <c r="I49" s="284">
        <f t="shared" si="366"/>
        <v>-1366.5129999999481</v>
      </c>
      <c r="J49" s="284">
        <f t="shared" si="366"/>
        <v>3080.4870000000519</v>
      </c>
      <c r="K49" s="284">
        <f t="shared" si="366"/>
        <v>3533.2690000000002</v>
      </c>
      <c r="L49" s="284">
        <f t="shared" ref="L49:N49" si="367">L50-L45</f>
        <v>-1323.025000000016</v>
      </c>
      <c r="M49" s="284">
        <f t="shared" ref="M49" si="368">M50-M45</f>
        <v>-1334.9460000000108</v>
      </c>
      <c r="N49" s="284">
        <f t="shared" si="367"/>
        <v>-18289.297999999995</v>
      </c>
      <c r="O49" s="284">
        <f t="shared" ref="O49" si="369">O50-O45</f>
        <v>-18533.282999999996</v>
      </c>
      <c r="P49" s="284">
        <f>P50-P45</f>
        <v>557.87100000001374</v>
      </c>
      <c r="Q49" s="284">
        <f>Q50-Q45</f>
        <v>-725.80999999997584</v>
      </c>
      <c r="R49" s="284">
        <f>R50-R45</f>
        <v>472.32299999998941</v>
      </c>
      <c r="S49" s="284">
        <f t="shared" ref="S49" si="370">S50-S45</f>
        <v>574.70999999997002</v>
      </c>
      <c r="U49" s="284">
        <f t="shared" si="365"/>
        <v>50.549999999998363</v>
      </c>
      <c r="V49" s="284">
        <f t="shared" si="365"/>
        <v>85.837000000004991</v>
      </c>
      <c r="W49" s="284">
        <f t="shared" si="365"/>
        <v>89.906000000001768</v>
      </c>
      <c r="X49" s="284">
        <f t="shared" si="365"/>
        <v>2551.8409999999858</v>
      </c>
      <c r="Y49" s="284">
        <f t="shared" si="365"/>
        <v>-31.302999999992608</v>
      </c>
      <c r="Z49" s="284">
        <f t="shared" si="365"/>
        <v>222.12199999999393</v>
      </c>
      <c r="AA49" s="284">
        <f t="shared" ref="AA49:AH49" si="371">AA50-AA45</f>
        <v>133.74499999999989</v>
      </c>
      <c r="AB49" s="284">
        <f t="shared" si="371"/>
        <v>730.15199999997549</v>
      </c>
      <c r="AC49" s="284">
        <f t="shared" si="371"/>
        <v>57.296000000002095</v>
      </c>
      <c r="AD49" s="284">
        <f t="shared" si="371"/>
        <v>2226.2400000000043</v>
      </c>
      <c r="AE49" s="284">
        <f t="shared" si="371"/>
        <v>369.73000000000411</v>
      </c>
      <c r="AF49" s="284">
        <f t="shared" si="371"/>
        <v>542.9839999999931</v>
      </c>
      <c r="AG49" s="284">
        <f t="shared" si="371"/>
        <v>-1058.6939999999977</v>
      </c>
      <c r="AH49" s="284">
        <f t="shared" si="371"/>
        <v>39.394999999995889</v>
      </c>
      <c r="AI49" s="284">
        <f>AI50-AI45</f>
        <v>-45.291000000006534</v>
      </c>
      <c r="AJ49" s="284">
        <f>AJ50-AJ45</f>
        <v>-301.92299999997704</v>
      </c>
      <c r="AK49" s="284"/>
      <c r="AL49" s="284"/>
      <c r="AM49" s="284"/>
      <c r="AN49" s="284"/>
      <c r="AO49" s="284"/>
      <c r="AP49" s="284"/>
      <c r="AQ49" s="284"/>
      <c r="AR49" s="284"/>
      <c r="AS49" s="284">
        <f t="shared" ref="AS49:AW49" si="372">AS50-AS45</f>
        <v>-1325.8990000000085</v>
      </c>
      <c r="AT49" s="284">
        <f t="shared" si="372"/>
        <v>-1595.0969999999907</v>
      </c>
      <c r="AU49" s="284">
        <f t="shared" si="372"/>
        <v>-1092.523999999994</v>
      </c>
      <c r="AV49" s="284">
        <f t="shared" si="372"/>
        <v>-12423.217999999986</v>
      </c>
      <c r="AW49" s="284">
        <f t="shared" si="372"/>
        <v>107.94500000000698</v>
      </c>
      <c r="AX49" s="284">
        <f t="shared" ref="AX49:BA49" si="373">AX50-AX45</f>
        <v>55.762999999988097</v>
      </c>
      <c r="AY49" s="284">
        <f t="shared" si="373"/>
        <v>131.46400000000358</v>
      </c>
      <c r="AZ49" s="284">
        <f t="shared" si="373"/>
        <v>2140.3130000000019</v>
      </c>
      <c r="BA49" s="284">
        <f t="shared" si="373"/>
        <v>85.135999999996784</v>
      </c>
      <c r="BB49" s="284">
        <f t="shared" ref="BB49:BE49" si="374">BB50-BB45</f>
        <v>-246.77200000000812</v>
      </c>
      <c r="BC49" s="284">
        <f t="shared" si="374"/>
        <v>201.48899999999594</v>
      </c>
      <c r="BD49" s="284">
        <f t="shared" si="374"/>
        <v>-765.66299999993862</v>
      </c>
      <c r="BE49" s="284">
        <f t="shared" si="374"/>
        <v>-6.1870000000089931</v>
      </c>
      <c r="BF49" s="284">
        <f t="shared" ref="BF49:BI49" si="375">BF50-BF45</f>
        <v>178.91600000000835</v>
      </c>
      <c r="BG49" s="284">
        <f t="shared" si="375"/>
        <v>220.20500000000175</v>
      </c>
      <c r="BH49" s="284">
        <f t="shared" si="375"/>
        <v>79.388999999984662</v>
      </c>
      <c r="BI49" s="284">
        <f t="shared" si="375"/>
        <v>96.199999999991633</v>
      </c>
      <c r="BJ49" s="6"/>
      <c r="BK49" s="6">
        <f>BK50-BK45</f>
        <v>52.74000000000251</v>
      </c>
      <c r="BL49" s="6">
        <f>BL50-BL45</f>
        <v>2206.0029999999915</v>
      </c>
      <c r="BM49" s="6">
        <f>BM50-BM45</f>
        <v>369.73100000000522</v>
      </c>
      <c r="BN49" s="6">
        <f>BN50-BN45</f>
        <v>562.77599999999802</v>
      </c>
      <c r="BO49" s="242"/>
      <c r="BP49" s="242"/>
      <c r="BQ49" s="4" t="e">
        <f>BQ50-BQ45</f>
        <v>#REF!</v>
      </c>
      <c r="BR49" s="6">
        <f>BR50-BR45</f>
        <v>4145.0770000000557</v>
      </c>
      <c r="BS49" s="242"/>
      <c r="BT49" s="242"/>
      <c r="BU49" s="242"/>
      <c r="BV49" s="6">
        <f>BV50-BV45</f>
        <v>32163.016000000007</v>
      </c>
      <c r="BW49" s="6"/>
      <c r="BX49" s="6">
        <f t="shared" ref="BX49:CB49" si="376">BX50-BX45</f>
        <v>-1910.5269999999946</v>
      </c>
      <c r="BY49" s="6">
        <f t="shared" si="376"/>
        <v>1083.9900000000125</v>
      </c>
      <c r="BZ49" s="6">
        <f t="shared" si="376"/>
        <v>600.81899999999951</v>
      </c>
      <c r="CA49" s="6">
        <f t="shared" si="376"/>
        <v>-1109.2280000000301</v>
      </c>
      <c r="CB49" s="6">
        <f t="shared" si="376"/>
        <v>-1326.3049999999985</v>
      </c>
      <c r="CC49" s="6">
        <f t="shared" ref="CC49:CF49" si="377">CC50-CC45</f>
        <v>-1660.1260000000002</v>
      </c>
      <c r="CD49" s="6">
        <f t="shared" si="377"/>
        <v>-1088.8860000000095</v>
      </c>
      <c r="CE49" s="6">
        <f t="shared" si="377"/>
        <v>-14457.965999999986</v>
      </c>
      <c r="CF49" s="6">
        <f t="shared" si="377"/>
        <v>107.36100000000624</v>
      </c>
      <c r="CG49" s="6">
        <f t="shared" ref="CG49:CI49" si="378">CG50-CG45</f>
        <v>54.56399999999303</v>
      </c>
      <c r="CH49" s="6">
        <f t="shared" si="378"/>
        <v>550.79699999998957</v>
      </c>
      <c r="CI49" s="6">
        <f t="shared" si="378"/>
        <v>-154.8509999999751</v>
      </c>
    </row>
    <row r="50" spans="2:90" s="5" customFormat="1" ht="13.5" customHeight="1">
      <c r="B50" s="5" t="s">
        <v>320</v>
      </c>
      <c r="C50" s="96">
        <v>18420</v>
      </c>
      <c r="D50" s="96">
        <v>23369</v>
      </c>
      <c r="E50" s="96">
        <v>29298</v>
      </c>
      <c r="F50" s="96">
        <v>27288</v>
      </c>
      <c r="G50" s="96">
        <v>31705</v>
      </c>
      <c r="H50" s="96">
        <v>31700</v>
      </c>
      <c r="I50" s="96">
        <v>33426</v>
      </c>
      <c r="J50" s="96">
        <v>37873</v>
      </c>
      <c r="K50" s="96">
        <v>45193</v>
      </c>
      <c r="L50" s="265">
        <v>49178</v>
      </c>
      <c r="M50" s="265">
        <v>47372</v>
      </c>
      <c r="N50" s="265">
        <v>53445</v>
      </c>
      <c r="O50" s="265">
        <v>53445</v>
      </c>
      <c r="P50" s="265">
        <v>54942</v>
      </c>
      <c r="Q50" s="265">
        <v>55474</v>
      </c>
      <c r="R50" s="265">
        <v>59456</v>
      </c>
      <c r="S50" s="94">
        <f>S54</f>
        <v>60675</v>
      </c>
      <c r="T50"/>
      <c r="U50" s="96">
        <v>5775</v>
      </c>
      <c r="V50" s="96">
        <v>6884</v>
      </c>
      <c r="W50" s="96">
        <f>20679-V50-U50</f>
        <v>8020</v>
      </c>
      <c r="X50" s="8">
        <f>E50-W50-V50-U50</f>
        <v>8619</v>
      </c>
      <c r="Y50" s="96">
        <f>12678-Z50</f>
        <v>5786</v>
      </c>
      <c r="Z50" s="96">
        <v>6892</v>
      </c>
      <c r="AA50" s="96">
        <f>19780-Z50-Y50</f>
        <v>7102</v>
      </c>
      <c r="AB50" s="95">
        <f>F50-SUM(Y50:AA50)</f>
        <v>7508</v>
      </c>
      <c r="AC50" s="96">
        <v>6494</v>
      </c>
      <c r="AD50" s="96">
        <v>7476</v>
      </c>
      <c r="AE50" s="96">
        <v>8301</v>
      </c>
      <c r="AF50" s="94">
        <f>G50-AE50-AD50-AC50</f>
        <v>9434</v>
      </c>
      <c r="AG50" s="96">
        <v>6933</v>
      </c>
      <c r="AH50" s="96">
        <v>7707</v>
      </c>
      <c r="AI50" s="96">
        <v>9135</v>
      </c>
      <c r="AJ50" s="95">
        <f>I50-AI50-AH50-AG50</f>
        <v>9651</v>
      </c>
      <c r="AK50" s="243"/>
      <c r="AL50" s="243"/>
      <c r="AM50" s="243"/>
      <c r="AN50" s="250"/>
      <c r="AO50" s="243"/>
      <c r="AP50" s="243"/>
      <c r="AQ50" s="243"/>
      <c r="AR50" s="250"/>
      <c r="AS50" s="94">
        <f t="shared" ref="AS50:AW50" si="379">AS54</f>
        <v>11897</v>
      </c>
      <c r="AT50" s="94">
        <f t="shared" si="379"/>
        <v>12992</v>
      </c>
      <c r="AU50" s="94">
        <f t="shared" si="379"/>
        <v>14505</v>
      </c>
      <c r="AV50" s="94">
        <f t="shared" si="379"/>
        <v>14051</v>
      </c>
      <c r="AW50" s="94">
        <f t="shared" si="379"/>
        <v>12857</v>
      </c>
      <c r="AX50" s="94">
        <f t="shared" ref="AX50:BA50" si="380">AX54</f>
        <v>14002</v>
      </c>
      <c r="AY50" s="94">
        <f t="shared" si="380"/>
        <v>14467</v>
      </c>
      <c r="AZ50" s="94">
        <f t="shared" si="380"/>
        <v>13616</v>
      </c>
      <c r="BA50" s="94">
        <f t="shared" si="380"/>
        <v>11872</v>
      </c>
      <c r="BB50" s="94">
        <f t="shared" ref="BB50:BE50" si="381">BB54</f>
        <v>13953</v>
      </c>
      <c r="BC50" s="94">
        <f t="shared" si="381"/>
        <v>15640</v>
      </c>
      <c r="BD50" s="94">
        <f t="shared" si="381"/>
        <v>14009</v>
      </c>
      <c r="BE50" s="94">
        <f t="shared" si="381"/>
        <v>12817</v>
      </c>
      <c r="BF50" s="94">
        <f t="shared" ref="BF50:BG50" si="382">BF54</f>
        <v>14897</v>
      </c>
      <c r="BG50" s="94">
        <f t="shared" si="382"/>
        <v>15776</v>
      </c>
      <c r="BH50" s="8">
        <f>R50-SUM(BE50:BG50)</f>
        <v>15966</v>
      </c>
      <c r="BI50" s="94">
        <f t="shared" ref="BI50" si="383">BI54</f>
        <v>14036</v>
      </c>
      <c r="BJ50" s="94"/>
      <c r="BK50" s="96">
        <v>6505</v>
      </c>
      <c r="BL50" s="96">
        <v>7461</v>
      </c>
      <c r="BM50" s="96">
        <v>8301</v>
      </c>
      <c r="BN50" s="95">
        <f>H50-BM50-BL50-BK50</f>
        <v>9433</v>
      </c>
      <c r="BO50" s="243"/>
      <c r="BP50" s="243"/>
      <c r="BQ50" s="41" t="e">
        <f>#REF!-Y50-Z50-AA50</f>
        <v>#REF!</v>
      </c>
      <c r="BR50" s="95">
        <f>J50-AG50-AH50-AI50</f>
        <v>14098</v>
      </c>
      <c r="BS50" s="243"/>
      <c r="BT50" s="243"/>
      <c r="BU50" s="243"/>
      <c r="BV50" s="95">
        <f>K50-BS50-BT50-BU50</f>
        <v>45193</v>
      </c>
      <c r="BW50" s="95"/>
      <c r="BX50" s="94">
        <f t="shared" ref="BX50:CB50" si="384">BX54</f>
        <v>10633</v>
      </c>
      <c r="BY50" s="94">
        <f t="shared" si="384"/>
        <v>11549</v>
      </c>
      <c r="BZ50" s="94">
        <f t="shared" si="384"/>
        <v>12594</v>
      </c>
      <c r="CA50" s="94">
        <f t="shared" si="384"/>
        <v>12596</v>
      </c>
      <c r="CB50" s="94">
        <f t="shared" si="384"/>
        <v>11312</v>
      </c>
      <c r="CC50" s="94">
        <f t="shared" ref="CC50:CF50" si="385">CC54</f>
        <v>12992</v>
      </c>
      <c r="CD50" s="94">
        <f t="shared" si="385"/>
        <v>14501</v>
      </c>
      <c r="CE50" s="94">
        <f t="shared" si="385"/>
        <v>14640</v>
      </c>
      <c r="CF50" s="94">
        <f t="shared" si="385"/>
        <v>12852</v>
      </c>
      <c r="CG50" s="94">
        <f t="shared" ref="CG50:CI50" si="386">CG54</f>
        <v>13988</v>
      </c>
      <c r="CH50" s="94">
        <f t="shared" si="386"/>
        <v>14423</v>
      </c>
      <c r="CI50" s="94">
        <f t="shared" si="386"/>
        <v>13679</v>
      </c>
    </row>
    <row r="51" spans="2:90" ht="13.5" customHeight="1">
      <c r="B51" s="115" t="s">
        <v>317</v>
      </c>
      <c r="C51" s="118">
        <f>C50/17251-1</f>
        <v>6.7764187583328583E-2</v>
      </c>
      <c r="D51" s="117">
        <f>+D50/C50-1</f>
        <v>0.26867535287730737</v>
      </c>
      <c r="E51" s="117">
        <f>+E50/D50-1</f>
        <v>0.25371218280628183</v>
      </c>
      <c r="F51" s="117">
        <f>+F50/E50-1</f>
        <v>-6.8605365553962683E-2</v>
      </c>
      <c r="G51" s="117">
        <f>+G50/F50-1</f>
        <v>0.1618660216945178</v>
      </c>
      <c r="H51" s="117">
        <f>+H50/F50-1</f>
        <v>0.16168279097038996</v>
      </c>
      <c r="I51" s="117">
        <f>+I50/H50-1</f>
        <v>5.4447949526813977E-2</v>
      </c>
      <c r="J51" s="117">
        <f>+J50/H50-1</f>
        <v>0.19473186119873809</v>
      </c>
      <c r="K51" s="117">
        <f>+K50/J50-1</f>
        <v>0.19327753280701288</v>
      </c>
      <c r="L51" s="117">
        <f>+L50/K50-1</f>
        <v>8.8177372601951687E-2</v>
      </c>
      <c r="M51" s="117">
        <f>+M50/L50-1</f>
        <v>-3.6723738256944194E-2</v>
      </c>
      <c r="N51" s="117">
        <f>+N50/L50-1</f>
        <v>8.6766440278173151E-2</v>
      </c>
      <c r="O51" s="117">
        <f>+O50/M50-1</f>
        <v>0.12819809169973828</v>
      </c>
      <c r="P51" s="117">
        <f>+P50/O50-1</f>
        <v>2.8010103845074408E-2</v>
      </c>
      <c r="Q51" s="117">
        <f t="shared" ref="Q51:R51" si="387">+Q50/P50-1</f>
        <v>9.6829383713734618E-3</v>
      </c>
      <c r="R51" s="117">
        <f t="shared" si="387"/>
        <v>7.1781375058586061E-2</v>
      </c>
      <c r="S51" s="117"/>
      <c r="U51" s="118">
        <f>U50/4260-1</f>
        <v>0.35563380281690149</v>
      </c>
      <c r="V51" s="119">
        <f>V50/5652-1</f>
        <v>0.21797593772116075</v>
      </c>
      <c r="W51" s="119">
        <f>W50/6528-1</f>
        <v>0.22855392156862742</v>
      </c>
      <c r="X51" s="120">
        <f>X50/6889-1</f>
        <v>0.25112498185513132</v>
      </c>
      <c r="Y51" s="117">
        <f t="shared" ref="Y51:AE51" si="388">+Y50/U50-1</f>
        <v>1.9047619047618536E-3</v>
      </c>
      <c r="Z51" s="117">
        <f t="shared" si="388"/>
        <v>1.1621150493899002E-3</v>
      </c>
      <c r="AA51" s="117">
        <f t="shared" si="388"/>
        <v>-0.11446384039900248</v>
      </c>
      <c r="AB51" s="117">
        <f t="shared" si="388"/>
        <v>-0.12890126464787099</v>
      </c>
      <c r="AC51" s="117">
        <f t="shared" si="388"/>
        <v>0.1223643276875217</v>
      </c>
      <c r="AD51" s="117">
        <f t="shared" si="388"/>
        <v>8.4735925710969218E-2</v>
      </c>
      <c r="AE51" s="117">
        <f t="shared" si="388"/>
        <v>0.16882568290622357</v>
      </c>
      <c r="AF51" s="117">
        <f>+AF50/AB50-1</f>
        <v>0.25652637187000527</v>
      </c>
      <c r="AG51" s="122">
        <f>AG50/BK50-1</f>
        <v>6.5795541890853126E-2</v>
      </c>
      <c r="AH51" s="122">
        <f>AH50/BL50-1</f>
        <v>3.2971451548049924E-2</v>
      </c>
      <c r="AI51" s="122">
        <f>AI50/BM50-1</f>
        <v>0.10046982291290196</v>
      </c>
      <c r="AJ51" s="122">
        <f>AJ50/BN50-1</f>
        <v>2.3110357256440173E-2</v>
      </c>
      <c r="AK51" s="244"/>
      <c r="AL51" s="244"/>
      <c r="AM51" s="244"/>
      <c r="AN51" s="244"/>
      <c r="AO51" s="244"/>
      <c r="AP51" s="244"/>
      <c r="AQ51" s="244"/>
      <c r="AR51" s="244"/>
      <c r="AS51" s="122">
        <f>AS50/BV50-1</f>
        <v>-0.73675126678910452</v>
      </c>
      <c r="AT51" s="122">
        <f>AT50/BX50-1</f>
        <v>0.22185648452929563</v>
      </c>
      <c r="AU51" s="122">
        <f t="shared" ref="AU51:AZ51" si="389">AU50/BZ50-1</f>
        <v>0.15173892329680805</v>
      </c>
      <c r="AV51" s="122">
        <f t="shared" si="389"/>
        <v>0.11551286122578586</v>
      </c>
      <c r="AW51" s="122">
        <f t="shared" si="389"/>
        <v>0.1365806223479491</v>
      </c>
      <c r="AX51" s="122">
        <f t="shared" si="389"/>
        <v>7.7740147783251334E-2</v>
      </c>
      <c r="AY51" s="122">
        <f t="shared" si="389"/>
        <v>-2.3446658851113966E-3</v>
      </c>
      <c r="AZ51" s="122">
        <f t="shared" si="389"/>
        <v>-6.9945355191256886E-2</v>
      </c>
      <c r="BA51" s="122">
        <f>BA50/AW50-1</f>
        <v>-7.6611962355137231E-2</v>
      </c>
      <c r="BB51" s="122">
        <f>BB50/CG50-1</f>
        <v>-2.50214469545329E-3</v>
      </c>
      <c r="BC51" s="122">
        <f>BC50/CH50-1</f>
        <v>8.4379116688622302E-2</v>
      </c>
      <c r="BD51" s="122">
        <f>BD50/CI50-1</f>
        <v>2.4124570509540089E-2</v>
      </c>
      <c r="BE51" s="122">
        <f>BE50/BA50-1</f>
        <v>7.9599056603773644E-2</v>
      </c>
      <c r="BF51" s="122">
        <f>BF50/BB50-1</f>
        <v>6.7655701282878233E-2</v>
      </c>
      <c r="BG51" s="122">
        <f>BG50/BC50-1</f>
        <v>8.6956521739129933E-3</v>
      </c>
      <c r="BH51" s="122">
        <f>BH50/BD50-1</f>
        <v>0.13969590977228918</v>
      </c>
      <c r="BI51" s="122">
        <f>BI50/BE50-1</f>
        <v>9.5108059608332685E-2</v>
      </c>
      <c r="BJ51" s="287"/>
      <c r="BK51" s="122">
        <f>BK50/Y50-1</f>
        <v>0.1242654683719322</v>
      </c>
      <c r="BL51" s="122">
        <f>BL50/Z50-1</f>
        <v>8.2559489262913566E-2</v>
      </c>
      <c r="BM51" s="122">
        <f>BM50/AA50-1</f>
        <v>0.16882568290622357</v>
      </c>
      <c r="BN51" s="122">
        <f>BN50/AB50-1</f>
        <v>0.25639318060735206</v>
      </c>
      <c r="BO51" s="244"/>
      <c r="BP51" s="244"/>
      <c r="BQ51" s="157"/>
      <c r="BR51" s="122">
        <f>BR50/AF50-1</f>
        <v>0.49438202247191021</v>
      </c>
      <c r="BS51" s="244"/>
      <c r="BT51" s="244"/>
      <c r="BU51" s="244"/>
      <c r="BV51" s="122">
        <f>BV50/AJ50-1</f>
        <v>3.6827271785307225</v>
      </c>
      <c r="BW51" s="122"/>
      <c r="BX51" s="122"/>
      <c r="BY51" s="122"/>
      <c r="BZ51" s="122"/>
      <c r="CA51" s="122">
        <f>CA50/BV50-1</f>
        <v>-0.72128426968778347</v>
      </c>
      <c r="CB51" s="122">
        <f t="shared" ref="CB51" si="390">CB50/BX50-1</f>
        <v>6.3857801184990182E-2</v>
      </c>
      <c r="CC51" s="122">
        <f>CC50/BY50-1</f>
        <v>0.12494588276041219</v>
      </c>
      <c r="CD51" s="122">
        <f>CD50/BZ50-1</f>
        <v>0.15142131173574724</v>
      </c>
      <c r="CE51" s="122">
        <f>CE50/CA50-1</f>
        <v>0.16227373769450626</v>
      </c>
      <c r="CF51" s="122">
        <f>CF50/CB50-1</f>
        <v>0.13613861386138604</v>
      </c>
      <c r="CG51" s="122">
        <f>CG50/CD50-1</f>
        <v>-3.5376870560650975E-2</v>
      </c>
      <c r="CH51" s="122">
        <f>CH50/CD50-1</f>
        <v>-5.3789393834907662E-3</v>
      </c>
      <c r="CI51" s="122">
        <f>CI50/CE50-1</f>
        <v>-6.5642076502732238E-2</v>
      </c>
    </row>
    <row r="52" spans="2:90" ht="13.5" customHeight="1">
      <c r="B52" s="115" t="s">
        <v>318</v>
      </c>
      <c r="C52" s="117">
        <f t="shared" ref="C52:AA52" si="391">C50/C7</f>
        <v>9.8474948096164375E-2</v>
      </c>
      <c r="D52" s="117">
        <f t="shared" si="391"/>
        <v>0.10661704800164663</v>
      </c>
      <c r="E52" s="117">
        <f t="shared" si="391"/>
        <v>0.11619688522704022</v>
      </c>
      <c r="F52" s="117">
        <f t="shared" ref="F52:G52" si="392">F50/F7</f>
        <v>0.10200534058963819</v>
      </c>
      <c r="G52" s="117">
        <f t="shared" si="392"/>
        <v>0.10998523190253458</v>
      </c>
      <c r="H52" s="117">
        <f t="shared" ref="H52:L52" si="393">H50/H7</f>
        <v>0.1095674406711146</v>
      </c>
      <c r="I52" s="117">
        <f t="shared" si="393"/>
        <v>0.11450168969807102</v>
      </c>
      <c r="J52" s="117">
        <f t="shared" si="393"/>
        <v>0.12973501148611991</v>
      </c>
      <c r="K52" s="117">
        <f t="shared" si="393"/>
        <v>0.13651389699418862</v>
      </c>
      <c r="L52" s="117">
        <f t="shared" si="393"/>
        <v>0.14095663632947061</v>
      </c>
      <c r="M52" s="117">
        <f t="shared" ref="M52" si="394">M50/M7</f>
        <v>0.1398261218549173</v>
      </c>
      <c r="N52" s="117">
        <f t="shared" ref="N52:O52" si="395">N50/N7</f>
        <v>0.13404604075311147</v>
      </c>
      <c r="O52" s="117">
        <f t="shared" si="395"/>
        <v>0.13404604075311147</v>
      </c>
      <c r="P52" s="117">
        <f>P50/P7</f>
        <v>0.13739646728429991</v>
      </c>
      <c r="Q52" s="117">
        <f>Q50/Q7</f>
        <v>0.13585415500788639</v>
      </c>
      <c r="R52" s="117">
        <f>R50/R7</f>
        <v>0.13925697177348592</v>
      </c>
      <c r="S52" s="117">
        <f t="shared" ref="S52" si="396">S50/S7</f>
        <v>0.14325518399251957</v>
      </c>
      <c r="U52" s="117">
        <f t="shared" si="391"/>
        <v>0.10118177864566534</v>
      </c>
      <c r="V52" s="117">
        <f t="shared" si="391"/>
        <v>0.11277882184106382</v>
      </c>
      <c r="W52" s="117">
        <f t="shared" si="391"/>
        <v>0.12307452627548293</v>
      </c>
      <c r="X52" s="117">
        <f t="shared" si="391"/>
        <v>0.12516351926183641</v>
      </c>
      <c r="Y52" s="117">
        <f t="shared" si="391"/>
        <v>8.756057376479702E-2</v>
      </c>
      <c r="Z52" s="117">
        <f t="shared" si="391"/>
        <v>0.10584423423746762</v>
      </c>
      <c r="AA52" s="117">
        <f t="shared" si="391"/>
        <v>0.10861028778300649</v>
      </c>
      <c r="AB52" s="117">
        <f t="shared" ref="AB52:AG52" si="397">AB50/AB7</f>
        <v>0.10584915404349476</v>
      </c>
      <c r="AC52" s="117">
        <f t="shared" si="397"/>
        <v>9.6702914574322008E-2</v>
      </c>
      <c r="AD52" s="117">
        <f t="shared" si="397"/>
        <v>0.10323597414112841</v>
      </c>
      <c r="AE52" s="117">
        <f t="shared" si="397"/>
        <v>0.11467005621830395</v>
      </c>
      <c r="AF52" s="117">
        <f t="shared" si="397"/>
        <v>0.12363553042433985</v>
      </c>
      <c r="AG52" s="117">
        <f t="shared" si="397"/>
        <v>9.9650507430646407E-2</v>
      </c>
      <c r="AH52" s="117">
        <f>AH50/AH7</f>
        <v>0.10656188362585056</v>
      </c>
      <c r="AI52" s="117">
        <f>AI50/AI7</f>
        <v>0.1218565885749797</v>
      </c>
      <c r="AJ52" s="117">
        <f>AJ50/AJ7</f>
        <v>0.12857143941941188</v>
      </c>
      <c r="AK52" s="245"/>
      <c r="AL52" s="245"/>
      <c r="AM52" s="245"/>
      <c r="AN52" s="245"/>
      <c r="AO52" s="245"/>
      <c r="AP52" s="245"/>
      <c r="AQ52" s="245"/>
      <c r="AR52" s="245"/>
      <c r="AS52" s="117">
        <f t="shared" ref="AS52:AW52" si="398">AS50/AS7</f>
        <v>0.12748519239719761</v>
      </c>
      <c r="AT52" s="117">
        <f t="shared" si="398"/>
        <v>0.1347237141403364</v>
      </c>
      <c r="AU52" s="117">
        <f t="shared" si="398"/>
        <v>0.14107028591392237</v>
      </c>
      <c r="AV52" s="117">
        <f t="shared" si="398"/>
        <v>0.13239402266475239</v>
      </c>
      <c r="AW52" s="117">
        <f t="shared" si="398"/>
        <v>0.12913114844474705</v>
      </c>
      <c r="AX52" s="117">
        <f>AX50/AX7</f>
        <v>0.13950919823141153</v>
      </c>
      <c r="AY52" s="117">
        <f t="shared" ref="AY52:BA52" si="399">AY50/AY7</f>
        <v>0.14586360773665336</v>
      </c>
      <c r="AZ52" s="117">
        <f t="shared" si="399"/>
        <v>0.13512494830101215</v>
      </c>
      <c r="BA52" s="117">
        <f t="shared" si="399"/>
        <v>0.12678191760939539</v>
      </c>
      <c r="BB52" s="117">
        <f>BB50/BB7</f>
        <v>0.14225186279033517</v>
      </c>
      <c r="BC52" s="117">
        <f t="shared" ref="BC52:BE52" si="400">BC50/BC7</f>
        <v>0.14748267257764142</v>
      </c>
      <c r="BD52" s="117">
        <f t="shared" si="400"/>
        <v>0.12670845443778708</v>
      </c>
      <c r="BE52" s="117">
        <f t="shared" si="400"/>
        <v>0.12356645986903246</v>
      </c>
      <c r="BF52" s="117">
        <f>BF50/BF7</f>
        <v>0.13857348416426557</v>
      </c>
      <c r="BG52" s="117">
        <f t="shared" ref="BG52:BI52" si="401">BG50/BG7</f>
        <v>0.14686165778921334</v>
      </c>
      <c r="BH52" s="117">
        <f t="shared" si="401"/>
        <v>0.14742003171940588</v>
      </c>
      <c r="BI52" s="117">
        <f t="shared" si="401"/>
        <v>0.13991402962712474</v>
      </c>
      <c r="BJ52" s="224"/>
      <c r="BK52" s="117">
        <f>BK50/BK7</f>
        <v>9.6874029212024718E-2</v>
      </c>
      <c r="BL52" s="117">
        <f>BL50/BL7</f>
        <v>0.10249504057806268</v>
      </c>
      <c r="BM52" s="117">
        <f>BM50/BM7</f>
        <v>0.11426584818860482</v>
      </c>
      <c r="BN52" s="117">
        <f>BN50/BN7</f>
        <v>0.12293705739955058</v>
      </c>
      <c r="BO52" s="245"/>
      <c r="BP52" s="245"/>
      <c r="BQ52" s="137"/>
      <c r="BR52" s="117">
        <f>BR50/BR7</f>
        <v>0.18781475007096352</v>
      </c>
      <c r="BS52" s="245"/>
      <c r="BT52" s="245"/>
      <c r="BU52" s="245"/>
      <c r="BV52" s="117">
        <f>BV50/BV7</f>
        <v>0.53307604576968559</v>
      </c>
      <c r="BW52" s="117"/>
      <c r="BX52" s="117">
        <f t="shared" ref="BX52:CB52" si="402">BX50/BX7</f>
        <v>0.13410910863819056</v>
      </c>
      <c r="BY52" s="117">
        <f t="shared" si="402"/>
        <v>0.141438496004586</v>
      </c>
      <c r="BZ52" s="117">
        <f t="shared" si="402"/>
        <v>0.14702431609877736</v>
      </c>
      <c r="CA52" s="117">
        <f t="shared" si="402"/>
        <v>0.13662664729423157</v>
      </c>
      <c r="CB52" s="117">
        <f t="shared" si="402"/>
        <v>0.12489747741102368</v>
      </c>
      <c r="CC52" s="117">
        <f t="shared" ref="CC52:CD52" si="403">CC50/CC7</f>
        <v>0.13475144431259137</v>
      </c>
      <c r="CD52" s="117">
        <f t="shared" si="403"/>
        <v>0.14116207430936689</v>
      </c>
      <c r="CE52" s="117">
        <f t="shared" ref="CE52:CH52" si="404">CE50/CE7</f>
        <v>0.13431739048907732</v>
      </c>
      <c r="CF52" s="117">
        <f t="shared" si="404"/>
        <v>0.12958140648376479</v>
      </c>
      <c r="CG52" s="117">
        <f t="shared" si="404"/>
        <v>0.13982953272504886</v>
      </c>
      <c r="CH52" s="117">
        <f t="shared" si="404"/>
        <v>0.14601251789825148</v>
      </c>
      <c r="CI52" s="117">
        <f t="shared" ref="CI52" si="405">CI50/CI7</f>
        <v>0.13426173472737435</v>
      </c>
    </row>
    <row r="53" spans="2:90" s="5" customFormat="1" ht="13.5" customHeight="1">
      <c r="B53" s="5" t="s">
        <v>321</v>
      </c>
      <c r="C53" s="4">
        <v>3485</v>
      </c>
      <c r="D53" s="4">
        <v>4136</v>
      </c>
      <c r="E53" s="4">
        <v>4861</v>
      </c>
      <c r="F53" s="4">
        <v>5753.9759999999997</v>
      </c>
      <c r="G53" s="4">
        <v>6230.8469999999998</v>
      </c>
      <c r="H53" s="6">
        <f>G53</f>
        <v>6230.8469999999998</v>
      </c>
      <c r="I53" s="6">
        <f t="shared" ref="I53:N53" si="406">I54-I50</f>
        <v>4447</v>
      </c>
      <c r="J53" s="6">
        <f t="shared" si="406"/>
        <v>0</v>
      </c>
      <c r="K53" s="6">
        <f t="shared" si="406"/>
        <v>0</v>
      </c>
      <c r="L53" s="6">
        <f t="shared" si="406"/>
        <v>0</v>
      </c>
      <c r="M53" s="6">
        <f t="shared" si="406"/>
        <v>0</v>
      </c>
      <c r="N53" s="6">
        <f t="shared" si="406"/>
        <v>0</v>
      </c>
      <c r="O53" s="6">
        <f t="shared" ref="O53" si="407">O54-O50</f>
        <v>0</v>
      </c>
      <c r="P53" s="6">
        <f t="shared" ref="P53:R53" si="408">P54-P50</f>
        <v>0</v>
      </c>
      <c r="Q53" s="6">
        <f t="shared" si="408"/>
        <v>0</v>
      </c>
      <c r="R53" s="6">
        <f t="shared" si="408"/>
        <v>0</v>
      </c>
      <c r="S53" s="6">
        <f t="shared" ref="S53" si="409">S54-S50</f>
        <v>0</v>
      </c>
      <c r="U53" s="4">
        <f>E53/4</f>
        <v>1215.25</v>
      </c>
      <c r="V53" s="6">
        <f t="shared" ref="V53:AB53" si="410">U53</f>
        <v>1215.25</v>
      </c>
      <c r="W53" s="6">
        <f t="shared" si="410"/>
        <v>1215.25</v>
      </c>
      <c r="X53" s="6">
        <f t="shared" si="410"/>
        <v>1215.25</v>
      </c>
      <c r="Y53" s="6">
        <f>F53/4</f>
        <v>1438.4939999999999</v>
      </c>
      <c r="Z53" s="6">
        <f>+Y53</f>
        <v>1438.4939999999999</v>
      </c>
      <c r="AA53" s="6">
        <f>+Z53</f>
        <v>1438.4939999999999</v>
      </c>
      <c r="AB53" s="6">
        <f t="shared" si="410"/>
        <v>1438.4939999999999</v>
      </c>
      <c r="AC53" s="6">
        <f>+G53/4</f>
        <v>1557.7117499999999</v>
      </c>
      <c r="AD53" s="6">
        <f>+AC53</f>
        <v>1557.7117499999999</v>
      </c>
      <c r="AE53" s="6">
        <f>+AD53</f>
        <v>1557.7117499999999</v>
      </c>
      <c r="AF53" s="6">
        <f>+AE53</f>
        <v>1557.7117499999999</v>
      </c>
      <c r="AG53" s="6">
        <f>AG54-AG50</f>
        <v>1052</v>
      </c>
      <c r="AH53" s="6">
        <f>AH54-AH50</f>
        <v>1067</v>
      </c>
      <c r="AI53" s="6">
        <f>AI54-AI50</f>
        <v>1118</v>
      </c>
      <c r="AJ53" s="6">
        <f>AJ54-AJ50</f>
        <v>1210</v>
      </c>
      <c r="AK53" s="242"/>
      <c r="AL53" s="242"/>
      <c r="AM53" s="242"/>
      <c r="AN53" s="242"/>
      <c r="AO53" s="242"/>
      <c r="AP53" s="242"/>
      <c r="AQ53" s="242"/>
      <c r="AR53" s="242"/>
      <c r="AS53" s="6">
        <f t="shared" ref="AS53:BI53" si="411">AR53</f>
        <v>0</v>
      </c>
      <c r="AT53" s="6">
        <f t="shared" si="411"/>
        <v>0</v>
      </c>
      <c r="AU53" s="6">
        <f t="shared" si="411"/>
        <v>0</v>
      </c>
      <c r="AV53" s="6">
        <f t="shared" si="411"/>
        <v>0</v>
      </c>
      <c r="AW53" s="6">
        <f t="shared" si="411"/>
        <v>0</v>
      </c>
      <c r="AX53" s="6">
        <f t="shared" si="411"/>
        <v>0</v>
      </c>
      <c r="AY53" s="6">
        <f t="shared" si="411"/>
        <v>0</v>
      </c>
      <c r="AZ53" s="6">
        <f t="shared" si="411"/>
        <v>0</v>
      </c>
      <c r="BA53" s="6">
        <f t="shared" si="411"/>
        <v>0</v>
      </c>
      <c r="BB53" s="6">
        <f t="shared" si="411"/>
        <v>0</v>
      </c>
      <c r="BC53" s="6">
        <f t="shared" si="411"/>
        <v>0</v>
      </c>
      <c r="BD53" s="6">
        <f t="shared" si="411"/>
        <v>0</v>
      </c>
      <c r="BE53" s="6">
        <f t="shared" si="411"/>
        <v>0</v>
      </c>
      <c r="BF53" s="6">
        <f t="shared" si="411"/>
        <v>0</v>
      </c>
      <c r="BG53" s="6">
        <f t="shared" si="411"/>
        <v>0</v>
      </c>
      <c r="BH53" s="6">
        <f t="shared" si="411"/>
        <v>0</v>
      </c>
      <c r="BI53" s="6">
        <f t="shared" si="411"/>
        <v>0</v>
      </c>
      <c r="BJ53" s="6"/>
      <c r="BK53" s="6">
        <f>AC53</f>
        <v>1557.7117499999999</v>
      </c>
      <c r="BL53" s="6">
        <f>AD53</f>
        <v>1557.7117499999999</v>
      </c>
      <c r="BM53" s="6">
        <f>AE53</f>
        <v>1557.7117499999999</v>
      </c>
      <c r="BN53" s="6">
        <f>AF53</f>
        <v>1557.7117499999999</v>
      </c>
      <c r="BO53" s="242"/>
      <c r="BP53" s="242"/>
      <c r="BQ53" s="74"/>
      <c r="BR53" s="6">
        <f>AJ53</f>
        <v>1210</v>
      </c>
      <c r="BS53" s="242"/>
      <c r="BT53" s="242"/>
      <c r="BU53" s="242"/>
      <c r="BV53" s="6"/>
      <c r="BW53" s="6"/>
      <c r="BX53" s="6">
        <f>BV53</f>
        <v>0</v>
      </c>
      <c r="BY53" s="6">
        <f t="shared" ref="BY53:CI53" si="412">BX53</f>
        <v>0</v>
      </c>
      <c r="BZ53" s="6">
        <f t="shared" si="412"/>
        <v>0</v>
      </c>
      <c r="CA53" s="6">
        <f t="shared" si="412"/>
        <v>0</v>
      </c>
      <c r="CB53" s="6">
        <f t="shared" si="412"/>
        <v>0</v>
      </c>
      <c r="CC53" s="6">
        <f t="shared" si="412"/>
        <v>0</v>
      </c>
      <c r="CD53" s="6">
        <f t="shared" si="412"/>
        <v>0</v>
      </c>
      <c r="CE53" s="6">
        <f t="shared" si="412"/>
        <v>0</v>
      </c>
      <c r="CF53" s="6">
        <f t="shared" si="412"/>
        <v>0</v>
      </c>
      <c r="CG53" s="6">
        <f>AW53</f>
        <v>0</v>
      </c>
      <c r="CH53" s="6">
        <f t="shared" si="412"/>
        <v>0</v>
      </c>
      <c r="CI53" s="6">
        <f t="shared" si="412"/>
        <v>0</v>
      </c>
    </row>
    <row r="54" spans="2:90" s="5" customFormat="1" ht="13.5" customHeight="1">
      <c r="B54" s="5" t="s">
        <v>322</v>
      </c>
      <c r="C54" s="8">
        <f t="shared" ref="C54:H54" si="413">C50+C53</f>
        <v>21905</v>
      </c>
      <c r="D54" s="8">
        <f t="shared" si="413"/>
        <v>27505</v>
      </c>
      <c r="E54" s="8">
        <f t="shared" si="413"/>
        <v>34159</v>
      </c>
      <c r="F54" s="8">
        <f t="shared" si="413"/>
        <v>33041.976000000002</v>
      </c>
      <c r="G54" s="8">
        <f t="shared" si="413"/>
        <v>37935.847000000002</v>
      </c>
      <c r="H54" s="8">
        <f t="shared" si="413"/>
        <v>37930.847000000002</v>
      </c>
      <c r="I54" s="8">
        <v>37873</v>
      </c>
      <c r="J54" s="8">
        <v>37873</v>
      </c>
      <c r="K54" s="8">
        <v>45193</v>
      </c>
      <c r="L54" s="266">
        <v>49178</v>
      </c>
      <c r="M54" s="266">
        <f t="shared" ref="M54:R54" si="414">M50</f>
        <v>47372</v>
      </c>
      <c r="N54" s="266">
        <f t="shared" si="414"/>
        <v>53445</v>
      </c>
      <c r="O54" s="266">
        <f t="shared" si="414"/>
        <v>53445</v>
      </c>
      <c r="P54" s="266">
        <f t="shared" si="414"/>
        <v>54942</v>
      </c>
      <c r="Q54" s="266">
        <f t="shared" si="414"/>
        <v>55474</v>
      </c>
      <c r="R54" s="266">
        <f t="shared" si="414"/>
        <v>59456</v>
      </c>
      <c r="S54" s="94">
        <f>SUM(BF54:BI54)</f>
        <v>60675</v>
      </c>
      <c r="U54" s="8">
        <f t="shared" ref="U54:AB54" si="415">U50+U53</f>
        <v>6990.25</v>
      </c>
      <c r="V54" s="8">
        <f t="shared" si="415"/>
        <v>8099.25</v>
      </c>
      <c r="W54" s="8">
        <f t="shared" si="415"/>
        <v>9235.25</v>
      </c>
      <c r="X54" s="8">
        <f t="shared" si="415"/>
        <v>9834.25</v>
      </c>
      <c r="Y54" s="8">
        <f t="shared" si="415"/>
        <v>7224.4939999999997</v>
      </c>
      <c r="Z54" s="8">
        <f t="shared" si="415"/>
        <v>8330.4940000000006</v>
      </c>
      <c r="AA54" s="8">
        <f t="shared" si="415"/>
        <v>8540.4940000000006</v>
      </c>
      <c r="AB54" s="8">
        <f t="shared" si="415"/>
        <v>8946.4940000000006</v>
      </c>
      <c r="AC54" s="8">
        <f>AC50+AC53</f>
        <v>8051.7117500000004</v>
      </c>
      <c r="AD54" s="8">
        <f>AD50+AD53</f>
        <v>9033.7117500000004</v>
      </c>
      <c r="AE54" s="8">
        <f>AE50+AE53</f>
        <v>9858.7117500000004</v>
      </c>
      <c r="AF54" s="8">
        <f>AF50+AF53</f>
        <v>10991.71175</v>
      </c>
      <c r="AG54" s="96">
        <v>7985</v>
      </c>
      <c r="AH54" s="96">
        <v>8774</v>
      </c>
      <c r="AI54" s="96">
        <v>10253</v>
      </c>
      <c r="AJ54" s="95">
        <f>I54-AI54-AH54-AG54</f>
        <v>10861</v>
      </c>
      <c r="AK54" s="96">
        <v>8899</v>
      </c>
      <c r="AL54" s="96">
        <v>11375</v>
      </c>
      <c r="AM54" s="96">
        <v>12110</v>
      </c>
      <c r="AN54" s="95">
        <f>K54-AM54-AL54-AK54</f>
        <v>12809</v>
      </c>
      <c r="AO54" s="96">
        <v>10653</v>
      </c>
      <c r="AP54" s="96">
        <v>12056</v>
      </c>
      <c r="AQ54" s="96">
        <v>12963</v>
      </c>
      <c r="AR54" s="95">
        <f>M54-AQ54-AP54-AO54</f>
        <v>11700</v>
      </c>
      <c r="AS54" s="96">
        <v>11897</v>
      </c>
      <c r="AT54" s="96">
        <v>12992</v>
      </c>
      <c r="AU54" s="96">
        <v>14505</v>
      </c>
      <c r="AV54" s="95">
        <f>N54-AU54-AT54-AS54</f>
        <v>14051</v>
      </c>
      <c r="AW54" s="96">
        <v>12857</v>
      </c>
      <c r="AX54" s="96">
        <v>14002</v>
      </c>
      <c r="AY54" s="96">
        <v>14467</v>
      </c>
      <c r="AZ54" s="95">
        <f>P54-AY54-AX54-AW54</f>
        <v>13616</v>
      </c>
      <c r="BA54" s="96">
        <v>11872</v>
      </c>
      <c r="BB54" s="96">
        <v>13953</v>
      </c>
      <c r="BC54" s="96">
        <v>15640</v>
      </c>
      <c r="BD54" s="94">
        <f>Q54-BC54-BB54-BA54</f>
        <v>14009</v>
      </c>
      <c r="BE54" s="96">
        <v>12817</v>
      </c>
      <c r="BF54" s="96">
        <v>14897</v>
      </c>
      <c r="BG54" s="96">
        <v>15776</v>
      </c>
      <c r="BH54" s="8">
        <f>R54-SUM(BE54:BG54)</f>
        <v>15966</v>
      </c>
      <c r="BI54" s="96">
        <v>14036</v>
      </c>
      <c r="BJ54" s="96"/>
      <c r="BK54" s="8">
        <f>BK50+BK53</f>
        <v>8062.7117500000004</v>
      </c>
      <c r="BL54" s="8">
        <f>BL50+BL53</f>
        <v>9018.7117500000004</v>
      </c>
      <c r="BM54" s="8">
        <f>BM50+BM53</f>
        <v>9858.7117500000004</v>
      </c>
      <c r="BN54" s="8">
        <f>BN50+BN53</f>
        <v>10990.71175</v>
      </c>
      <c r="BO54" s="96">
        <v>8805</v>
      </c>
      <c r="BP54" s="96">
        <v>10270</v>
      </c>
      <c r="BQ54" s="41"/>
      <c r="BR54" s="8">
        <f>BR50+BR53</f>
        <v>15308</v>
      </c>
      <c r="BS54" s="96">
        <v>8911</v>
      </c>
      <c r="BT54" s="96">
        <v>11384</v>
      </c>
      <c r="BU54" s="96">
        <v>12122</v>
      </c>
      <c r="BV54" s="94">
        <f>K54-BS54-BT54-BU54</f>
        <v>12776</v>
      </c>
      <c r="BW54" s="94"/>
      <c r="BX54" s="96">
        <v>10633</v>
      </c>
      <c r="BY54" s="96">
        <v>11549</v>
      </c>
      <c r="BZ54" s="96">
        <v>12594</v>
      </c>
      <c r="CA54" s="8">
        <f>M54-BX54-BY54-BZ54</f>
        <v>12596</v>
      </c>
      <c r="CB54" s="96">
        <v>11312</v>
      </c>
      <c r="CC54" s="96">
        <v>12992</v>
      </c>
      <c r="CD54" s="96">
        <v>14501</v>
      </c>
      <c r="CE54" s="8">
        <f>O54-CB54-CC54-CD54</f>
        <v>14640</v>
      </c>
      <c r="CF54" s="96">
        <v>12852</v>
      </c>
      <c r="CG54" s="96">
        <v>13988</v>
      </c>
      <c r="CH54" s="96">
        <v>14423</v>
      </c>
      <c r="CI54" s="8">
        <f>P54-CF54-CG54-CH54</f>
        <v>13679</v>
      </c>
    </row>
    <row r="55" spans="2:90" ht="13.5" customHeight="1">
      <c r="B55" s="115" t="s">
        <v>323</v>
      </c>
      <c r="C55" s="117">
        <f t="shared" ref="C55:AB55" si="416">C53/C7</f>
        <v>1.8631118030137506E-2</v>
      </c>
      <c r="D55" s="117">
        <f t="shared" si="416"/>
        <v>1.8869789487560892E-2</v>
      </c>
      <c r="E55" s="117">
        <f t="shared" si="416"/>
        <v>1.9278894773999675E-2</v>
      </c>
      <c r="F55" s="117">
        <f t="shared" ref="F55:K55" si="417">F53/F7</f>
        <v>2.150895197979346E-2</v>
      </c>
      <c r="G55" s="117">
        <f t="shared" si="417"/>
        <v>2.161492358442554E-2</v>
      </c>
      <c r="H55" s="117">
        <f t="shared" si="417"/>
        <v>2.1536213217769475E-2</v>
      </c>
      <c r="I55" s="117">
        <f t="shared" si="417"/>
        <v>1.5233321788048879E-2</v>
      </c>
      <c r="J55" s="117">
        <f t="shared" si="417"/>
        <v>0</v>
      </c>
      <c r="K55" s="117">
        <f t="shared" si="417"/>
        <v>0</v>
      </c>
      <c r="L55" s="117">
        <f t="shared" ref="L55:N55" si="418">L53/L7</f>
        <v>0</v>
      </c>
      <c r="M55" s="117">
        <f t="shared" ref="M55" si="419">M53/M7</f>
        <v>0</v>
      </c>
      <c r="N55" s="117">
        <f t="shared" si="418"/>
        <v>0</v>
      </c>
      <c r="O55" s="117">
        <f t="shared" ref="O55" si="420">O53/O7</f>
        <v>0</v>
      </c>
      <c r="P55" s="117">
        <f t="shared" ref="P55:R55" si="421">P53/P7</f>
        <v>0</v>
      </c>
      <c r="Q55" s="117">
        <f t="shared" si="421"/>
        <v>0</v>
      </c>
      <c r="R55" s="117">
        <f t="shared" si="421"/>
        <v>0</v>
      </c>
      <c r="S55" s="117">
        <f>S53/S7</f>
        <v>0</v>
      </c>
      <c r="U55" s="117">
        <f t="shared" si="416"/>
        <v>2.1291975151367066E-2</v>
      </c>
      <c r="V55" s="117">
        <f t="shared" si="416"/>
        <v>1.9909131789998955E-2</v>
      </c>
      <c r="W55" s="117">
        <f t="shared" si="416"/>
        <v>1.8649166839935241E-2</v>
      </c>
      <c r="X55" s="117">
        <f t="shared" si="416"/>
        <v>1.7647635083298144E-2</v>
      </c>
      <c r="Y55" s="117">
        <f t="shared" si="416"/>
        <v>2.1768987210027291E-2</v>
      </c>
      <c r="Z55" s="117">
        <f t="shared" si="416"/>
        <v>2.2091743454032465E-2</v>
      </c>
      <c r="AA55" s="117">
        <f t="shared" si="416"/>
        <v>2.1998767574504103E-2</v>
      </c>
      <c r="AB55" s="117">
        <f t="shared" si="416"/>
        <v>2.0280150905253456E-2</v>
      </c>
      <c r="AC55" s="117">
        <f t="shared" ref="AC55:AH55" si="422">AC53/AC7</f>
        <v>2.3196068107740626E-2</v>
      </c>
      <c r="AD55" s="117">
        <f t="shared" si="422"/>
        <v>2.1510418665373447E-2</v>
      </c>
      <c r="AE55" s="117">
        <f t="shared" si="422"/>
        <v>2.1518238036912735E-2</v>
      </c>
      <c r="AF55" s="117">
        <f t="shared" si="422"/>
        <v>2.0414301299499327E-2</v>
      </c>
      <c r="AG55" s="117">
        <f t="shared" si="422"/>
        <v>1.5120775107030148E-2</v>
      </c>
      <c r="AH55" s="117">
        <f t="shared" si="422"/>
        <v>1.4753020608379725E-2</v>
      </c>
      <c r="AI55" s="117">
        <f>AI53/AI7</f>
        <v>1.4913592340101511E-2</v>
      </c>
      <c r="AJ55" s="117">
        <f>AJ53/AJ7</f>
        <v>1.6119722484456363E-2</v>
      </c>
      <c r="AK55" s="117"/>
      <c r="AL55" s="117"/>
      <c r="AM55" s="117"/>
      <c r="AN55" s="117"/>
      <c r="AO55" s="117"/>
      <c r="AP55" s="117"/>
      <c r="AQ55" s="117"/>
      <c r="AR55" s="117"/>
      <c r="AS55" s="117"/>
      <c r="AT55" s="117"/>
      <c r="AU55" s="117"/>
      <c r="AV55" s="117"/>
      <c r="AW55" s="117"/>
      <c r="AX55" s="117"/>
      <c r="AY55" s="117"/>
      <c r="AZ55" s="117"/>
      <c r="BA55" s="117"/>
      <c r="BB55" s="117"/>
      <c r="BC55" s="117"/>
      <c r="BD55" s="117"/>
      <c r="BE55" s="117"/>
      <c r="BF55" s="117"/>
      <c r="BG55" s="117"/>
      <c r="BH55" s="117"/>
      <c r="BI55" s="117"/>
      <c r="BJ55" s="224"/>
      <c r="BK55" s="122">
        <f>BK54/Y54-1</f>
        <v>0.11602442330217189</v>
      </c>
      <c r="BL55" s="122">
        <f>BL54/Z54-1</f>
        <v>8.2614278336914815E-2</v>
      </c>
      <c r="BM55" s="122">
        <f>BM54/AA54-1</f>
        <v>0.15434912195945572</v>
      </c>
      <c r="BN55" s="122">
        <f>BN54/AB54-1</f>
        <v>0.22849372614568342</v>
      </c>
      <c r="BO55" s="117"/>
      <c r="BP55" s="117"/>
      <c r="BQ55" s="157"/>
      <c r="BR55" s="122">
        <f>BR54/AF54-1</f>
        <v>0.39268572067494389</v>
      </c>
      <c r="BS55" s="117"/>
      <c r="BT55" s="117"/>
      <c r="BU55" s="117"/>
      <c r="BV55" s="122">
        <f>BV54/AJ54-1</f>
        <v>0.17631893932418752</v>
      </c>
      <c r="BW55" s="122"/>
      <c r="BX55" s="117"/>
      <c r="BY55" s="117"/>
      <c r="BZ55" s="117"/>
      <c r="CA55" s="122">
        <f>CA54/BV54-1</f>
        <v>-1.4088916718847821E-2</v>
      </c>
      <c r="CB55" s="117"/>
      <c r="CC55" s="117"/>
      <c r="CD55" s="117"/>
      <c r="CE55" s="122">
        <f>CE54/BZ54-1</f>
        <v>0.16245831348261075</v>
      </c>
      <c r="CF55" s="117"/>
      <c r="CG55" s="117"/>
      <c r="CH55" s="117"/>
      <c r="CI55" s="122">
        <f>CI54/CD54-1</f>
        <v>-5.6685745810633792E-2</v>
      </c>
    </row>
    <row r="56" spans="2:90" s="5" customFormat="1" ht="13.5" customHeight="1">
      <c r="B56" s="1" t="s">
        <v>324</v>
      </c>
      <c r="C56" s="98"/>
      <c r="D56" s="4">
        <v>6437.2790000000005</v>
      </c>
      <c r="E56" s="4">
        <v>7828.8019999999997</v>
      </c>
      <c r="F56" s="4">
        <v>8081.7460000000001</v>
      </c>
      <c r="G56" s="4">
        <v>8430.0450000000001</v>
      </c>
      <c r="H56" s="4">
        <v>8427.2659999999996</v>
      </c>
      <c r="I56" s="4">
        <f>(8419224+4536341)/1000</f>
        <v>12955.565000000001</v>
      </c>
      <c r="J56" s="4">
        <f>(8419224+4536341)/1000</f>
        <v>12955.565000000001</v>
      </c>
      <c r="K56" s="4">
        <f>(9763695+4949965)/1000</f>
        <v>14713.66</v>
      </c>
      <c r="L56" s="4">
        <f>(9823833+4904283)/1000</f>
        <v>14728.116</v>
      </c>
      <c r="M56" s="4">
        <f>(9643556+4836452)/1000</f>
        <v>14480.008</v>
      </c>
      <c r="N56" s="4">
        <f>(11124028+5061587)/1000</f>
        <v>16185.615</v>
      </c>
      <c r="O56" s="4">
        <f>(11287569+5061587)/1000</f>
        <v>16349.156000000001</v>
      </c>
      <c r="P56" s="4">
        <f>(12191786+4859714)/1000</f>
        <v>17051.5</v>
      </c>
      <c r="Q56" s="4">
        <f>15558.414+5417.038</f>
        <v>20975.452000000001</v>
      </c>
      <c r="R56" s="4">
        <f>16374.726+6141.317</f>
        <v>22516.043000000001</v>
      </c>
      <c r="S56" s="95">
        <f>SUM(BF56:BI56)</f>
        <v>22469.370000000003</v>
      </c>
      <c r="U56" s="4">
        <v>1703.7619999999999</v>
      </c>
      <c r="V56" s="4">
        <f>3501.496-U56</f>
        <v>1797.7340000000002</v>
      </c>
      <c r="W56" s="4">
        <f>5441.192-V56-U56</f>
        <v>1939.6959999999997</v>
      </c>
      <c r="X56" s="6">
        <f>E56-SUM(U56:W56)</f>
        <v>2387.6099999999997</v>
      </c>
      <c r="Y56" s="4">
        <v>2087.0349999999999</v>
      </c>
      <c r="Z56" s="4">
        <f>4028.605-Y56</f>
        <v>1941.5700000000002</v>
      </c>
      <c r="AA56" s="4">
        <f>5984.932-Z56-Y56</f>
        <v>1956.3269999999998</v>
      </c>
      <c r="AB56" s="95">
        <f>F56-SUM(Y56:AA56)</f>
        <v>2096.8140000000003</v>
      </c>
      <c r="AC56" s="4">
        <v>2121.913</v>
      </c>
      <c r="AD56" s="4">
        <f>4375.696-AC56</f>
        <v>2253.7829999999999</v>
      </c>
      <c r="AE56" s="4">
        <f>6575.895-AD56-AC56</f>
        <v>2200.199000000001</v>
      </c>
      <c r="AF56" s="95">
        <f>G56-AE56-AD56-AC56</f>
        <v>1854.1499999999996</v>
      </c>
      <c r="AG56" s="4">
        <f>2041.083+1004.835</f>
        <v>3045.9180000000001</v>
      </c>
      <c r="AH56" s="4">
        <f>4061.492+2003.379-AG56</f>
        <v>3018.953</v>
      </c>
      <c r="AI56" s="4">
        <f>6460.207+3040.722-AH56-AG56</f>
        <v>3436.0580000000004</v>
      </c>
      <c r="AJ56" s="95">
        <f>I56-AI56-AH56-AG56</f>
        <v>3454.636</v>
      </c>
      <c r="AK56" s="4">
        <f>2012.932+1140.281</f>
        <v>3153.2129999999997</v>
      </c>
      <c r="AL56" s="4">
        <f>4539.075+2511.803-AK56</f>
        <v>3897.665</v>
      </c>
      <c r="AM56" s="4">
        <f>6851.702+3736.994-AL56-AK56</f>
        <v>3537.8180000000002</v>
      </c>
      <c r="AN56" s="95">
        <f>K56-AM56-AL56-AK56</f>
        <v>4124.9640000000009</v>
      </c>
      <c r="AO56" s="4">
        <f>2222.606+1184.142</f>
        <v>3406.7480000000005</v>
      </c>
      <c r="AP56" s="4">
        <f>4613.7+2384.89-AO56</f>
        <v>3591.8419999999996</v>
      </c>
      <c r="AQ56" s="4">
        <f>7039.522+3596.76-AP56-AO56</f>
        <v>3637.6919999999991</v>
      </c>
      <c r="AR56" s="95">
        <f>M56-AQ56-AP56-AO56</f>
        <v>3843.7260000000006</v>
      </c>
      <c r="AS56" s="4">
        <f>4280.916</f>
        <v>4280.9160000000002</v>
      </c>
      <c r="AT56" s="4">
        <f>8662.928-AS56</f>
        <v>4382.0119999999997</v>
      </c>
      <c r="AU56" s="4">
        <f>13256.135-AT56-AS56</f>
        <v>4593.2069999999994</v>
      </c>
      <c r="AV56" s="95">
        <f>N56-AU56-AT56-AS56</f>
        <v>2929.4799999999996</v>
      </c>
      <c r="AW56" s="4">
        <v>4528.6570000000002</v>
      </c>
      <c r="AX56" s="4">
        <f>9117.537-AW56</f>
        <v>4588.88</v>
      </c>
      <c r="AY56" s="4">
        <f>13703.765-AX56-AW56</f>
        <v>4586.2279999999982</v>
      </c>
      <c r="AZ56" s="95">
        <f>P56-AY56-AX56-AW56</f>
        <v>3347.7350000000006</v>
      </c>
      <c r="BA56" s="4">
        <v>4911.7039999999997</v>
      </c>
      <c r="BB56" s="4">
        <f>10443.152-BA56</f>
        <v>5531.4480000000003</v>
      </c>
      <c r="BC56" s="4">
        <f>16522.505-BB56-BA56</f>
        <v>6079.353000000001</v>
      </c>
      <c r="BD56" s="95">
        <f>Q56-BC56-BB56-BA56</f>
        <v>4452.9470000000001</v>
      </c>
      <c r="BE56" s="4">
        <v>6075.0559999999996</v>
      </c>
      <c r="BF56" s="4">
        <f>12314.483-BE56</f>
        <v>6239.4270000000006</v>
      </c>
      <c r="BG56" s="4">
        <f>18467.545-BF56-BE56</f>
        <v>6153.061999999999</v>
      </c>
      <c r="BH56" s="6">
        <f>R56-SUM(BE56:BG56)</f>
        <v>4048.4980000000032</v>
      </c>
      <c r="BI56" s="4">
        <v>6028.3829999999998</v>
      </c>
      <c r="BJ56" s="4"/>
      <c r="BK56" s="4">
        <v>2116.75</v>
      </c>
      <c r="BL56" s="4">
        <f>4096.143-BK56</f>
        <v>1979.393</v>
      </c>
      <c r="BM56" s="4">
        <f>6149.067-BL56-BK56</f>
        <v>2052.924</v>
      </c>
      <c r="BN56" s="95">
        <f>H56-BM56-BL56-BK56</f>
        <v>2278.1989999999996</v>
      </c>
      <c r="BO56" s="4">
        <f>4056.908+2002.996-AG56</f>
        <v>3013.9860000000003</v>
      </c>
      <c r="BP56" s="4">
        <f>6462.709+3040.905-BO56-AG56</f>
        <v>3443.7099999999987</v>
      </c>
      <c r="BQ56" s="160"/>
      <c r="BR56" s="95">
        <f>J56-AG56-AH56-AI56</f>
        <v>3454.6360000000009</v>
      </c>
      <c r="BS56" s="4">
        <f>2009.013+1140.041</f>
        <v>3149.0540000000001</v>
      </c>
      <c r="BT56" s="4">
        <f>4533.745+2511.482-BS56</f>
        <v>3896.1729999999998</v>
      </c>
      <c r="BU56" s="4">
        <f>6845.055+3736.476-BT56-AK56</f>
        <v>3532.1450000000013</v>
      </c>
      <c r="BV56" s="95">
        <f>K56-BS56-BT56-BU56</f>
        <v>4136.2879999999986</v>
      </c>
      <c r="BW56" s="95"/>
      <c r="BX56" s="4">
        <f>3778.695</f>
        <v>3778.6950000000002</v>
      </c>
      <c r="BY56" s="4">
        <f>7635.549-BX56</f>
        <v>3856.8539999999998</v>
      </c>
      <c r="BZ56" s="4">
        <f>11631.753-BX56-BY56</f>
        <v>3996.2040000000011</v>
      </c>
      <c r="CA56" s="95">
        <f>M56-BX56-BY56-BZ56</f>
        <v>2848.2549999999997</v>
      </c>
      <c r="CB56" s="4">
        <v>4215.5630000000001</v>
      </c>
      <c r="CC56" s="4">
        <f>8661.755-CB56</f>
        <v>4446.1919999999991</v>
      </c>
      <c r="CD56" s="4">
        <f>13248.237-CB56-CC56</f>
        <v>4586.482</v>
      </c>
      <c r="CE56" s="95">
        <f>O56-CB56-CC56-CD56</f>
        <v>3100.9190000000017</v>
      </c>
      <c r="CF56" s="4">
        <v>4516.7049999999999</v>
      </c>
      <c r="CG56" s="4">
        <f>9094.397-CF56</f>
        <v>4577.6920000000009</v>
      </c>
      <c r="CH56" s="4">
        <f>13248.237-CF56-CG56</f>
        <v>4153.8399999999983</v>
      </c>
      <c r="CI56" s="95">
        <f>P56-CF56-CG56-CH56</f>
        <v>3803.2630000000008</v>
      </c>
    </row>
    <row r="57" spans="2:90" s="5" customFormat="1" ht="13.5" customHeight="1">
      <c r="B57" s="1" t="s">
        <v>325</v>
      </c>
      <c r="C57" s="98"/>
      <c r="D57" s="4">
        <v>612.08199999999999</v>
      </c>
      <c r="E57" s="4">
        <v>607.46100000000001</v>
      </c>
      <c r="F57" s="4">
        <v>679.39300000000003</v>
      </c>
      <c r="G57" s="4">
        <v>1569.7850000000001</v>
      </c>
      <c r="H57" s="4">
        <v>1572.5640000000001</v>
      </c>
      <c r="I57" s="4">
        <v>1418.2940000000001</v>
      </c>
      <c r="J57" s="4">
        <v>1418.2940000000001</v>
      </c>
      <c r="K57" s="4">
        <v>1538.0440000000001</v>
      </c>
      <c r="L57" s="4">
        <v>1646.481</v>
      </c>
      <c r="M57" s="4">
        <v>1646.48</v>
      </c>
      <c r="N57" s="4">
        <v>1852.56</v>
      </c>
      <c r="O57" s="4">
        <v>1933.0039999999999</v>
      </c>
      <c r="P57" s="4">
        <v>1877.614</v>
      </c>
      <c r="Q57" s="4">
        <v>2075.4780000000001</v>
      </c>
      <c r="R57" s="4">
        <v>2321.5149999999999</v>
      </c>
      <c r="S57" s="95">
        <f>SUM(BF57:BI57)</f>
        <v>2321.5149999999999</v>
      </c>
      <c r="U57" s="4">
        <v>136.251</v>
      </c>
      <c r="V57" s="4">
        <f>283.615-U57</f>
        <v>147.364</v>
      </c>
      <c r="W57" s="4">
        <f>436.931-V57-U57</f>
        <v>153.316</v>
      </c>
      <c r="X57" s="6">
        <f>E57-SUM(U57:W57)</f>
        <v>170.52999999999997</v>
      </c>
      <c r="Y57" s="4">
        <v>144.26900000000001</v>
      </c>
      <c r="Z57" s="4">
        <f>283.64-Y57</f>
        <v>139.37099999999998</v>
      </c>
      <c r="AA57" s="4">
        <f>419.405-Z57-Y57</f>
        <v>135.76499999999999</v>
      </c>
      <c r="AB57" s="95">
        <f>F57-SUM(Y57:AA57)</f>
        <v>259.98800000000006</v>
      </c>
      <c r="AC57" s="4">
        <v>168.268</v>
      </c>
      <c r="AD57" s="4">
        <f>480.051-AC57</f>
        <v>311.78300000000002</v>
      </c>
      <c r="AE57" s="4">
        <f>736.629-AD57-AC57</f>
        <v>256.57799999999997</v>
      </c>
      <c r="AF57" s="95">
        <f>G57-AE57-AD57-AC57</f>
        <v>833.15600000000006</v>
      </c>
      <c r="AG57" s="4">
        <v>325.69600000000003</v>
      </c>
      <c r="AH57" s="4">
        <f>697.561-AG57</f>
        <v>371.86500000000001</v>
      </c>
      <c r="AI57" s="4">
        <f>1048.497-AH57-AG57</f>
        <v>350.93600000000004</v>
      </c>
      <c r="AJ57" s="95">
        <f>I57-AI57-AH57-AG57</f>
        <v>369.79700000000014</v>
      </c>
      <c r="AK57" s="4">
        <v>343.38</v>
      </c>
      <c r="AL57" s="4">
        <f>747.683-AK57</f>
        <v>404.303</v>
      </c>
      <c r="AM57" s="4">
        <f>1161.131-AL57-AK57</f>
        <v>413.44800000000009</v>
      </c>
      <c r="AN57" s="95">
        <f>K57-AM57-AL57-AK57</f>
        <v>376.91300000000001</v>
      </c>
      <c r="AO57" s="4">
        <v>366.38400000000001</v>
      </c>
      <c r="AP57" s="4">
        <f>746.047-AO57</f>
        <v>379.66300000000001</v>
      </c>
      <c r="AQ57" s="4">
        <f>1121.193-AP57-AO57</f>
        <v>375.14599999999996</v>
      </c>
      <c r="AR57" s="95">
        <f>M57-AQ57-AP57-AO57</f>
        <v>525.28700000000003</v>
      </c>
      <c r="AS57" s="4"/>
      <c r="AT57" s="4"/>
      <c r="AU57" s="4"/>
      <c r="AV57" s="95"/>
      <c r="AW57" s="4"/>
      <c r="AX57" s="4"/>
      <c r="AY57" s="4"/>
      <c r="AZ57" s="95"/>
      <c r="BA57" s="347"/>
      <c r="BB57" s="347"/>
      <c r="BC57" s="347"/>
      <c r="BD57" s="95">
        <f>Q57-BC57-BB57-BA57</f>
        <v>2075.4780000000001</v>
      </c>
      <c r="BE57" s="347"/>
      <c r="BF57" s="347"/>
      <c r="BG57" s="347"/>
      <c r="BH57" s="6">
        <f>R57-SUM(BE57:BG57)</f>
        <v>2321.5149999999999</v>
      </c>
      <c r="BI57" s="347"/>
      <c r="BJ57" s="4"/>
      <c r="BK57" s="4">
        <v>168.18199999999999</v>
      </c>
      <c r="BL57" s="4">
        <f>759.604-BK57</f>
        <v>591.42200000000003</v>
      </c>
      <c r="BM57" s="4">
        <f>1163.456-BL57-BK57</f>
        <v>403.85199999999986</v>
      </c>
      <c r="BN57" s="95">
        <f>H57-BM57-BL57-BK57</f>
        <v>409.10800000000017</v>
      </c>
      <c r="BO57" s="4">
        <f>698.574-AG57</f>
        <v>372.87799999999993</v>
      </c>
      <c r="BP57" s="4">
        <f>1048.497-BO57-AG57</f>
        <v>349.92300000000012</v>
      </c>
      <c r="BQ57" s="41"/>
      <c r="BR57" s="95">
        <f>J57-AG57-AH57-AI57</f>
        <v>369.79699999999991</v>
      </c>
      <c r="BS57" s="4">
        <v>343.37900000000002</v>
      </c>
      <c r="BT57" s="4">
        <f>747.683-BS57</f>
        <v>404.30399999999997</v>
      </c>
      <c r="BU57" s="4">
        <f>1161.131-BT57-AK57</f>
        <v>413.44700000000012</v>
      </c>
      <c r="BV57" s="95">
        <f>K57-BS57-BT57-BU57</f>
        <v>376.91399999999987</v>
      </c>
      <c r="BW57" s="95"/>
      <c r="BX57" s="4"/>
      <c r="BY57" s="4"/>
      <c r="BZ57" s="4"/>
      <c r="CA57" s="95">
        <f>M57-BX57-BY57-BZ57</f>
        <v>1646.48</v>
      </c>
      <c r="CB57" s="4"/>
      <c r="CC57" s="4"/>
      <c r="CD57" s="4"/>
      <c r="CE57" s="95">
        <f>O57-CB57-CC57-CD57</f>
        <v>1933.0039999999999</v>
      </c>
      <c r="CF57" s="4"/>
      <c r="CG57" s="4"/>
      <c r="CH57" s="4"/>
      <c r="CI57" s="95">
        <f>P57-CF57-CG57-CH57</f>
        <v>1877.614</v>
      </c>
    </row>
    <row r="58" spans="2:90" ht="13.5" customHeight="1">
      <c r="C58" s="50"/>
      <c r="D58" s="50"/>
      <c r="E58" s="50"/>
      <c r="F58" s="50"/>
      <c r="G58" s="50"/>
      <c r="H58" s="50"/>
      <c r="I58" s="4"/>
      <c r="J58" s="4"/>
      <c r="K58" s="4"/>
      <c r="L58" s="4"/>
      <c r="M58" s="4"/>
      <c r="N58" s="4"/>
      <c r="O58" s="4"/>
      <c r="P58" s="4"/>
      <c r="Q58" s="4"/>
      <c r="BQ58" s="158"/>
    </row>
    <row r="59" spans="2:90" ht="13.5" customHeight="1">
      <c r="B59" s="16" t="s">
        <v>326</v>
      </c>
      <c r="C59" s="38">
        <f t="shared" ref="C59:R59" si="423">C3</f>
        <v>41975</v>
      </c>
      <c r="D59" s="38">
        <f t="shared" si="423"/>
        <v>42341</v>
      </c>
      <c r="E59" s="38">
        <f t="shared" si="423"/>
        <v>42708</v>
      </c>
      <c r="F59" s="38">
        <f t="shared" si="423"/>
        <v>43074</v>
      </c>
      <c r="G59" s="38">
        <f t="shared" si="423"/>
        <v>43439</v>
      </c>
      <c r="H59" s="38">
        <f t="shared" si="423"/>
        <v>43439</v>
      </c>
      <c r="I59" s="38">
        <f t="shared" si="423"/>
        <v>43804</v>
      </c>
      <c r="J59" s="38">
        <f t="shared" si="423"/>
        <v>43804</v>
      </c>
      <c r="K59" s="38">
        <f t="shared" si="423"/>
        <v>44170</v>
      </c>
      <c r="L59" s="38">
        <f t="shared" si="423"/>
        <v>44535</v>
      </c>
      <c r="M59" s="38">
        <f t="shared" si="423"/>
        <v>44535</v>
      </c>
      <c r="N59" s="38">
        <f t="shared" si="423"/>
        <v>44900</v>
      </c>
      <c r="O59" s="38">
        <f t="shared" si="423"/>
        <v>44900</v>
      </c>
      <c r="P59" s="38">
        <f t="shared" si="423"/>
        <v>45265</v>
      </c>
      <c r="Q59" s="38">
        <f t="shared" si="423"/>
        <v>45631</v>
      </c>
      <c r="R59" s="38">
        <f t="shared" si="423"/>
        <v>45996</v>
      </c>
      <c r="S59" s="197" t="s">
        <v>277</v>
      </c>
      <c r="U59" s="38">
        <f t="shared" ref="U59:BH59" si="424">U3</f>
        <v>42437</v>
      </c>
      <c r="V59" s="38">
        <f t="shared" si="424"/>
        <v>42527</v>
      </c>
      <c r="W59" s="38">
        <f t="shared" si="424"/>
        <v>42622</v>
      </c>
      <c r="X59" s="38">
        <f t="shared" si="424"/>
        <v>42714</v>
      </c>
      <c r="Y59" s="38">
        <f t="shared" si="424"/>
        <v>42801</v>
      </c>
      <c r="Z59" s="38">
        <f t="shared" si="424"/>
        <v>42892</v>
      </c>
      <c r="AA59" s="38">
        <f t="shared" si="424"/>
        <v>42987</v>
      </c>
      <c r="AB59" s="38">
        <f t="shared" si="424"/>
        <v>43100</v>
      </c>
      <c r="AC59" s="38">
        <f t="shared" si="424"/>
        <v>43190</v>
      </c>
      <c r="AD59" s="38">
        <f t="shared" si="424"/>
        <v>43281</v>
      </c>
      <c r="AE59" s="38">
        <f t="shared" si="424"/>
        <v>43373</v>
      </c>
      <c r="AF59" s="38">
        <f t="shared" si="424"/>
        <v>43465</v>
      </c>
      <c r="AG59" s="38">
        <f t="shared" si="424"/>
        <v>43555</v>
      </c>
      <c r="AH59" s="38">
        <f t="shared" si="424"/>
        <v>43646</v>
      </c>
      <c r="AI59" s="38">
        <f t="shared" si="424"/>
        <v>43738</v>
      </c>
      <c r="AJ59" s="38">
        <f t="shared" si="424"/>
        <v>43830</v>
      </c>
      <c r="AK59" s="38">
        <f t="shared" si="424"/>
        <v>43921</v>
      </c>
      <c r="AL59" s="38">
        <f t="shared" si="424"/>
        <v>44012</v>
      </c>
      <c r="AM59" s="38">
        <f t="shared" si="424"/>
        <v>44104</v>
      </c>
      <c r="AN59" s="38">
        <f t="shared" si="424"/>
        <v>44196</v>
      </c>
      <c r="AO59" s="38">
        <f t="shared" si="424"/>
        <v>44286</v>
      </c>
      <c r="AP59" s="38">
        <f t="shared" si="424"/>
        <v>44377</v>
      </c>
      <c r="AQ59" s="38">
        <f t="shared" si="424"/>
        <v>44469</v>
      </c>
      <c r="AR59" s="38">
        <f t="shared" si="424"/>
        <v>44561</v>
      </c>
      <c r="AS59" s="38">
        <f t="shared" si="424"/>
        <v>44651</v>
      </c>
      <c r="AT59" s="38">
        <f t="shared" si="424"/>
        <v>44742</v>
      </c>
      <c r="AU59" s="38">
        <f t="shared" si="424"/>
        <v>44834</v>
      </c>
      <c r="AV59" s="38">
        <f t="shared" si="424"/>
        <v>44926</v>
      </c>
      <c r="AW59" s="38">
        <f t="shared" si="424"/>
        <v>45016</v>
      </c>
      <c r="AX59" s="38">
        <f t="shared" si="424"/>
        <v>45107</v>
      </c>
      <c r="AY59" s="38">
        <f t="shared" si="424"/>
        <v>45199</v>
      </c>
      <c r="AZ59" s="38">
        <f t="shared" si="424"/>
        <v>45291</v>
      </c>
      <c r="BA59" s="197">
        <f t="shared" si="424"/>
        <v>45382</v>
      </c>
      <c r="BB59" s="197">
        <f t="shared" si="424"/>
        <v>45473</v>
      </c>
      <c r="BC59" s="197">
        <f t="shared" si="424"/>
        <v>45565</v>
      </c>
      <c r="BD59" s="197">
        <f t="shared" si="424"/>
        <v>45657</v>
      </c>
      <c r="BE59" s="197">
        <f t="shared" si="424"/>
        <v>45747</v>
      </c>
      <c r="BF59" s="197">
        <f t="shared" si="424"/>
        <v>45838</v>
      </c>
      <c r="BG59" s="197">
        <f t="shared" si="424"/>
        <v>45930</v>
      </c>
      <c r="BH59" s="197">
        <f t="shared" si="424"/>
        <v>46022</v>
      </c>
      <c r="BI59" s="197">
        <f t="shared" ref="BI59" si="425">BI3</f>
        <v>46112</v>
      </c>
      <c r="BJ59" s="285"/>
      <c r="BK59" s="197">
        <f t="shared" ref="BK59:BV59" si="426">BK3</f>
        <v>43166</v>
      </c>
      <c r="BL59" s="197">
        <f t="shared" si="426"/>
        <v>43281</v>
      </c>
      <c r="BM59" s="197">
        <f t="shared" si="426"/>
        <v>43373</v>
      </c>
      <c r="BN59" s="197">
        <f t="shared" si="426"/>
        <v>43465</v>
      </c>
      <c r="BO59" s="197">
        <f t="shared" si="426"/>
        <v>43646</v>
      </c>
      <c r="BP59" s="197">
        <f t="shared" si="426"/>
        <v>43738</v>
      </c>
      <c r="BQ59" s="68">
        <f t="shared" si="426"/>
        <v>43079</v>
      </c>
      <c r="BR59" s="197">
        <f t="shared" si="426"/>
        <v>43830</v>
      </c>
      <c r="BS59" s="38">
        <f t="shared" si="426"/>
        <v>43921</v>
      </c>
      <c r="BT59" s="38">
        <f t="shared" si="426"/>
        <v>44012</v>
      </c>
      <c r="BU59" s="38">
        <f t="shared" si="426"/>
        <v>44104</v>
      </c>
      <c r="BV59" s="197">
        <f t="shared" si="426"/>
        <v>44196</v>
      </c>
      <c r="BW59" s="197"/>
      <c r="BX59" s="38">
        <f t="shared" ref="BX59:CI59" si="427">BX3</f>
        <v>44286</v>
      </c>
      <c r="BY59" s="38">
        <f t="shared" si="427"/>
        <v>44377</v>
      </c>
      <c r="BZ59" s="38">
        <f t="shared" si="427"/>
        <v>44469</v>
      </c>
      <c r="CA59" s="197">
        <f t="shared" si="427"/>
        <v>44561</v>
      </c>
      <c r="CB59" s="38">
        <f t="shared" si="427"/>
        <v>44651</v>
      </c>
      <c r="CC59" s="38">
        <f t="shared" si="427"/>
        <v>44742</v>
      </c>
      <c r="CD59" s="38">
        <f t="shared" si="427"/>
        <v>44834</v>
      </c>
      <c r="CE59" s="197">
        <f t="shared" si="427"/>
        <v>44926</v>
      </c>
      <c r="CF59" s="38">
        <f t="shared" si="427"/>
        <v>45016</v>
      </c>
      <c r="CG59" s="38">
        <f t="shared" si="427"/>
        <v>45107</v>
      </c>
      <c r="CH59" s="38">
        <f t="shared" si="427"/>
        <v>45199</v>
      </c>
      <c r="CI59" s="197">
        <f t="shared" si="427"/>
        <v>45291</v>
      </c>
    </row>
    <row r="60" spans="2:90" s="5" customFormat="1" ht="13.5" customHeight="1">
      <c r="B60" s="5" t="s">
        <v>327</v>
      </c>
      <c r="C60" s="8">
        <f t="shared" ref="C60:H60" si="428">C50</f>
        <v>18420</v>
      </c>
      <c r="D60" s="8">
        <f t="shared" si="428"/>
        <v>23369</v>
      </c>
      <c r="E60" s="8">
        <f t="shared" si="428"/>
        <v>29298</v>
      </c>
      <c r="F60" s="8">
        <f t="shared" si="428"/>
        <v>27288</v>
      </c>
      <c r="G60" s="8">
        <f t="shared" si="428"/>
        <v>31705</v>
      </c>
      <c r="H60" s="8">
        <f t="shared" si="428"/>
        <v>31700</v>
      </c>
      <c r="I60" s="8">
        <f t="shared" ref="I60:S60" si="429">I54</f>
        <v>37873</v>
      </c>
      <c r="J60" s="8">
        <f t="shared" si="429"/>
        <v>37873</v>
      </c>
      <c r="K60" s="8">
        <f t="shared" si="429"/>
        <v>45193</v>
      </c>
      <c r="L60" s="8">
        <f t="shared" si="429"/>
        <v>49178</v>
      </c>
      <c r="M60" s="8">
        <f t="shared" si="429"/>
        <v>47372</v>
      </c>
      <c r="N60" s="8">
        <f t="shared" si="429"/>
        <v>53445</v>
      </c>
      <c r="O60" s="8">
        <f t="shared" si="429"/>
        <v>53445</v>
      </c>
      <c r="P60" s="8">
        <f t="shared" si="429"/>
        <v>54942</v>
      </c>
      <c r="Q60" s="8">
        <f t="shared" si="429"/>
        <v>55474</v>
      </c>
      <c r="R60" s="8">
        <f t="shared" si="429"/>
        <v>59456</v>
      </c>
      <c r="S60" s="94">
        <f t="shared" si="429"/>
        <v>60675</v>
      </c>
      <c r="T60" s="292"/>
      <c r="U60" s="8">
        <f t="shared" ref="U60:AF60" si="430">U50</f>
        <v>5775</v>
      </c>
      <c r="V60" s="8">
        <f t="shared" si="430"/>
        <v>6884</v>
      </c>
      <c r="W60" s="8">
        <f t="shared" si="430"/>
        <v>8020</v>
      </c>
      <c r="X60" s="8">
        <f t="shared" si="430"/>
        <v>8619</v>
      </c>
      <c r="Y60" s="8">
        <f t="shared" si="430"/>
        <v>5786</v>
      </c>
      <c r="Z60" s="8">
        <f t="shared" si="430"/>
        <v>6892</v>
      </c>
      <c r="AA60" s="8">
        <f t="shared" si="430"/>
        <v>7102</v>
      </c>
      <c r="AB60" s="8">
        <f t="shared" si="430"/>
        <v>7508</v>
      </c>
      <c r="AC60" s="8">
        <f t="shared" si="430"/>
        <v>6494</v>
      </c>
      <c r="AD60" s="8">
        <f t="shared" si="430"/>
        <v>7476</v>
      </c>
      <c r="AE60" s="8">
        <f t="shared" si="430"/>
        <v>8301</v>
      </c>
      <c r="AF60" s="8">
        <f t="shared" si="430"/>
        <v>9434</v>
      </c>
      <c r="AG60" s="8">
        <f t="shared" ref="AG60:BH60" si="431">AG54</f>
        <v>7985</v>
      </c>
      <c r="AH60" s="8">
        <f t="shared" si="431"/>
        <v>8774</v>
      </c>
      <c r="AI60" s="8">
        <f t="shared" si="431"/>
        <v>10253</v>
      </c>
      <c r="AJ60" s="8">
        <f t="shared" si="431"/>
        <v>10861</v>
      </c>
      <c r="AK60" s="8">
        <f t="shared" si="431"/>
        <v>8899</v>
      </c>
      <c r="AL60" s="8">
        <f t="shared" si="431"/>
        <v>11375</v>
      </c>
      <c r="AM60" s="8">
        <f t="shared" si="431"/>
        <v>12110</v>
      </c>
      <c r="AN60" s="8">
        <f t="shared" si="431"/>
        <v>12809</v>
      </c>
      <c r="AO60" s="8">
        <f t="shared" si="431"/>
        <v>10653</v>
      </c>
      <c r="AP60" s="8">
        <f t="shared" si="431"/>
        <v>12056</v>
      </c>
      <c r="AQ60" s="8">
        <f t="shared" si="431"/>
        <v>12963</v>
      </c>
      <c r="AR60" s="8">
        <f t="shared" si="431"/>
        <v>11700</v>
      </c>
      <c r="AS60" s="8">
        <f t="shared" si="431"/>
        <v>11897</v>
      </c>
      <c r="AT60" s="8">
        <f t="shared" si="431"/>
        <v>12992</v>
      </c>
      <c r="AU60" s="8">
        <f t="shared" si="431"/>
        <v>14505</v>
      </c>
      <c r="AV60" s="8">
        <f t="shared" si="431"/>
        <v>14051</v>
      </c>
      <c r="AW60" s="8">
        <f t="shared" si="431"/>
        <v>12857</v>
      </c>
      <c r="AX60" s="8">
        <f t="shared" si="431"/>
        <v>14002</v>
      </c>
      <c r="AY60" s="8">
        <f t="shared" si="431"/>
        <v>14467</v>
      </c>
      <c r="AZ60" s="8">
        <f t="shared" si="431"/>
        <v>13616</v>
      </c>
      <c r="BA60" s="8">
        <f t="shared" si="431"/>
        <v>11872</v>
      </c>
      <c r="BB60" s="8">
        <f t="shared" si="431"/>
        <v>13953</v>
      </c>
      <c r="BC60" s="8">
        <f t="shared" si="431"/>
        <v>15640</v>
      </c>
      <c r="BD60" s="8">
        <f t="shared" si="431"/>
        <v>14009</v>
      </c>
      <c r="BE60" s="8">
        <f t="shared" si="431"/>
        <v>12817</v>
      </c>
      <c r="BF60" s="8">
        <f t="shared" si="431"/>
        <v>14897</v>
      </c>
      <c r="BG60" s="8">
        <f t="shared" si="431"/>
        <v>15776</v>
      </c>
      <c r="BH60" s="8">
        <f t="shared" si="431"/>
        <v>15966</v>
      </c>
      <c r="BI60" s="8">
        <f t="shared" ref="BI60" si="432">BI54</f>
        <v>14036</v>
      </c>
      <c r="BJ60" s="8"/>
      <c r="BK60" s="8">
        <f>BK50</f>
        <v>6505</v>
      </c>
      <c r="BL60" s="8">
        <f>BL50</f>
        <v>7461</v>
      </c>
      <c r="BM60" s="8">
        <f>BM50</f>
        <v>8301</v>
      </c>
      <c r="BN60" s="8">
        <f>BN50</f>
        <v>9433</v>
      </c>
      <c r="BO60" s="8">
        <f>BO54</f>
        <v>8805</v>
      </c>
      <c r="BP60" s="8">
        <f>BP54</f>
        <v>10270</v>
      </c>
      <c r="BQ60" s="41" t="e">
        <f>#REF!-Y60-Z60-AA60</f>
        <v>#REF!</v>
      </c>
      <c r="BR60" s="8">
        <f>BR50</f>
        <v>14098</v>
      </c>
      <c r="BS60" s="8">
        <f>BS54</f>
        <v>8911</v>
      </c>
      <c r="BT60" s="8">
        <f>BT54</f>
        <v>11384</v>
      </c>
      <c r="BU60" s="8">
        <f>BU54</f>
        <v>12122</v>
      </c>
      <c r="BV60" s="8">
        <f>BV50</f>
        <v>45193</v>
      </c>
      <c r="BW60" s="8"/>
      <c r="BX60" s="8">
        <f>BX54</f>
        <v>10633</v>
      </c>
      <c r="BY60" s="8">
        <f>BY54</f>
        <v>11549</v>
      </c>
      <c r="BZ60" s="8">
        <f>BZ54</f>
        <v>12594</v>
      </c>
      <c r="CA60" s="8">
        <f>CA50</f>
        <v>12596</v>
      </c>
      <c r="CB60" s="8">
        <f>CB54</f>
        <v>11312</v>
      </c>
      <c r="CC60" s="8">
        <f>CC54</f>
        <v>12992</v>
      </c>
      <c r="CD60" s="8">
        <f>CD54</f>
        <v>14501</v>
      </c>
      <c r="CE60" s="8">
        <f>CE50</f>
        <v>14640</v>
      </c>
      <c r="CF60" s="8">
        <f>CF54</f>
        <v>12852</v>
      </c>
      <c r="CG60" s="8">
        <f>CG54</f>
        <v>13988</v>
      </c>
      <c r="CH60" s="8">
        <f>CH54</f>
        <v>14423</v>
      </c>
      <c r="CI60" s="8">
        <f>CI50</f>
        <v>13679</v>
      </c>
    </row>
    <row r="61" spans="2:90" ht="13.5" customHeight="1">
      <c r="B61" s="7" t="s">
        <v>328</v>
      </c>
      <c r="C61" s="97">
        <f>(15742+4695-10166)-C106</f>
        <v>-1079</v>
      </c>
      <c r="D61" s="6">
        <f>C106-D106</f>
        <v>352</v>
      </c>
      <c r="E61" s="6">
        <f>D106-E106</f>
        <v>-2983</v>
      </c>
      <c r="F61" s="6">
        <f>E106-F106</f>
        <v>6369.1829999999973</v>
      </c>
      <c r="G61" s="6">
        <f>F106-G106</f>
        <v>-1216.4999999999964</v>
      </c>
      <c r="H61" s="4">
        <f>-1194-1250+360</f>
        <v>-2084</v>
      </c>
      <c r="I61" s="4">
        <f>-876.416+1335.923+2187.056</f>
        <v>2646.5630000000001</v>
      </c>
      <c r="J61" s="4">
        <f>-876.416+1335.923+2187.056</f>
        <v>2646.5630000000001</v>
      </c>
      <c r="K61" s="4">
        <f>-769.061-3.045+3003.852</f>
        <v>2231.7460000000001</v>
      </c>
      <c r="L61" s="4">
        <f>-2320.318-1615.613+8286.308</f>
        <v>4350.3770000000004</v>
      </c>
      <c r="M61" s="4">
        <f>-1763.027-1726.374+6490.546</f>
        <v>3001.1450000000004</v>
      </c>
      <c r="N61" s="4">
        <f>-5287.056-3851.01+11364.047</f>
        <v>2225.9810000000016</v>
      </c>
      <c r="O61" s="97">
        <f>-4162.719-2700.902+9919.598-2685.011-2123.962</f>
        <v>-1752.9960000000001</v>
      </c>
      <c r="P61" s="97">
        <f>-1249.249-2961.337-474.716-2293.453-3185.2</f>
        <v>-10163.955000000002</v>
      </c>
      <c r="Q61" s="97">
        <f>-1244.701+10.915-2493.987-515.335-6817.637</f>
        <v>-11060.744999999999</v>
      </c>
      <c r="R61" s="97">
        <f>684.537-1075.548-621.869+254.314-5126.211</f>
        <v>-5884.777</v>
      </c>
      <c r="S61" s="95">
        <f>SUM(BF61:BI61)</f>
        <v>-2781.681</v>
      </c>
      <c r="U61" s="6">
        <f>D106-U106</f>
        <v>-2260</v>
      </c>
      <c r="V61" s="6">
        <f t="shared" ref="V61:AB61" si="433">U106-V106</f>
        <v>-2001</v>
      </c>
      <c r="W61" s="6">
        <f t="shared" si="433"/>
        <v>-91</v>
      </c>
      <c r="X61" s="6">
        <f t="shared" si="433"/>
        <v>1369</v>
      </c>
      <c r="Y61" s="6">
        <f t="shared" si="433"/>
        <v>-1023</v>
      </c>
      <c r="Z61" s="6">
        <f t="shared" si="433"/>
        <v>745</v>
      </c>
      <c r="AA61" s="6">
        <f t="shared" si="433"/>
        <v>-267</v>
      </c>
      <c r="AB61" s="6">
        <f t="shared" si="433"/>
        <v>6914.1829999999973</v>
      </c>
      <c r="AC61" s="97">
        <f>90.517-1885.598-1579.225</f>
        <v>-3374.3059999999996</v>
      </c>
      <c r="AD61" s="97">
        <f>-920.965-2086.399-983.925-AC61</f>
        <v>-616.98300000000017</v>
      </c>
      <c r="AE61" s="97">
        <f>-772.388-1953.803-2400.445-AD61-AC61</f>
        <v>-1135.3470000000007</v>
      </c>
      <c r="AF61" s="95">
        <f>G61-AE61-AD61-AC61</f>
        <v>3910.1360000000041</v>
      </c>
      <c r="AG61" s="97">
        <f>246.891-957.945-2446.976</f>
        <v>-3158.03</v>
      </c>
      <c r="AH61" s="97">
        <f>-312.048-894.106+171.254-AG61</f>
        <v>2123.13</v>
      </c>
      <c r="AI61" s="97">
        <f>-54.679-140.341-563.48-AH61-AG61</f>
        <v>276.40000000000009</v>
      </c>
      <c r="AJ61" s="95">
        <f>I61-AI61-AH61-AG61</f>
        <v>3405.0630000000001</v>
      </c>
      <c r="AK61" s="97">
        <f>164.71-1860.569+230.822</f>
        <v>-1465.0369999999998</v>
      </c>
      <c r="AL61" s="97">
        <f>-1062.423+355.727-845.418-AK61</f>
        <v>-87.077000000000226</v>
      </c>
      <c r="AM61" s="97">
        <f>-1024.841-1065.61-756.698-AL61-AK61</f>
        <v>-1295.0349999999999</v>
      </c>
      <c r="AN61" s="95">
        <f>K61-AM61-AL61-AK61</f>
        <v>5078.8950000000004</v>
      </c>
      <c r="AO61" s="97">
        <f>-118.667+35.005-999.36</f>
        <v>-1083.0219999999999</v>
      </c>
      <c r="AP61" s="97">
        <f>-1209.746-164.962-33.133-AO61</f>
        <v>-324.81900000000019</v>
      </c>
      <c r="AQ61" s="97">
        <f>-1920.528-1761.736+1750.638-AP61-AO61</f>
        <v>-523.78500000000008</v>
      </c>
      <c r="AR61" s="95">
        <f>M61-AQ61-AP61-AO61</f>
        <v>4932.7710000000006</v>
      </c>
      <c r="AS61" s="97">
        <f>(-1094739000-1419497000-1000968000-1588332000+1600482000)/1000000</f>
        <v>-3503.0540000000001</v>
      </c>
      <c r="AT61" s="97">
        <f>-3203.013-3103.418-275.315+2634.224+2743.817-AS61</f>
        <v>2299.3490000000002</v>
      </c>
      <c r="AU61" s="97">
        <f>-3980.119-3901.391-1801.8+5216.583+2881.626-AT61-AS61</f>
        <v>-381.39599999999973</v>
      </c>
      <c r="AV61" s="95">
        <f>N61-AU61-AT61-AS61</f>
        <v>3811.0820000000012</v>
      </c>
      <c r="AW61" s="97">
        <f>(-790113000-1949936000-125051000-3672425000+1841754000)/1000000</f>
        <v>-4695.7709999999997</v>
      </c>
      <c r="AX61" s="97">
        <f>-2117.946-2430.521-958.691-4678.965+65.465-AW61</f>
        <v>-5424.8869999999997</v>
      </c>
      <c r="AY61" s="97">
        <f>-1278.626-2532.281-1997.605-4501.276-1411.168-AX61-AW61</f>
        <v>-1600.2980000000007</v>
      </c>
      <c r="AZ61" s="95">
        <f>P61-AY61-AX61-AW61</f>
        <v>1557.0009999999984</v>
      </c>
      <c r="BA61" s="97">
        <f>(-309339000-570249000-620467000-6624382000+6389874000)/1000000</f>
        <v>-1734.5630000000001</v>
      </c>
      <c r="BB61" s="97">
        <f>-1422.742-560.617-235.013-5602.18+60.681-BA61</f>
        <v>-6025.308</v>
      </c>
      <c r="BC61" s="97">
        <f>-1201.393-674.479-418.398-6173.915-2152.471-BB61-BA61</f>
        <v>-2860.7849999999989</v>
      </c>
      <c r="BD61" s="95">
        <f>Q61-BC61-BB61-BA61</f>
        <v>-440.08899999999903</v>
      </c>
      <c r="BE61" s="97">
        <f>1241.531+4.383+718.23-3280.516+889.701</f>
        <v>-426.67100000000005</v>
      </c>
      <c r="BF61" s="97">
        <f>-197.188-1785.854+262.466-2628.665+1005.841-BE61</f>
        <v>-2916.7290000000003</v>
      </c>
      <c r="BG61" s="97">
        <f>821.346-1932.572+205.464-3403.956+148.615-BF61-BE61</f>
        <v>-817.70299999999975</v>
      </c>
      <c r="BH61" s="6">
        <f>R61-SUM(BE61:BG61)</f>
        <v>-1723.674</v>
      </c>
      <c r="BI61" s="97">
        <f>341.54-126.714+1077.156-2362.773+3747.216</f>
        <v>2676.4249999999997</v>
      </c>
      <c r="BJ61" s="97"/>
      <c r="BK61" s="97">
        <f>90.517-1885.598-1579.225</f>
        <v>-3374.3059999999996</v>
      </c>
      <c r="BL61" s="97">
        <f>-920.965-2086.399-983.925-BK61</f>
        <v>-616.98300000000017</v>
      </c>
      <c r="BM61" s="97">
        <f>-772.388-1953.803-2400.445-BL61-BK61</f>
        <v>-1135.3470000000007</v>
      </c>
      <c r="BN61" s="95">
        <f>H61-BM61-BL61-BK61</f>
        <v>3042.6360000000004</v>
      </c>
      <c r="BO61" s="97">
        <f>-312.048-894.106+171.254-AG61</f>
        <v>2123.13</v>
      </c>
      <c r="BP61" s="97">
        <f>-54.679-140.341-563.48-BO61-AG61</f>
        <v>276.40000000000009</v>
      </c>
      <c r="BQ61" s="41" t="e">
        <f>#REF!-Y61-Z61-AA61</f>
        <v>#REF!</v>
      </c>
      <c r="BR61" s="95">
        <f>J61-AG61-AH61-AI61</f>
        <v>3405.0630000000006</v>
      </c>
      <c r="BS61" s="97">
        <f>164.71-1860.569+230.822</f>
        <v>-1465.0369999999998</v>
      </c>
      <c r="BT61" s="97">
        <f>-1062.423+355.727-845.418-BS61</f>
        <v>-87.077000000000226</v>
      </c>
      <c r="BU61" s="97">
        <f>-1024.841-1065.61-756.698-BT61-AK61</f>
        <v>-1295.0349999999999</v>
      </c>
      <c r="BV61" s="95">
        <f>K61-BS61-BT61-BU61</f>
        <v>5078.8950000000004</v>
      </c>
      <c r="BW61" s="95"/>
      <c r="BX61" s="97">
        <f>(-118667000+35005000+1123441000-999360000-211608000)/1000000</f>
        <v>-171.18899999999999</v>
      </c>
      <c r="BY61" s="97">
        <f>-1084.219-132.14+2016.585+317.773+3061.823-BX61</f>
        <v>4351.0110000000004</v>
      </c>
      <c r="BZ61" s="97">
        <f>-2017.131-1551.111+2384.328+2239.346+268.943-BY61-BX61</f>
        <v>-2855.4470000000006</v>
      </c>
      <c r="CA61" s="95">
        <f>M61-BX61-BY61-BZ61</f>
        <v>1676.7700000000004</v>
      </c>
      <c r="CB61" s="97">
        <f>(-1094739000-1419497000-1000968000-1588332000+2172794000)/1000000</f>
        <v>-2930.7420000000002</v>
      </c>
      <c r="CC61" s="97">
        <f>-3203.013-3103.418-275.315+2634.224+2744.99-CB61</f>
        <v>1728.21</v>
      </c>
      <c r="CD61" s="97">
        <f>-4172.911-3909.588-2251.732+4172.911+5524.697-CC61-CB61</f>
        <v>565.90900000000056</v>
      </c>
      <c r="CE61" s="95">
        <f>O61-CB61-CC61-CD61</f>
        <v>-1116.3730000000005</v>
      </c>
      <c r="CF61" s="97">
        <f>(-790113000-1949936000-125051000-3672425000+1826483000)/1000000</f>
        <v>-4711.0420000000004</v>
      </c>
      <c r="CG61" s="97">
        <f>-2117.946-2430.521-958.691-4678.965+50.635-CF61</f>
        <v>-5424.445999999999</v>
      </c>
      <c r="CH61" s="97">
        <f>-1278.626-2532.281-1997.605-4501.276-1405.945-CG61-CF61</f>
        <v>-1580.2450000000008</v>
      </c>
      <c r="CI61" s="95">
        <f>P61-CF61-CG61-CH61</f>
        <v>1551.7779999999984</v>
      </c>
    </row>
    <row r="62" spans="2:90" ht="13.5" customHeight="1">
      <c r="B62" s="7" t="s">
        <v>329</v>
      </c>
      <c r="C62" s="4">
        <v>-3920.9340000000002</v>
      </c>
      <c r="D62" s="4">
        <v>-3883.9580000000001</v>
      </c>
      <c r="E62" s="4">
        <v>-4706.1009999999997</v>
      </c>
      <c r="F62" s="4">
        <v>-4444.8630000000003</v>
      </c>
      <c r="G62" s="4">
        <v>-4327</v>
      </c>
      <c r="H62" s="4">
        <v>-4327</v>
      </c>
      <c r="I62" s="4">
        <v>-3961.306</v>
      </c>
      <c r="J62" s="4">
        <v>-3961.306</v>
      </c>
      <c r="K62" s="4">
        <v>-5789.3890000000001</v>
      </c>
      <c r="L62" s="267">
        <v>-7577.9009999999998</v>
      </c>
      <c r="M62" s="267">
        <v>-7036.8530000000001</v>
      </c>
      <c r="N62" s="267">
        <v>-11824.343000000001</v>
      </c>
      <c r="O62" s="4">
        <v>-11824.343000000001</v>
      </c>
      <c r="P62" s="4">
        <v>-13830.615</v>
      </c>
      <c r="Q62" s="4">
        <f>-6471.909</f>
        <v>-6471.9089999999997</v>
      </c>
      <c r="R62" s="4">
        <v>-8954.58</v>
      </c>
      <c r="S62" s="95">
        <f>SUM(BF62:BI62)</f>
        <v>-8407.6440000000002</v>
      </c>
      <c r="U62" s="4">
        <v>-758.31399999999996</v>
      </c>
      <c r="V62" s="4">
        <f>-1716.444-U62</f>
        <v>-958.13</v>
      </c>
      <c r="W62" s="4">
        <f>-2909-V62-U62</f>
        <v>-1192.556</v>
      </c>
      <c r="X62" s="6">
        <f>E62-SUM(U62:W62)</f>
        <v>-1797.1009999999997</v>
      </c>
      <c r="Y62" s="4">
        <v>-842.82500000000005</v>
      </c>
      <c r="Z62" s="4">
        <f>-1603.771-Y62</f>
        <v>-760.94599999999991</v>
      </c>
      <c r="AA62" s="4">
        <f>-2974-Z62-Y62</f>
        <v>-1370.229</v>
      </c>
      <c r="AB62" s="95">
        <f>F62-SUM(Y62:AA62)</f>
        <v>-1470.8630000000003</v>
      </c>
      <c r="AC62" s="4">
        <v>-1043.7260000000001</v>
      </c>
      <c r="AD62" s="4">
        <f>-1966.169-AC62</f>
        <v>-922.44299999999998</v>
      </c>
      <c r="AE62" s="4">
        <f>-3230.372-AD62-AC62</f>
        <v>-1264.203</v>
      </c>
      <c r="AF62" s="95">
        <f>G62-AE62-AD62-AC62</f>
        <v>-1096.6280000000002</v>
      </c>
      <c r="AG62" s="4">
        <v>-938.29200000000003</v>
      </c>
      <c r="AH62" s="4">
        <f>-1384.821-AG62</f>
        <v>-446.52899999999988</v>
      </c>
      <c r="AI62" s="4">
        <f>-2079.979-AH62-AG62</f>
        <v>-695.15799999999979</v>
      </c>
      <c r="AJ62" s="95">
        <f>I62-AI62-AH62-AG62</f>
        <v>-1881.3270000000002</v>
      </c>
      <c r="AK62" s="4">
        <v>-1096.597</v>
      </c>
      <c r="AL62" s="4">
        <f>-3051.788-AK62</f>
        <v>-1955.191</v>
      </c>
      <c r="AM62" s="4">
        <f>-4016.603-AL62-AK62</f>
        <v>-964.81500000000028</v>
      </c>
      <c r="AN62" s="95">
        <f>K62-AM62-AL62-AK62</f>
        <v>-1772.7859999999998</v>
      </c>
      <c r="AO62" s="4">
        <v>-1288.6980000000001</v>
      </c>
      <c r="AP62" s="4">
        <f>-3053.584-AO62</f>
        <v>-1764.8859999999997</v>
      </c>
      <c r="AQ62" s="4">
        <f>-5071.029-AP62-AO62</f>
        <v>-2017.4450000000008</v>
      </c>
      <c r="AR62" s="95">
        <f>M62-AQ62-AP62-AO62</f>
        <v>-1965.8239999999998</v>
      </c>
      <c r="AS62" s="4">
        <v>-2025.1679999999999</v>
      </c>
      <c r="AT62" s="4">
        <f>-4708.265-AS62</f>
        <v>-2683.0970000000007</v>
      </c>
      <c r="AU62" s="4">
        <f>-7259.146-AT62-AS62</f>
        <v>-2550.8809999999994</v>
      </c>
      <c r="AV62" s="95">
        <f>N62-AU62-AT62-AS62</f>
        <v>-4565.197000000001</v>
      </c>
      <c r="AW62" s="4">
        <v>-6346.0529999999999</v>
      </c>
      <c r="AX62" s="4">
        <f>-9446.061-AW62</f>
        <v>-3100.0079999999998</v>
      </c>
      <c r="AY62" s="4">
        <f>-11474.081-AX62-AW62</f>
        <v>-2028.0200000000004</v>
      </c>
      <c r="AZ62" s="95">
        <f>P62-AY62-AX62-AW62</f>
        <v>-2356.5339999999997</v>
      </c>
      <c r="BA62" s="4">
        <v>-2332.0120000000002</v>
      </c>
      <c r="BB62" s="4">
        <f>-3623.601-BA62</f>
        <v>-1291.5889999999999</v>
      </c>
      <c r="BC62" s="4">
        <f>-5272.452-BB62-BA62</f>
        <v>-1648.8510000000001</v>
      </c>
      <c r="BD62" s="95">
        <f t="shared" ref="BD62:BD63" si="434">Q62-BC62-BB62-BA62</f>
        <v>-1199.456999999999</v>
      </c>
      <c r="BE62" s="4">
        <v>-2932.2449999999999</v>
      </c>
      <c r="BF62" s="4">
        <f>-4920.949-BE62</f>
        <v>-1988.7039999999997</v>
      </c>
      <c r="BG62" s="4">
        <f>-6889.583-BF62-BE62</f>
        <v>-1968.634</v>
      </c>
      <c r="BH62" s="6">
        <f t="shared" ref="BH62:BH80" si="435">R62-SUM(BE62:BG62)</f>
        <v>-2064.9970000000003</v>
      </c>
      <c r="BI62" s="4">
        <v>-2385.3090000000002</v>
      </c>
      <c r="BJ62" s="4"/>
      <c r="BK62" s="4">
        <v>-1043.7260000000001</v>
      </c>
      <c r="BL62" s="4">
        <f>-1966.169-BK62</f>
        <v>-922.44299999999998</v>
      </c>
      <c r="BM62" s="4">
        <f>-3230.372-BL62-BK62</f>
        <v>-1264.203</v>
      </c>
      <c r="BN62" s="95">
        <f>H62-BM62-BL62-BK62</f>
        <v>-1096.6280000000002</v>
      </c>
      <c r="BO62" s="4">
        <f>-1384.821-AG62</f>
        <v>-446.52899999999988</v>
      </c>
      <c r="BP62" s="4">
        <f>-2079.979-BO62-AG62</f>
        <v>-695.15799999999979</v>
      </c>
      <c r="BQ62" s="41" t="e">
        <f>#REF!-Y62-Z62-AA62</f>
        <v>#REF!</v>
      </c>
      <c r="BR62" s="95">
        <f>J62-AG62-AH62-AI62</f>
        <v>-1881.3270000000002</v>
      </c>
      <c r="BS62" s="4">
        <v>-1096.597</v>
      </c>
      <c r="BT62" s="4">
        <f>-3051.788-BS62</f>
        <v>-1955.191</v>
      </c>
      <c r="BU62" s="4">
        <f>-4016.603-BT62-AK62</f>
        <v>-964.81500000000028</v>
      </c>
      <c r="BV62" s="95">
        <f>K62-BS62-BT62-BU62</f>
        <v>-1772.7860000000003</v>
      </c>
      <c r="BW62" s="95"/>
      <c r="BX62" s="4">
        <v>-1288.6980000000001</v>
      </c>
      <c r="BY62" s="4">
        <f>-3052.932-BX62</f>
        <v>-1764.2339999999997</v>
      </c>
      <c r="BZ62" s="4">
        <f>-4727.889-BY62-BX62</f>
        <v>-1674.9570000000006</v>
      </c>
      <c r="CA62" s="95">
        <f>M62-BX62-BY62-BZ62</f>
        <v>-2308.9639999999999</v>
      </c>
      <c r="CB62" s="4">
        <v>-2025.1679999999999</v>
      </c>
      <c r="CC62" s="4">
        <f>-4708.265-CB62</f>
        <v>-2683.0970000000007</v>
      </c>
      <c r="CD62" s="4">
        <f>-7259.146-CC62-CB62</f>
        <v>-2550.8809999999994</v>
      </c>
      <c r="CE62" s="95">
        <f>O62-CB62-CC62-CD62</f>
        <v>-4565.197000000001</v>
      </c>
      <c r="CF62" s="4">
        <v>-6346.0529999999999</v>
      </c>
      <c r="CG62" s="4">
        <f>-9446.061-CF62</f>
        <v>-3100.0079999999998</v>
      </c>
      <c r="CH62" s="4">
        <f>-11474.081-CG62-CF62</f>
        <v>-2028.0200000000004</v>
      </c>
      <c r="CI62" s="95">
        <f t="shared" ref="CI62:CI63" si="436">P62-CF62-CG62-CH62</f>
        <v>-2356.5339999999997</v>
      </c>
      <c r="CJ62" s="353"/>
      <c r="CL62" s="353"/>
    </row>
    <row r="63" spans="2:90" ht="13.5" customHeight="1">
      <c r="B63" s="7" t="s">
        <v>330</v>
      </c>
      <c r="C63" s="4">
        <v>-2872.116</v>
      </c>
      <c r="D63" s="4">
        <v>-3899.0320000000002</v>
      </c>
      <c r="E63" s="4">
        <v>-4347.8119999999999</v>
      </c>
      <c r="F63" s="4">
        <v>-4428.8440000000001</v>
      </c>
      <c r="G63" s="4">
        <v>-7027.4740000000002</v>
      </c>
      <c r="H63" s="4">
        <v>-7027.3019999999997</v>
      </c>
      <c r="I63" s="4">
        <v>-6284.6440000000002</v>
      </c>
      <c r="J63" s="4">
        <v>-6255.9380000000001</v>
      </c>
      <c r="K63" s="4">
        <v>-7032.0259999999998</v>
      </c>
      <c r="L63" s="267">
        <v>-7267.0590000000002</v>
      </c>
      <c r="M63" s="267">
        <v>-7267.0590000000002</v>
      </c>
      <c r="N63" s="267">
        <v>-6408.0129999999999</v>
      </c>
      <c r="O63" s="4">
        <v>-6408.0129999999999</v>
      </c>
      <c r="P63" s="4">
        <v>-7896.6170000000002</v>
      </c>
      <c r="Q63" s="4">
        <v>-9012.0499999999993</v>
      </c>
      <c r="R63" s="4">
        <v>-11932.909</v>
      </c>
      <c r="S63" s="95">
        <f>SUM(BF63:BI63)</f>
        <v>-12088.803</v>
      </c>
      <c r="U63" s="4">
        <v>-842.91499999999996</v>
      </c>
      <c r="V63" s="4">
        <f>-2087.596-U63</f>
        <v>-1244.681</v>
      </c>
      <c r="W63" s="4">
        <f>-3008-V63-U63</f>
        <v>-920.404</v>
      </c>
      <c r="X63" s="6">
        <f>E63-SUM(U63:W63)</f>
        <v>-1339.8119999999999</v>
      </c>
      <c r="Y63" s="4">
        <v>-1159.7560000000001</v>
      </c>
      <c r="Z63" s="4">
        <f>-2332.28-Y63</f>
        <v>-1172.5240000000001</v>
      </c>
      <c r="AA63" s="4">
        <f>-3317-Z63-Y63</f>
        <v>-984.71999999999957</v>
      </c>
      <c r="AB63" s="95">
        <f>F63-SUM(Y63:AA63)</f>
        <v>-1111.8440000000001</v>
      </c>
      <c r="AC63" s="4">
        <v>-1389.2739999999999</v>
      </c>
      <c r="AD63" s="4">
        <f>-3311.066-AC63</f>
        <v>-1921.7919999999999</v>
      </c>
      <c r="AE63" s="4">
        <f>-4830.269-AD63-AC63</f>
        <v>-1519.2030000000004</v>
      </c>
      <c r="AF63" s="95">
        <f>G63-AE63-AD63-AC63</f>
        <v>-2197.2049999999999</v>
      </c>
      <c r="AG63" s="4">
        <v>-1308.0360000000001</v>
      </c>
      <c r="AH63" s="4">
        <f>-3203.617-AG63</f>
        <v>-1895.5810000000001</v>
      </c>
      <c r="AI63" s="4">
        <f>-4103.58-AH63-AG63</f>
        <v>-899.96299999999974</v>
      </c>
      <c r="AJ63" s="95">
        <f>I63-AI63-AH63-AG63</f>
        <v>-2181.0640000000003</v>
      </c>
      <c r="AK63" s="4">
        <v>-1327.722</v>
      </c>
      <c r="AL63" s="4">
        <f>-3278.338-AK63</f>
        <v>-1950.6160000000002</v>
      </c>
      <c r="AM63" s="4">
        <f>-4828.872-AL63-AK63</f>
        <v>-1550.5340000000003</v>
      </c>
      <c r="AN63" s="95">
        <f>K63-AM63-AL63-AK63</f>
        <v>-2203.1539999999995</v>
      </c>
      <c r="AO63" s="4">
        <v>-1585.3150000000001</v>
      </c>
      <c r="AP63" s="4">
        <f>-3593.712-AO63</f>
        <v>-2008.3969999999999</v>
      </c>
      <c r="AQ63" s="4">
        <f>-5094.448-AP63-AO63</f>
        <v>-1500.7360000000003</v>
      </c>
      <c r="AR63" s="95">
        <f>M63-AQ63-AP63-AO63</f>
        <v>-2172.6110000000003</v>
      </c>
      <c r="AS63" s="4">
        <v>-1604.972</v>
      </c>
      <c r="AT63" s="4">
        <f>-2767.878-AS63</f>
        <v>-1162.9060000000002</v>
      </c>
      <c r="AU63" s="4">
        <f>-4673.528-AT63-AS63</f>
        <v>-1905.6500000000003</v>
      </c>
      <c r="AV63" s="95">
        <f>N63-AU63-AT63-AS63</f>
        <v>-1734.4849999999994</v>
      </c>
      <c r="AW63" s="4">
        <v>-1414.2639999999999</v>
      </c>
      <c r="AX63" s="4">
        <f>-4134.935-AW63</f>
        <v>-2720.6710000000003</v>
      </c>
      <c r="AY63" s="4">
        <f>-5475.976-AX63-AW63</f>
        <v>-1341.0409999999995</v>
      </c>
      <c r="AZ63" s="95">
        <f>P63-AY63-AX63-AW63</f>
        <v>-2420.6410000000005</v>
      </c>
      <c r="BA63" s="4">
        <v>-1323.9480000000001</v>
      </c>
      <c r="BB63" s="4">
        <f>-3701.966-BA63</f>
        <v>-2378.018</v>
      </c>
      <c r="BC63" s="4">
        <f>-6924.659-BB63-BA63</f>
        <v>-3222.6929999999993</v>
      </c>
      <c r="BD63" s="95">
        <f t="shared" si="434"/>
        <v>-2087.3909999999996</v>
      </c>
      <c r="BE63" s="4">
        <v>-3236.7869999999998</v>
      </c>
      <c r="BF63" s="4">
        <f>-5561.466-BE63</f>
        <v>-2324.6790000000005</v>
      </c>
      <c r="BG63" s="4">
        <f>-8616.03-BF63-BE63</f>
        <v>-3054.5640000000008</v>
      </c>
      <c r="BH63" s="6">
        <f t="shared" si="435"/>
        <v>-3316.878999999999</v>
      </c>
      <c r="BI63" s="4">
        <v>-3392.681</v>
      </c>
      <c r="BJ63" s="4"/>
      <c r="BK63" s="4">
        <v>-1389.2739999999999</v>
      </c>
      <c r="BL63" s="4">
        <f>-3311.066-BK63</f>
        <v>-1921.7919999999999</v>
      </c>
      <c r="BM63" s="4">
        <f>-4830.269-BL63-BK63</f>
        <v>-1519.2030000000004</v>
      </c>
      <c r="BN63" s="95">
        <f>H63-BM63-BL63-BK63</f>
        <v>-2197.0329999999994</v>
      </c>
      <c r="BO63" s="4">
        <f>-3203.617-AG63</f>
        <v>-1895.5810000000001</v>
      </c>
      <c r="BP63" s="4">
        <f>-4103.58-BO63-AG63</f>
        <v>-899.96299999999974</v>
      </c>
      <c r="BQ63" s="41" t="e">
        <f>#REF!-Y63-Z63-AA63</f>
        <v>#REF!</v>
      </c>
      <c r="BR63" s="95">
        <f>J63-AG63-AH63-AI63</f>
        <v>-2152.3580000000002</v>
      </c>
      <c r="BS63" s="4">
        <v>-1327.722</v>
      </c>
      <c r="BT63" s="4">
        <f>-3278.338-BS63</f>
        <v>-1950.6160000000002</v>
      </c>
      <c r="BU63" s="4">
        <f>-4828.872-BT63-AK63</f>
        <v>-1550.5340000000003</v>
      </c>
      <c r="BV63" s="95">
        <f>K63-BS63-BT63-BU63</f>
        <v>-2203.1539999999995</v>
      </c>
      <c r="BW63" s="95"/>
      <c r="BX63" s="4">
        <v>-1585.3150000000001</v>
      </c>
      <c r="BY63" s="4">
        <f>-4524.512-BX63</f>
        <v>-2939.1969999999997</v>
      </c>
      <c r="BZ63" s="4">
        <f>-5053.461-BY63-BX63</f>
        <v>-528.94900000000052</v>
      </c>
      <c r="CA63" s="95">
        <f>M63-BX63-BY63-BZ63</f>
        <v>-2213.5980000000004</v>
      </c>
      <c r="CB63" s="4">
        <v>-1604.972</v>
      </c>
      <c r="CC63" s="4">
        <f>-2767.878-CB63</f>
        <v>-1162.9060000000002</v>
      </c>
      <c r="CD63" s="4">
        <f>-4834.233-CC63-CB63</f>
        <v>-2066.3550000000005</v>
      </c>
      <c r="CE63" s="95">
        <f>O63-CB63-CC63-CD63</f>
        <v>-1573.7799999999997</v>
      </c>
      <c r="CF63" s="4">
        <v>-1414.2639999999999</v>
      </c>
      <c r="CG63" s="4">
        <f>-4134.935-CF63</f>
        <v>-2720.6710000000003</v>
      </c>
      <c r="CH63" s="4">
        <f>-5475.976-CG63-CF63</f>
        <v>-1341.0409999999995</v>
      </c>
      <c r="CI63" s="95">
        <f t="shared" si="436"/>
        <v>-2420.6410000000005</v>
      </c>
      <c r="CJ63" s="354"/>
      <c r="CL63" s="353"/>
    </row>
    <row r="64" spans="2:90" s="5" customFormat="1" ht="13.5" customHeight="1">
      <c r="B64" s="5" t="s">
        <v>331</v>
      </c>
      <c r="C64" s="32">
        <f t="shared" ref="C64:G64" si="437">SUM(C60:C63)</f>
        <v>10547.949999999999</v>
      </c>
      <c r="D64" s="32">
        <f t="shared" si="437"/>
        <v>15938.010000000002</v>
      </c>
      <c r="E64" s="32">
        <f t="shared" si="437"/>
        <v>17261.087</v>
      </c>
      <c r="F64" s="32">
        <f t="shared" si="437"/>
        <v>24783.475999999995</v>
      </c>
      <c r="G64" s="32">
        <f t="shared" si="437"/>
        <v>19134.026000000005</v>
      </c>
      <c r="H64" s="32">
        <f t="shared" ref="H64:N64" si="438">SUM(H60:H63)</f>
        <v>18261.698</v>
      </c>
      <c r="I64" s="32">
        <f t="shared" si="438"/>
        <v>30273.613000000005</v>
      </c>
      <c r="J64" s="32">
        <f t="shared" si="438"/>
        <v>30302.319000000003</v>
      </c>
      <c r="K64" s="32">
        <f t="shared" si="438"/>
        <v>34603.330999999998</v>
      </c>
      <c r="L64" s="32">
        <f t="shared" si="438"/>
        <v>38683.417000000001</v>
      </c>
      <c r="M64" s="32">
        <f t="shared" si="438"/>
        <v>36069.233</v>
      </c>
      <c r="N64" s="32">
        <f t="shared" si="438"/>
        <v>37438.625</v>
      </c>
      <c r="O64" s="32">
        <f t="shared" ref="O64" si="439">SUM(O60:O63)</f>
        <v>33459.648000000001</v>
      </c>
      <c r="P64" s="32">
        <f>SUM(P60:P63)</f>
        <v>23050.813000000002</v>
      </c>
      <c r="Q64" s="32">
        <f>SUM(Q60:Q63)</f>
        <v>28929.296000000006</v>
      </c>
      <c r="R64" s="32">
        <f>SUM(R60:R63)</f>
        <v>32683.733999999997</v>
      </c>
      <c r="S64" s="32">
        <f>SUM(S60:S63)</f>
        <v>37396.872000000003</v>
      </c>
      <c r="U64" s="32">
        <f t="shared" ref="U64:AB64" si="440">SUM(U60:U63)</f>
        <v>1913.7710000000002</v>
      </c>
      <c r="V64" s="32">
        <f t="shared" si="440"/>
        <v>2680.1889999999999</v>
      </c>
      <c r="W64" s="32">
        <f t="shared" si="440"/>
        <v>5816.0399999999991</v>
      </c>
      <c r="X64" s="32">
        <f t="shared" si="440"/>
        <v>6851.0870000000004</v>
      </c>
      <c r="Y64" s="32">
        <f t="shared" si="440"/>
        <v>2760.4189999999999</v>
      </c>
      <c r="Z64" s="32">
        <f t="shared" si="440"/>
        <v>5703.53</v>
      </c>
      <c r="AA64" s="32">
        <f t="shared" si="440"/>
        <v>4480.0510000000004</v>
      </c>
      <c r="AB64" s="32">
        <f t="shared" si="440"/>
        <v>11839.475999999995</v>
      </c>
      <c r="AC64" s="32">
        <f t="shared" ref="AC64:AH64" si="441">SUM(AC60:AC63)</f>
        <v>686.69400000000041</v>
      </c>
      <c r="AD64" s="32">
        <f t="shared" si="441"/>
        <v>4014.7819999999997</v>
      </c>
      <c r="AE64" s="32">
        <f t="shared" si="441"/>
        <v>4382.2469999999985</v>
      </c>
      <c r="AF64" s="32">
        <f t="shared" si="441"/>
        <v>10050.303000000004</v>
      </c>
      <c r="AG64" s="32">
        <f t="shared" si="441"/>
        <v>2580.6419999999994</v>
      </c>
      <c r="AH64" s="32">
        <f t="shared" si="441"/>
        <v>8555.02</v>
      </c>
      <c r="AI64" s="32">
        <f t="shared" ref="AI64:AN64" si="442">SUM(AI60:AI63)</f>
        <v>8934.2790000000005</v>
      </c>
      <c r="AJ64" s="32">
        <f t="shared" si="442"/>
        <v>10203.672</v>
      </c>
      <c r="AK64" s="32">
        <f t="shared" si="442"/>
        <v>5009.6440000000002</v>
      </c>
      <c r="AL64" s="32">
        <f t="shared" si="442"/>
        <v>7382.1159999999982</v>
      </c>
      <c r="AM64" s="32">
        <f t="shared" si="442"/>
        <v>8299.616</v>
      </c>
      <c r="AN64" s="32">
        <f t="shared" si="442"/>
        <v>13911.955000000002</v>
      </c>
      <c r="AO64" s="32">
        <f>SUM(AO60:AO63)</f>
        <v>6695.9649999999983</v>
      </c>
      <c r="AP64" s="32">
        <f>SUM(AP60:AP63)</f>
        <v>7957.8980000000001</v>
      </c>
      <c r="AQ64" s="32">
        <f t="shared" ref="AQ64:AR64" si="443">SUM(AQ60:AQ63)</f>
        <v>8921.0339999999978</v>
      </c>
      <c r="AR64" s="32">
        <f t="shared" si="443"/>
        <v>12494.335999999999</v>
      </c>
      <c r="AS64" s="32">
        <f>SUM(AS60:AS63)</f>
        <v>4763.8060000000005</v>
      </c>
      <c r="AT64" s="32">
        <f>SUM(AT60:AT63)</f>
        <v>11445.346</v>
      </c>
      <c r="AU64" s="32">
        <f t="shared" ref="AU64:AV64" si="444">SUM(AU60:AU63)</f>
        <v>9667.0730000000003</v>
      </c>
      <c r="AV64" s="32">
        <f t="shared" si="444"/>
        <v>11562.400000000003</v>
      </c>
      <c r="AW64" s="32">
        <f>SUM(AW60:AW63)</f>
        <v>400.91200000000049</v>
      </c>
      <c r="AX64" s="32">
        <f>SUM(AX60:AX63)</f>
        <v>2756.4340000000011</v>
      </c>
      <c r="AY64" s="32">
        <f t="shared" ref="AY64:AZ64" si="445">SUM(AY60:AY63)</f>
        <v>9497.6409999999996</v>
      </c>
      <c r="AZ64" s="32">
        <f t="shared" si="445"/>
        <v>10395.825999999997</v>
      </c>
      <c r="BA64" s="32">
        <f>SUM(BA60:BA63)</f>
        <v>6481.476999999999</v>
      </c>
      <c r="BB64" s="32">
        <f>SUM(BB60:BB63)</f>
        <v>4258.085</v>
      </c>
      <c r="BC64" s="32">
        <f t="shared" ref="BC64:BD64" si="446">SUM(BC60:BC63)</f>
        <v>7907.6710000000003</v>
      </c>
      <c r="BD64" s="32">
        <f t="shared" si="446"/>
        <v>10282.063000000002</v>
      </c>
      <c r="BE64" s="32">
        <f>SUM(BE60:BE63)</f>
        <v>6221.2969999999987</v>
      </c>
      <c r="BF64" s="32">
        <f>SUM(BF60:BF63)</f>
        <v>7666.8880000000008</v>
      </c>
      <c r="BG64" s="32">
        <f t="shared" ref="BG64:BH64" si="447">SUM(BG60:BG63)</f>
        <v>9935.0990000000002</v>
      </c>
      <c r="BH64" s="32">
        <f t="shared" si="447"/>
        <v>8860.4500000000025</v>
      </c>
      <c r="BI64" s="32">
        <f>SUM(BI60:BI63)</f>
        <v>10934.434999999998</v>
      </c>
      <c r="BJ64" s="32"/>
      <c r="BK64" s="32">
        <f t="shared" ref="BK64:BQ64" si="448">SUM(BK60:BK63)</f>
        <v>697.69400000000041</v>
      </c>
      <c r="BL64" s="32">
        <f t="shared" si="448"/>
        <v>3999.7819999999997</v>
      </c>
      <c r="BM64" s="32">
        <f t="shared" si="448"/>
        <v>4382.2469999999985</v>
      </c>
      <c r="BN64" s="32">
        <f t="shared" si="448"/>
        <v>9181.9750000000004</v>
      </c>
      <c r="BO64" s="32">
        <f t="shared" si="448"/>
        <v>8586.02</v>
      </c>
      <c r="BP64" s="32">
        <f t="shared" si="448"/>
        <v>8951.2790000000005</v>
      </c>
      <c r="BQ64" s="32" t="e">
        <f t="shared" si="448"/>
        <v>#REF!</v>
      </c>
      <c r="BR64" s="32">
        <f>SUM(BR60:BR63)</f>
        <v>13469.378000000001</v>
      </c>
      <c r="BS64" s="32">
        <f>SUM(BS60:BS63)</f>
        <v>5021.6440000000002</v>
      </c>
      <c r="BT64" s="32">
        <f>SUM(BT60:BT63)</f>
        <v>7391.1159999999982</v>
      </c>
      <c r="BU64" s="32">
        <f t="shared" ref="BU64" si="449">SUM(BU60:BU63)</f>
        <v>8311.616</v>
      </c>
      <c r="BV64" s="32">
        <f>SUM(BV60:BV63)</f>
        <v>46295.955000000002</v>
      </c>
      <c r="BW64" s="32"/>
      <c r="BX64" s="32">
        <f>SUM(BX60:BX63)</f>
        <v>7587.7979999999989</v>
      </c>
      <c r="BY64" s="32">
        <f>SUM(BY60:BY63)</f>
        <v>11196.58</v>
      </c>
      <c r="BZ64" s="32">
        <f t="shared" ref="BZ64" si="450">SUM(BZ60:BZ63)</f>
        <v>7534.646999999999</v>
      </c>
      <c r="CA64" s="32">
        <f>SUM(CA60:CA63)</f>
        <v>9750.2080000000005</v>
      </c>
      <c r="CB64" s="32">
        <f>SUM(CB60:CB63)</f>
        <v>4751.1180000000004</v>
      </c>
      <c r="CC64" s="32">
        <f>SUM(CC60:CC63)</f>
        <v>10874.206999999997</v>
      </c>
      <c r="CD64" s="32">
        <f t="shared" ref="CD64" si="451">SUM(CD60:CD63)</f>
        <v>10449.672999999999</v>
      </c>
      <c r="CE64" s="32">
        <f>SUM(CE60:CE63)</f>
        <v>7384.6500000000005</v>
      </c>
      <c r="CF64" s="32">
        <f>SUM(CF60:CF63)</f>
        <v>380.64099999999985</v>
      </c>
      <c r="CG64" s="32">
        <f>SUM(CG60:CG63)</f>
        <v>2742.875</v>
      </c>
      <c r="CH64" s="32">
        <f t="shared" ref="CH64" si="452">SUM(CH60:CH63)</f>
        <v>9473.6939999999995</v>
      </c>
      <c r="CI64" s="32">
        <f>SUM(CI60:CI63)</f>
        <v>10453.602999999999</v>
      </c>
      <c r="CJ64" s="355"/>
      <c r="CL64" s="353"/>
    </row>
    <row r="65" spans="2:90" ht="13.5" customHeight="1">
      <c r="B65" s="7" t="s">
        <v>332</v>
      </c>
      <c r="C65" s="4">
        <v>-6828.6819999999998</v>
      </c>
      <c r="D65" s="4">
        <v>-9604.3209999999999</v>
      </c>
      <c r="E65" s="4">
        <v>-13152.5</v>
      </c>
      <c r="F65" s="4">
        <v>-13572.669</v>
      </c>
      <c r="G65" s="4">
        <v>-15067</v>
      </c>
      <c r="H65" s="4">
        <f>-15067+598.861</f>
        <v>-14468.138999999999</v>
      </c>
      <c r="I65" s="4">
        <f>-13117.103+470.198</f>
        <v>-12646.904999999999</v>
      </c>
      <c r="J65" s="4">
        <f>-13117.103+470.198</f>
        <v>-12646.904999999999</v>
      </c>
      <c r="K65" s="4">
        <f>-13218.088+762.859-218.219</f>
        <v>-12673.447999999999</v>
      </c>
      <c r="L65" s="4">
        <f>-20671.245+881.536-1149.158</f>
        <v>-20938.866999999998</v>
      </c>
      <c r="M65" s="4">
        <f>-20366.302+881.536-1149.158</f>
        <v>-20633.923999999999</v>
      </c>
      <c r="N65" s="4">
        <f>-28669.344+20.24-776.705</f>
        <v>-29425.809000000001</v>
      </c>
      <c r="O65" s="4">
        <f>-28669.344+20.24-767.709</f>
        <v>-29416.812999999998</v>
      </c>
      <c r="P65" s="4">
        <f>-34754.237+152.388-541.804</f>
        <v>-35143.652999999998</v>
      </c>
      <c r="Q65" s="4">
        <f>-29402.773+984.786-353.745</f>
        <v>-28771.732</v>
      </c>
      <c r="R65" s="4">
        <f>-22529.475+1197.36-912.314</f>
        <v>-22244.428999999996</v>
      </c>
      <c r="S65" s="95">
        <f t="shared" ref="S65:S69" si="453">SUM(BF65:BI65)</f>
        <v>-18683.446999999996</v>
      </c>
      <c r="U65" s="4">
        <v>-1853.3920000000001</v>
      </c>
      <c r="V65" s="4">
        <f>-5066.236-U65</f>
        <v>-3212.8440000000001</v>
      </c>
      <c r="W65" s="4">
        <f>-7938-V65-U65</f>
        <v>-2871.7640000000001</v>
      </c>
      <c r="X65" s="6">
        <f>E65-SUM(U65:W65)</f>
        <v>-5214.5</v>
      </c>
      <c r="Y65" s="4">
        <v>-2839.422</v>
      </c>
      <c r="Z65" s="4">
        <f>-5524.4-Y65</f>
        <v>-2684.9779999999996</v>
      </c>
      <c r="AA65" s="4">
        <f>-8314.218-Z65-Y65</f>
        <v>-2789.8180000000016</v>
      </c>
      <c r="AB65" s="6">
        <f>F65-SUM(Y65:AA65)</f>
        <v>-5258.4509999999991</v>
      </c>
      <c r="AC65" s="4">
        <f>-3503.078+53.554</f>
        <v>-3449.5239999999999</v>
      </c>
      <c r="AD65" s="4">
        <f>-7125.98-AC65</f>
        <v>-3676.4559999999997</v>
      </c>
      <c r="AE65" s="4">
        <f>-10371.396-AD65-AC65</f>
        <v>-3245.4160000000006</v>
      </c>
      <c r="AF65" s="95">
        <f>G65-AE65-AD65-AC65</f>
        <v>-4695.6039999999994</v>
      </c>
      <c r="AG65" s="4">
        <f>-1937.356+66.986</f>
        <v>-1870.37</v>
      </c>
      <c r="AH65" s="4">
        <f>-5620.385+154.541-AG65</f>
        <v>-3595.4740000000002</v>
      </c>
      <c r="AI65" s="4">
        <f>-8605.545+306.655-AH65-AG65</f>
        <v>-2833.0459999999994</v>
      </c>
      <c r="AJ65" s="95">
        <f>I65-AI65-AH65-AG65</f>
        <v>-4348.0150000000003</v>
      </c>
      <c r="AK65" s="4">
        <f>-2372.94+83.09</f>
        <v>-2289.85</v>
      </c>
      <c r="AL65" s="4">
        <f>-5244.131+305.802-AK65</f>
        <v>-2648.4790000000007</v>
      </c>
      <c r="AM65" s="4">
        <f>-7946.559+450.014-AL65-AK65</f>
        <v>-2558.215999999999</v>
      </c>
      <c r="AN65" s="95">
        <f>K65-AM65-AL65-AK65</f>
        <v>-5176.9029999999984</v>
      </c>
      <c r="AO65" s="4">
        <f>-2785.986+265.007</f>
        <v>-2520.9789999999998</v>
      </c>
      <c r="AP65" s="4">
        <f>-7555.176+483.764-AO65</f>
        <v>-4550.4330000000009</v>
      </c>
      <c r="AQ65" s="4">
        <f>-12216.199+726.779-AP65-AO65</f>
        <v>-4418.0079999999998</v>
      </c>
      <c r="AR65" s="95">
        <f>M65-AQ65-AP65-AO65</f>
        <v>-9144.503999999999</v>
      </c>
      <c r="AS65" s="4">
        <f>-3769.84+6.668</f>
        <v>-3763.172</v>
      </c>
      <c r="AT65" s="4">
        <f>-10146.835+41.643-AS65</f>
        <v>-6342.0199999999986</v>
      </c>
      <c r="AU65" s="4">
        <f>98.107-17236.169-AT65-AS65</f>
        <v>-7032.8700000000026</v>
      </c>
      <c r="AV65" s="95">
        <f t="shared" ref="AV65:AV69" si="454">N65-AU65-AT65-AS65</f>
        <v>-12287.746999999999</v>
      </c>
      <c r="AW65" s="4">
        <f>-5265.356+68.833</f>
        <v>-5196.5230000000001</v>
      </c>
      <c r="AX65" s="4">
        <f>-12754.374+0.144-AW65</f>
        <v>-7557.7069999999994</v>
      </c>
      <c r="AY65" s="4">
        <f>0-21477.162-AX65-AW65</f>
        <v>-8722.9320000000007</v>
      </c>
      <c r="AZ65" s="95">
        <f t="shared" ref="AZ65:AZ69" si="455">P65-AY65-AX65-AW65</f>
        <v>-13666.490999999998</v>
      </c>
      <c r="BA65" s="4">
        <f>-5466.321+57.793</f>
        <v>-5408.5280000000002</v>
      </c>
      <c r="BB65" s="4">
        <f>-12228.221+476.274-BA65</f>
        <v>-6343.4189999999999</v>
      </c>
      <c r="BC65" s="4">
        <f>552.127-19096.214-BB65-BA65</f>
        <v>-6792.1399999999994</v>
      </c>
      <c r="BD65" s="95">
        <f t="shared" ref="BD65:BD69" si="456">Q65-BC65-BB65-BA65</f>
        <v>-10227.645</v>
      </c>
      <c r="BE65" s="4">
        <f>-5297.519+159.958</f>
        <v>-5137.5610000000006</v>
      </c>
      <c r="BF65" s="4">
        <f>-9843.27+353.612-BE65</f>
        <v>-4352.0970000000007</v>
      </c>
      <c r="BG65" s="4">
        <f>-14209.194+434.053-BF65-BE65</f>
        <v>-4285.4829999999974</v>
      </c>
      <c r="BH65" s="6">
        <f t="shared" si="435"/>
        <v>-8469.2879999999968</v>
      </c>
      <c r="BI65" s="4">
        <f>-2730.21+1153.631</f>
        <v>-1576.579</v>
      </c>
      <c r="BJ65" s="4"/>
      <c r="BK65" s="4">
        <f>-3503.078+53.554</f>
        <v>-3449.5239999999999</v>
      </c>
      <c r="BL65" s="4">
        <f>-7125.98+171.575-BK65</f>
        <v>-3504.8809999999999</v>
      </c>
      <c r="BM65" s="4">
        <f>-10371.396+273.231-BL65-BK65</f>
        <v>-3143.7600000000016</v>
      </c>
      <c r="BN65" s="95">
        <f>H65-BM65-BL65-BK65</f>
        <v>-4369.9739999999983</v>
      </c>
      <c r="BO65" s="4">
        <f>-5620.385+154.541-AG65</f>
        <v>-3595.4740000000002</v>
      </c>
      <c r="BP65" s="4">
        <f>306.655-8605.545-BO65-AG65</f>
        <v>-2833.0459999999994</v>
      </c>
      <c r="BQ65" s="41" t="e">
        <f>#REF!-Y65-Z65-AA65</f>
        <v>#REF!</v>
      </c>
      <c r="BR65" s="95">
        <f>J65-AG65-AH65-AI65</f>
        <v>-4348.0150000000003</v>
      </c>
      <c r="BS65" s="4">
        <f>-2372.94+83.09</f>
        <v>-2289.85</v>
      </c>
      <c r="BT65" s="4">
        <f>-5244.131+305.802-BS65</f>
        <v>-2648.4790000000007</v>
      </c>
      <c r="BU65" s="4">
        <f>-7946.559+450.014-BT65-AK65</f>
        <v>-2558.215999999999</v>
      </c>
      <c r="BV65" s="95">
        <f>K65-BS65-BT65-BU65</f>
        <v>-5176.9029999999984</v>
      </c>
      <c r="BW65" s="95"/>
      <c r="BX65" s="4">
        <f>(-2785986000+265007000)/1000000</f>
        <v>-2520.9789999999998</v>
      </c>
      <c r="BY65" s="4">
        <f>-7389.179+483.764-BX65</f>
        <v>-4384.4359999999997</v>
      </c>
      <c r="BZ65" s="4">
        <f>726.779-11895.999-BY65-BX65</f>
        <v>-4263.8050000000003</v>
      </c>
      <c r="CA65" s="95">
        <f>M65-BX65-BY65-BZ65</f>
        <v>-9464.7039999999997</v>
      </c>
      <c r="CB65" s="4">
        <f>-3769.84+6.668</f>
        <v>-3763.172</v>
      </c>
      <c r="CC65" s="4">
        <f>-10146.835+41.643-CB65</f>
        <v>-6342.0199999999986</v>
      </c>
      <c r="CD65" s="4">
        <f>0-17236.169-CC65-CB65</f>
        <v>-7130.9770000000026</v>
      </c>
      <c r="CE65" s="95">
        <f>O65-CB65-CC65-CD65</f>
        <v>-12180.643999999997</v>
      </c>
      <c r="CF65" s="278">
        <f>-5265.356+68.833</f>
        <v>-5196.5230000000001</v>
      </c>
      <c r="CG65" s="278">
        <f>-12754.374+0.144-CF65</f>
        <v>-7557.7069999999994</v>
      </c>
      <c r="CH65" s="4">
        <f>0-21477.162-CG65-CF65</f>
        <v>-8722.9320000000007</v>
      </c>
      <c r="CI65" s="95">
        <f t="shared" ref="CI65:CI69" si="457">P65-CF65-CG65-CH65</f>
        <v>-13666.490999999998</v>
      </c>
      <c r="CJ65" s="354"/>
      <c r="CL65" s="354"/>
    </row>
    <row r="66" spans="2:90" ht="13.5" customHeight="1">
      <c r="B66" s="7" t="s">
        <v>333</v>
      </c>
      <c r="C66" s="4">
        <v>0</v>
      </c>
      <c r="D66" s="4">
        <v>0</v>
      </c>
      <c r="E66" s="4">
        <v>-45</v>
      </c>
      <c r="F66" s="4">
        <v>-1265.0170000000001</v>
      </c>
      <c r="G66" s="4">
        <v>-397.35599999999999</v>
      </c>
      <c r="H66" s="4">
        <v>-940</v>
      </c>
      <c r="I66" s="4">
        <v>-412.11599999999999</v>
      </c>
      <c r="J66" s="4">
        <v>-396.11599999999999</v>
      </c>
      <c r="K66" s="4">
        <v>-885.44100000000003</v>
      </c>
      <c r="L66" s="267">
        <v>-882.43399999999997</v>
      </c>
      <c r="M66" s="267">
        <v>-882.43399999999997</v>
      </c>
      <c r="N66" s="267">
        <v>-1204.681</v>
      </c>
      <c r="O66" s="4">
        <v>-798</v>
      </c>
      <c r="P66" s="4">
        <v>-951.93100000000004</v>
      </c>
      <c r="Q66" s="4">
        <v>-772.01400000000001</v>
      </c>
      <c r="R66" s="4">
        <v>-311.21300000000002</v>
      </c>
      <c r="S66" s="95">
        <f t="shared" si="453"/>
        <v>-259.58199999999999</v>
      </c>
      <c r="U66" s="4">
        <v>0</v>
      </c>
      <c r="V66" s="4">
        <f>0-U66</f>
        <v>0</v>
      </c>
      <c r="W66" s="4">
        <f>0-V66-U66</f>
        <v>0</v>
      </c>
      <c r="X66" s="6">
        <f>E66-SUM(U66:W66)</f>
        <v>-45</v>
      </c>
      <c r="Y66" s="4">
        <v>0</v>
      </c>
      <c r="Z66" s="4">
        <f>0-Y66</f>
        <v>0</v>
      </c>
      <c r="AA66" s="4">
        <f>0-Z66-Y66</f>
        <v>0</v>
      </c>
      <c r="AB66" s="6">
        <f>F66-SUM(Y66:AA66)</f>
        <v>-1265.0170000000001</v>
      </c>
      <c r="AC66" s="4">
        <v>0</v>
      </c>
      <c r="AD66" s="4">
        <f>-372.688-AC66</f>
        <v>-372.68799999999999</v>
      </c>
      <c r="AE66" s="4">
        <f>-397.357-AD66-AC66</f>
        <v>-24.66900000000004</v>
      </c>
      <c r="AF66" s="95">
        <f>G66-AE66-AD66-AC66</f>
        <v>1.0000000000331966E-3</v>
      </c>
      <c r="AG66" s="4">
        <v>0</v>
      </c>
      <c r="AH66" s="4">
        <f>-AG66</f>
        <v>0</v>
      </c>
      <c r="AI66" s="4">
        <f>-51.411-AH66-AG66</f>
        <v>-51.411000000000001</v>
      </c>
      <c r="AJ66" s="95">
        <f>I66-AI66-AH66-AG66</f>
        <v>-360.70499999999998</v>
      </c>
      <c r="AK66" s="4">
        <v>-159.58699999999999</v>
      </c>
      <c r="AL66" s="4">
        <f>-215.811-AK66</f>
        <v>-56.224000000000018</v>
      </c>
      <c r="AM66" s="4">
        <f>-262.748-AL66-AK66</f>
        <v>-46.936999999999983</v>
      </c>
      <c r="AN66" s="95">
        <f>K66-AM66-AL66-AK66</f>
        <v>-622.69299999999998</v>
      </c>
      <c r="AO66" s="4">
        <v>-182.55699999999999</v>
      </c>
      <c r="AP66" s="4">
        <f>-152.672-AO66</f>
        <v>29.884999999999991</v>
      </c>
      <c r="AQ66" s="4">
        <f>-383.614-AP66-AO66</f>
        <v>-230.94199999999998</v>
      </c>
      <c r="AR66" s="95">
        <f>M66-AQ66-AP66-AO66</f>
        <v>-498.81999999999994</v>
      </c>
      <c r="AS66" s="4">
        <v>-37.350999999999999</v>
      </c>
      <c r="AT66" s="4">
        <f>-154.595-AS66</f>
        <v>-117.244</v>
      </c>
      <c r="AU66" s="4">
        <f>-440.78-AT66-AS66</f>
        <v>-286.18499999999995</v>
      </c>
      <c r="AV66" s="95">
        <f t="shared" si="454"/>
        <v>-763.90100000000007</v>
      </c>
      <c r="AW66" s="4">
        <v>-388.899</v>
      </c>
      <c r="AX66" s="4">
        <f>-594.978-AW66</f>
        <v>-206.07899999999995</v>
      </c>
      <c r="AY66" s="4">
        <f>-758.534-AX66-AW66</f>
        <v>-163.55600000000004</v>
      </c>
      <c r="AZ66" s="95">
        <f t="shared" si="455"/>
        <v>-193.39700000000005</v>
      </c>
      <c r="BA66" s="4">
        <v>-100.98699999999999</v>
      </c>
      <c r="BB66" s="4">
        <f>-307.343-BA66</f>
        <v>-206.35600000000002</v>
      </c>
      <c r="BC66" s="4">
        <f>-375.848-BB66-BA66</f>
        <v>-68.504999999999995</v>
      </c>
      <c r="BD66" s="95">
        <f t="shared" si="456"/>
        <v>-396.16600000000005</v>
      </c>
      <c r="BE66" s="4">
        <v>-64.62</v>
      </c>
      <c r="BF66" s="4">
        <f>-118.467-BE66</f>
        <v>-53.846999999999994</v>
      </c>
      <c r="BG66" s="4">
        <f>-260.42-BF66-BE66</f>
        <v>-141.95300000000003</v>
      </c>
      <c r="BH66" s="6">
        <f t="shared" si="435"/>
        <v>-50.793000000000006</v>
      </c>
      <c r="BI66" s="4">
        <v>-12.989000000000001</v>
      </c>
      <c r="BJ66" s="4"/>
      <c r="BK66" s="4">
        <v>0</v>
      </c>
      <c r="BL66" s="4">
        <f>-372.688-BK66</f>
        <v>-372.68799999999999</v>
      </c>
      <c r="BM66" s="4">
        <f>-397.357-BL66-BK66</f>
        <v>-24.66900000000004</v>
      </c>
      <c r="BN66" s="95">
        <f>H66-BM66-BL66-BK66</f>
        <v>-542.64299999999992</v>
      </c>
      <c r="BO66" s="4">
        <f>-AG66</f>
        <v>0</v>
      </c>
      <c r="BP66" s="4">
        <f>-51.411-BO66-AG66</f>
        <v>-51.411000000000001</v>
      </c>
      <c r="BQ66" s="41" t="e">
        <f>#REF!-Y66-Z66-AA66</f>
        <v>#REF!</v>
      </c>
      <c r="BR66" s="95">
        <f>J66-AG66-AH66-AI66</f>
        <v>-344.70499999999998</v>
      </c>
      <c r="BS66" s="4">
        <v>-159.58699999999999</v>
      </c>
      <c r="BT66" s="4">
        <f>-215.811-BS66</f>
        <v>-56.224000000000018</v>
      </c>
      <c r="BU66" s="4">
        <f>-262.748-BT66-AK66</f>
        <v>-46.936999999999983</v>
      </c>
      <c r="BV66" s="95">
        <f>K66-BS66-BT66-BU66</f>
        <v>-622.69299999999998</v>
      </c>
      <c r="BW66" s="95"/>
      <c r="BX66" s="4">
        <v>-182.55699999999999</v>
      </c>
      <c r="BY66" s="4">
        <f>-153.73-BX66</f>
        <v>28.826999999999998</v>
      </c>
      <c r="BZ66" s="4">
        <f>-312.007-BY66-BX66</f>
        <v>-158.27700000000002</v>
      </c>
      <c r="CA66" s="95">
        <f>M66-BX66-BY66-BZ66</f>
        <v>-570.42699999999991</v>
      </c>
      <c r="CB66" s="4">
        <v>-37.350999999999999</v>
      </c>
      <c r="CC66" s="4">
        <f>-154.595-CB66</f>
        <v>-117.244</v>
      </c>
      <c r="CD66" s="4">
        <f>-440.78-CC66-CB66</f>
        <v>-286.18499999999995</v>
      </c>
      <c r="CE66" s="95">
        <f>O66-CB66-CC66-CD66</f>
        <v>-357.22</v>
      </c>
      <c r="CF66" s="278">
        <v>-388.899</v>
      </c>
      <c r="CG66" s="278">
        <f>-594.978-CF66</f>
        <v>-206.07899999999995</v>
      </c>
      <c r="CH66" s="4">
        <f>-758.534-CG66-CF66</f>
        <v>-163.55600000000004</v>
      </c>
      <c r="CI66" s="95">
        <f t="shared" si="457"/>
        <v>-193.39700000000005</v>
      </c>
    </row>
    <row r="67" spans="2:90" ht="13.5" customHeight="1">
      <c r="B67" s="7" t="s">
        <v>334</v>
      </c>
      <c r="C67" s="4">
        <f>-85-22349.825</f>
        <v>-22434.825000000001</v>
      </c>
      <c r="D67" s="4">
        <f>-1642.551-72.068+726</f>
        <v>-988.61899999999991</v>
      </c>
      <c r="E67" s="4">
        <f>-3966-78+1033</f>
        <v>-3011</v>
      </c>
      <c r="F67" s="4">
        <f>-14078.18-9.103+333.341</f>
        <v>-13753.941999999999</v>
      </c>
      <c r="G67" s="4">
        <f>598.861+631-3600.06-43.445</f>
        <v>-2413.6440000000002</v>
      </c>
      <c r="H67" s="4">
        <f>-3600.06-43.445</f>
        <v>-3643.5050000000001</v>
      </c>
      <c r="I67" s="4">
        <f>-96.187-48.495</f>
        <v>-144.68199999999999</v>
      </c>
      <c r="J67" s="4">
        <f>-96.187-48.495</f>
        <v>-144.68199999999999</v>
      </c>
      <c r="K67" s="4">
        <f>-3452.613-161.241</f>
        <v>-3613.8539999999998</v>
      </c>
      <c r="L67" s="4">
        <f>-10636.952-1016.161</f>
        <v>-11653.112999999999</v>
      </c>
      <c r="M67" s="4">
        <f>-10636.952-1016.161</f>
        <v>-11653.112999999999</v>
      </c>
      <c r="N67" s="4">
        <f>-6723.735-151+25797.451</f>
        <v>18922.716</v>
      </c>
      <c r="O67" s="4">
        <f>-6519.894-151+25797.451</f>
        <v>19126.557000000001</v>
      </c>
      <c r="P67" s="4">
        <f>-6878.439-560.571</f>
        <v>-7439.01</v>
      </c>
      <c r="Q67" s="4">
        <f>-6546.057-1840.666</f>
        <v>-8386.723</v>
      </c>
      <c r="R67" s="4">
        <f>-13126.634-15.796</f>
        <v>-13142.43</v>
      </c>
      <c r="S67" s="95">
        <f t="shared" si="453"/>
        <v>-13087.694000000001</v>
      </c>
      <c r="U67" s="4">
        <f>-24.782+393.598</f>
        <v>368.81600000000003</v>
      </c>
      <c r="V67" s="4">
        <f>-67.13-38.586+509.231-U67</f>
        <v>34.698999999999955</v>
      </c>
      <c r="W67" s="4">
        <f>-4777.259-38.586+762.845-V67-U67</f>
        <v>-4456.5150000000003</v>
      </c>
      <c r="X67" s="6">
        <f>E67-SUM(U67:W67)</f>
        <v>1042.0000000000005</v>
      </c>
      <c r="Y67" s="4">
        <f>-464.255+26.291</f>
        <v>-437.964</v>
      </c>
      <c r="Z67" s="4">
        <f>-1769.166-0.5+45.962-Y67</f>
        <v>-1285.74</v>
      </c>
      <c r="AA67" s="4">
        <f>-2376.897-9.103+172.218-Z67-Y67</f>
        <v>-490.07800000000015</v>
      </c>
      <c r="AB67" s="6">
        <f>F67-SUM(Y67:AA67)</f>
        <v>-11540.16</v>
      </c>
      <c r="AC67" s="4">
        <v>0</v>
      </c>
      <c r="AD67" s="4">
        <f>-3152.8+171.575-AC67</f>
        <v>-2981.2250000000004</v>
      </c>
      <c r="AE67" s="4">
        <f>-2876.008+273.231-AD67-AC67</f>
        <v>378.44800000000032</v>
      </c>
      <c r="AF67" s="95">
        <f>G67-AE67-AD67-AC67</f>
        <v>189.13299999999981</v>
      </c>
      <c r="AG67" s="4">
        <v>-3.8260000000000001</v>
      </c>
      <c r="AH67" s="4">
        <f>-7.825-AG67</f>
        <v>-3.9990000000000001</v>
      </c>
      <c r="AI67" s="4">
        <f>-94.109-31.957-AH67-AG67</f>
        <v>-118.24100000000001</v>
      </c>
      <c r="AJ67" s="95">
        <f>I67-AI67-AH67-AG67</f>
        <v>-18.615999999999975</v>
      </c>
      <c r="AK67" s="4">
        <f>-627.526-11.271</f>
        <v>-638.79699999999991</v>
      </c>
      <c r="AL67" s="4">
        <f>-3196.206-102.422-AK67</f>
        <v>-2659.8310000000001</v>
      </c>
      <c r="AM67" s="4">
        <f>-3437.533-155.212-AL67-AK67</f>
        <v>-294.11699999999985</v>
      </c>
      <c r="AN67" s="95">
        <f>K67-AM67-AL67-AK67</f>
        <v>-21.109000000000037</v>
      </c>
      <c r="AO67" s="4">
        <f>-1384.239-88.431</f>
        <v>-1472.67</v>
      </c>
      <c r="AP67" s="4">
        <f>-2637.666-235.567-AO67</f>
        <v>-1400.5630000000001</v>
      </c>
      <c r="AQ67" s="4">
        <f>-7057.047-444.292-AP67-AO67</f>
        <v>-4628.1059999999998</v>
      </c>
      <c r="AR67" s="95">
        <f>M67-AQ67-AP67-AO67</f>
        <v>-4151.7739999999994</v>
      </c>
      <c r="AS67" s="4">
        <v>-35.145000000000003</v>
      </c>
      <c r="AT67" s="4">
        <f>-101.729-AS67</f>
        <v>-66.584000000000003</v>
      </c>
      <c r="AU67" s="4">
        <f>-6723.735-102-AT67-AS67</f>
        <v>-6724.0059999999994</v>
      </c>
      <c r="AV67" s="95">
        <f t="shared" si="454"/>
        <v>25748.451000000001</v>
      </c>
      <c r="AW67" s="4">
        <f>-268.264-3932.709</f>
        <v>-4200.973</v>
      </c>
      <c r="AX67" s="4">
        <f>-4836.797-395.156-AW67</f>
        <v>-1030.9799999999996</v>
      </c>
      <c r="AY67" s="4">
        <f>-6469.763-543.198-AX67-AW67</f>
        <v>-1781.0080000000007</v>
      </c>
      <c r="AZ67" s="95">
        <f t="shared" si="455"/>
        <v>-426.04899999999998</v>
      </c>
      <c r="BA67" s="4">
        <f>-1381.599-3359.815</f>
        <v>-4741.4139999999998</v>
      </c>
      <c r="BB67" s="4">
        <f>-6256.349-257-BA67</f>
        <v>-1771.9350000000004</v>
      </c>
      <c r="BC67" s="4">
        <f>-7898.205-289-BB67-BA67</f>
        <v>-1673.8559999999998</v>
      </c>
      <c r="BD67" s="95">
        <f t="shared" si="456"/>
        <v>-199.51800000000003</v>
      </c>
      <c r="BE67" s="4">
        <v>-12.249000000000001</v>
      </c>
      <c r="BF67" s="4">
        <f>-9724.803-211.175-BE67</f>
        <v>-9923.7289999999994</v>
      </c>
      <c r="BG67" s="4">
        <f>-9295.4-152.356-BF67-BE67</f>
        <v>488.22199999999998</v>
      </c>
      <c r="BH67" s="6">
        <f t="shared" si="435"/>
        <v>-3694.6740000000009</v>
      </c>
      <c r="BI67" s="4">
        <v>42.487000000000002</v>
      </c>
      <c r="BJ67" s="4"/>
      <c r="BK67" s="4">
        <v>0</v>
      </c>
      <c r="BL67" s="4">
        <f>-3152.8-39.571-BK67</f>
        <v>-3192.3710000000001</v>
      </c>
      <c r="BM67" s="4">
        <f>-2876.008-88.179-BL67-BK67</f>
        <v>228.1840000000002</v>
      </c>
      <c r="BN67" s="95">
        <f>H67-BM67-BL67-BK67</f>
        <v>-679.31800000000021</v>
      </c>
      <c r="BO67" s="4">
        <f>-7.825-AG67</f>
        <v>-3.9990000000000001</v>
      </c>
      <c r="BP67" s="4">
        <f>-94.109-31.957-BO67-AG67</f>
        <v>-118.24100000000001</v>
      </c>
      <c r="BQ67" s="41" t="e">
        <f>#REF!-Y67-Z67-AA67</f>
        <v>#REF!</v>
      </c>
      <c r="BR67" s="95">
        <f>J67-AG67-AH67-AI67</f>
        <v>-18.615999999999985</v>
      </c>
      <c r="BS67" s="4">
        <f>-627.526-11.271</f>
        <v>-638.79699999999991</v>
      </c>
      <c r="BT67" s="4">
        <f>-3196.206-102.422-BS67</f>
        <v>-2659.8310000000001</v>
      </c>
      <c r="BU67" s="4">
        <f>-3437.533-155.212-BT67-AK67</f>
        <v>-294.11699999999985</v>
      </c>
      <c r="BV67" s="95">
        <f>K67-BS67-BT67-BU67</f>
        <v>-21.10899999999981</v>
      </c>
      <c r="BW67" s="95"/>
      <c r="BX67" s="4">
        <f>(-1384239000-88431000)/1000000</f>
        <v>-1472.67</v>
      </c>
      <c r="BY67" s="4">
        <f>-2637.428-176.654-BX67</f>
        <v>-1341.4119999999998</v>
      </c>
      <c r="BZ67" s="4">
        <f>-7057.211-444.292-BY67-BX67</f>
        <v>-4687.4210000000003</v>
      </c>
      <c r="CA67" s="95">
        <f>M67-BX67-BY67-BZ67</f>
        <v>-4151.6099999999988</v>
      </c>
      <c r="CB67" s="4">
        <v>-35.145000000000003</v>
      </c>
      <c r="CC67" s="4">
        <f>-101.729-CB67</f>
        <v>-66.584000000000003</v>
      </c>
      <c r="CD67" s="4">
        <f>-6503.879-101.729-CC67-CB67</f>
        <v>-6503.8789999999999</v>
      </c>
      <c r="CE67" s="95">
        <f>O67-CB67-CC67-CD67</f>
        <v>25732.165000000001</v>
      </c>
      <c r="CF67" s="278">
        <f>-268.264-3932.709</f>
        <v>-4200.973</v>
      </c>
      <c r="CG67" s="278">
        <f>-4836.797-395.156-CF67</f>
        <v>-1030.9799999999996</v>
      </c>
      <c r="CH67" s="4">
        <f>-6469.763-543.198-CG67-CF67</f>
        <v>-1781.0080000000007</v>
      </c>
      <c r="CI67" s="95">
        <f t="shared" si="457"/>
        <v>-426.04899999999998</v>
      </c>
    </row>
    <row r="68" spans="2:90" ht="13.5" customHeight="1">
      <c r="B68" s="7" t="s">
        <v>335</v>
      </c>
      <c r="C68" s="4">
        <v>0</v>
      </c>
      <c r="D68" s="4">
        <v>211.76300000000001</v>
      </c>
      <c r="E68" s="4">
        <v>249</v>
      </c>
      <c r="F68" s="4">
        <v>314.11099999999999</v>
      </c>
      <c r="G68" s="4">
        <v>386.17200000000003</v>
      </c>
      <c r="H68" s="4">
        <v>386.17200000000003</v>
      </c>
      <c r="I68" s="4">
        <v>329.68</v>
      </c>
      <c r="J68" s="4">
        <v>329.68</v>
      </c>
      <c r="K68" s="4">
        <v>387.3</v>
      </c>
      <c r="L68" s="267">
        <v>373.10500000000002</v>
      </c>
      <c r="M68" s="267">
        <v>373.10500000000002</v>
      </c>
      <c r="N68" s="267">
        <v>739.94399999999996</v>
      </c>
      <c r="O68" s="4">
        <v>739.94399999999996</v>
      </c>
      <c r="P68" s="4">
        <v>809.05799999999999</v>
      </c>
      <c r="Q68" s="4">
        <v>923.66200000000003</v>
      </c>
      <c r="R68" s="4">
        <v>897.15</v>
      </c>
      <c r="S68" s="95">
        <f t="shared" si="453"/>
        <v>809.83600000000001</v>
      </c>
      <c r="U68" s="4">
        <v>50.487000000000002</v>
      </c>
      <c r="V68" s="4">
        <f>93.291-U68</f>
        <v>42.803999999999995</v>
      </c>
      <c r="W68" s="4">
        <f>169-V68-U68</f>
        <v>75.709000000000003</v>
      </c>
      <c r="X68" s="6">
        <f>E68-SUM(U68:W68)</f>
        <v>80</v>
      </c>
      <c r="Y68" s="4">
        <v>56.892000000000003</v>
      </c>
      <c r="Z68" s="4">
        <f>150.767-Y68</f>
        <v>93.875</v>
      </c>
      <c r="AA68" s="4">
        <f>191-Z68-Y68</f>
        <v>40.232999999999997</v>
      </c>
      <c r="AB68" s="6">
        <f>F68-SUM(Y68:AA68)</f>
        <v>123.11099999999999</v>
      </c>
      <c r="AC68" s="4">
        <v>78.489000000000004</v>
      </c>
      <c r="AD68" s="4">
        <f>171.267-AC68</f>
        <v>92.777999999999992</v>
      </c>
      <c r="AE68" s="4">
        <f>271.572-AD68-AC68</f>
        <v>100.30500000000001</v>
      </c>
      <c r="AF68" s="95">
        <f>G68-AE68-AD68-AC68</f>
        <v>114.60000000000002</v>
      </c>
      <c r="AG68" s="4">
        <v>83.632000000000005</v>
      </c>
      <c r="AH68" s="4">
        <f>-AG68</f>
        <v>-83.632000000000005</v>
      </c>
      <c r="AI68" s="4">
        <f>302.299-AH68-AG68</f>
        <v>302.29899999999998</v>
      </c>
      <c r="AJ68" s="95">
        <f>I68-AI68-AH68-AG68</f>
        <v>27.381000000000029</v>
      </c>
      <c r="AK68" s="4">
        <v>108.07899999999999</v>
      </c>
      <c r="AL68" s="4">
        <f>178.82-AK68</f>
        <v>70.741</v>
      </c>
      <c r="AM68" s="4">
        <f>349.972-AL68-AK68</f>
        <v>171.15199999999999</v>
      </c>
      <c r="AN68" s="95">
        <f>K68-AM68-AL68-AK68</f>
        <v>37.328000000000046</v>
      </c>
      <c r="AO68" s="4">
        <v>78.611999999999995</v>
      </c>
      <c r="AP68" s="4">
        <f>160.828-AO68</f>
        <v>82.216000000000008</v>
      </c>
      <c r="AQ68" s="4">
        <f>275.392-AP68-AO68</f>
        <v>114.56399999999999</v>
      </c>
      <c r="AR68" s="95">
        <f>M68-AQ68-AP68-AO68</f>
        <v>97.713000000000051</v>
      </c>
      <c r="AS68" s="4">
        <v>440.49400000000003</v>
      </c>
      <c r="AT68" s="4">
        <f>877.916-AS68</f>
        <v>437.42200000000003</v>
      </c>
      <c r="AU68" s="4">
        <f>1171.772-AT68-AS68</f>
        <v>293.85599999999988</v>
      </c>
      <c r="AV68" s="95">
        <f t="shared" si="454"/>
        <v>-431.82799999999997</v>
      </c>
      <c r="AW68" s="4">
        <v>177.81800000000001</v>
      </c>
      <c r="AX68" s="4">
        <f>325.348-AW68</f>
        <v>147.53</v>
      </c>
      <c r="AY68" s="4">
        <f>441.883-AX68-AW68</f>
        <v>116.53499999999994</v>
      </c>
      <c r="AZ68" s="95">
        <f t="shared" si="455"/>
        <v>367.17500000000007</v>
      </c>
      <c r="BA68" s="4">
        <v>588.87</v>
      </c>
      <c r="BB68" s="4">
        <f>599.645-BA68</f>
        <v>10.774999999999977</v>
      </c>
      <c r="BC68" s="4">
        <f>798.314-BB68-BA68</f>
        <v>198.66899999999998</v>
      </c>
      <c r="BD68" s="95">
        <f t="shared" si="456"/>
        <v>125.34800000000007</v>
      </c>
      <c r="BE68" s="4">
        <v>204.97</v>
      </c>
      <c r="BF68" s="4">
        <f>437.61-BE68</f>
        <v>232.64000000000001</v>
      </c>
      <c r="BG68" s="4">
        <f>563.396-BF68-BE68</f>
        <v>125.78599999999997</v>
      </c>
      <c r="BH68" s="6">
        <f t="shared" si="435"/>
        <v>333.75400000000002</v>
      </c>
      <c r="BI68" s="4">
        <v>117.65600000000001</v>
      </c>
      <c r="BJ68" s="4"/>
      <c r="BK68" s="4">
        <v>78.489000000000004</v>
      </c>
      <c r="BL68" s="4">
        <f>171.267-BK68</f>
        <v>92.777999999999992</v>
      </c>
      <c r="BM68" s="4">
        <f>271.572-BL68-BK68</f>
        <v>100.30500000000001</v>
      </c>
      <c r="BN68" s="95">
        <f>H68-BM68-BL68-BK68</f>
        <v>114.60000000000002</v>
      </c>
      <c r="BO68" s="4">
        <f>-AG68</f>
        <v>-83.632000000000005</v>
      </c>
      <c r="BP68" s="4">
        <f>302.299-BO68-AG68</f>
        <v>302.29899999999998</v>
      </c>
      <c r="BQ68" s="41" t="e">
        <f>#REF!-Y68-Z68-AA68</f>
        <v>#REF!</v>
      </c>
      <c r="BR68" s="95">
        <f>J68-AG68-AH68-AI68</f>
        <v>27.381000000000029</v>
      </c>
      <c r="BS68" s="4">
        <v>108.07899999999999</v>
      </c>
      <c r="BT68" s="4">
        <f>178.82-BS68</f>
        <v>70.741</v>
      </c>
      <c r="BU68" s="4">
        <f>349.972-BT68-AK68</f>
        <v>171.15199999999999</v>
      </c>
      <c r="BV68" s="95">
        <f>K68-BS68-BT68-BU68</f>
        <v>37.328000000000031</v>
      </c>
      <c r="BW68" s="95"/>
      <c r="BX68" s="4">
        <v>78.611999999999995</v>
      </c>
      <c r="BY68" s="4">
        <f>641.445-BX68</f>
        <v>562.83300000000008</v>
      </c>
      <c r="BZ68" s="4">
        <f>269.001-BY68-BX68</f>
        <v>-372.44400000000007</v>
      </c>
      <c r="CA68" s="95">
        <f>M68-BX68-BY68-BZ68</f>
        <v>104.10400000000004</v>
      </c>
      <c r="CB68" s="4">
        <v>440.49400000000003</v>
      </c>
      <c r="CC68" s="4">
        <f>877.916-CB68</f>
        <v>437.42200000000003</v>
      </c>
      <c r="CD68" s="4">
        <f>441.378-CC68-CB68</f>
        <v>-436.53800000000007</v>
      </c>
      <c r="CE68" s="95">
        <f>O68-CB68-CC68-CD68</f>
        <v>298.56599999999997</v>
      </c>
      <c r="CF68" s="278">
        <v>177.81800000000001</v>
      </c>
      <c r="CG68" s="278">
        <f>325.348-CF68</f>
        <v>147.53</v>
      </c>
      <c r="CH68" s="4">
        <f>441.883-CG68-CF68</f>
        <v>116.53499999999994</v>
      </c>
      <c r="CI68" s="95">
        <f t="shared" si="457"/>
        <v>367.17500000000007</v>
      </c>
    </row>
    <row r="69" spans="2:90" ht="13.5" customHeight="1">
      <c r="B69" s="7" t="s">
        <v>336</v>
      </c>
      <c r="C69" s="4">
        <v>0</v>
      </c>
      <c r="D69" s="4">
        <v>0</v>
      </c>
      <c r="E69" s="4">
        <v>-379</v>
      </c>
      <c r="F69" s="4">
        <v>0</v>
      </c>
      <c r="G69" s="4">
        <v>42.484999999999999</v>
      </c>
      <c r="H69" s="4">
        <v>232</v>
      </c>
      <c r="I69" s="4">
        <v>19.100000000000001</v>
      </c>
      <c r="J69" s="4">
        <v>89.02</v>
      </c>
      <c r="K69" s="4">
        <v>0</v>
      </c>
      <c r="L69" s="267">
        <v>0</v>
      </c>
      <c r="M69" s="267">
        <v>0</v>
      </c>
      <c r="N69" s="267">
        <v>0</v>
      </c>
      <c r="O69" s="4">
        <v>0</v>
      </c>
      <c r="P69" s="4">
        <v>0</v>
      </c>
      <c r="Q69" s="4">
        <v>0</v>
      </c>
      <c r="R69" s="4">
        <v>0</v>
      </c>
      <c r="S69" s="95">
        <f t="shared" si="453"/>
        <v>0</v>
      </c>
      <c r="U69" s="4">
        <v>0</v>
      </c>
      <c r="V69" s="4">
        <f>0-U69</f>
        <v>0</v>
      </c>
      <c r="W69" s="4">
        <v>0</v>
      </c>
      <c r="X69" s="6">
        <f>E69-SUM(U69:W69)</f>
        <v>-379</v>
      </c>
      <c r="Y69" s="4">
        <v>0</v>
      </c>
      <c r="Z69" s="4">
        <f>0-Y69</f>
        <v>0</v>
      </c>
      <c r="AA69" s="4">
        <v>0</v>
      </c>
      <c r="AB69" s="6">
        <f>F69-SUM(Y69:AA69)</f>
        <v>0</v>
      </c>
      <c r="AC69" s="4">
        <v>0</v>
      </c>
      <c r="AD69" s="4">
        <f>-39.571+184.099-AC69</f>
        <v>144.52799999999999</v>
      </c>
      <c r="AE69" s="4">
        <f>-88.179+672.671-AD69-AC69</f>
        <v>439.96400000000006</v>
      </c>
      <c r="AF69" s="95">
        <f>G69-AE69-AD69-AC69</f>
        <v>-542.00700000000006</v>
      </c>
      <c r="AG69" s="4">
        <v>129.81800000000001</v>
      </c>
      <c r="AH69" s="4">
        <f>-1.272-AG69</f>
        <v>-131.09</v>
      </c>
      <c r="AI69" s="4">
        <f>-119.77-AH69-AG69</f>
        <v>-118.498</v>
      </c>
      <c r="AJ69" s="95">
        <f>I69-AI69-AH69-AG69</f>
        <v>138.86999999999998</v>
      </c>
      <c r="AK69" s="4">
        <v>-73.66</v>
      </c>
      <c r="AL69" s="4">
        <f>-109.147-AK69</f>
        <v>-35.487000000000009</v>
      </c>
      <c r="AM69" s="4">
        <f>-16.186-AL69-AK69</f>
        <v>92.961000000000013</v>
      </c>
      <c r="AN69" s="95">
        <f>K69-AM69-AL69-AK69</f>
        <v>16.185999999999993</v>
      </c>
      <c r="AO69" s="4">
        <v>-145.40600000000001</v>
      </c>
      <c r="AP69" s="4">
        <f>-472.591-AO69</f>
        <v>-327.185</v>
      </c>
      <c r="AQ69" s="4">
        <f>-880.78-AP69-AO69</f>
        <v>-408.18900000000002</v>
      </c>
      <c r="AR69" s="95">
        <f>M69-AQ69-AP69-AO69</f>
        <v>880.78</v>
      </c>
      <c r="AS69" s="4">
        <v>0</v>
      </c>
      <c r="AT69" s="4">
        <f>27.025-359.989-AS69</f>
        <v>-332.964</v>
      </c>
      <c r="AU69" s="4">
        <f>-1553.753+38-AT69-AS69</f>
        <v>-1182.789</v>
      </c>
      <c r="AV69" s="95">
        <f t="shared" si="454"/>
        <v>1515.7529999999999</v>
      </c>
      <c r="AW69" s="4">
        <v>0</v>
      </c>
      <c r="AX69" s="4">
        <f>59.154-AW69</f>
        <v>59.154000000000003</v>
      </c>
      <c r="AY69" s="4">
        <f>0+85.956-AX69-AW69</f>
        <v>26.802</v>
      </c>
      <c r="AZ69" s="95">
        <f t="shared" si="455"/>
        <v>-85.956000000000003</v>
      </c>
      <c r="BA69" s="4">
        <v>0</v>
      </c>
      <c r="BB69" s="4">
        <f>90-BA69</f>
        <v>90</v>
      </c>
      <c r="BC69" s="4">
        <f>0+111-BB69-BA69</f>
        <v>21</v>
      </c>
      <c r="BD69" s="95">
        <f t="shared" si="456"/>
        <v>-111</v>
      </c>
      <c r="BE69" s="4">
        <v>0</v>
      </c>
      <c r="BF69" s="4">
        <f>0-BE69</f>
        <v>0</v>
      </c>
      <c r="BG69" s="4">
        <f>0-BF69-BE69</f>
        <v>0</v>
      </c>
      <c r="BH69" s="6">
        <f t="shared" si="435"/>
        <v>0</v>
      </c>
      <c r="BI69" s="4">
        <v>0</v>
      </c>
      <c r="BJ69" s="4"/>
      <c r="BK69" s="4">
        <v>0</v>
      </c>
      <c r="BL69" s="4">
        <f>184.099-BK69</f>
        <v>184.09899999999999</v>
      </c>
      <c r="BM69" s="4">
        <f>672.671-BL69-BK69</f>
        <v>488.57200000000006</v>
      </c>
      <c r="BN69" s="95">
        <f>H69-BM69-BL69-BK69</f>
        <v>-440.67100000000005</v>
      </c>
      <c r="BO69" s="4">
        <f>-1.272-AG69</f>
        <v>-131.09</v>
      </c>
      <c r="BP69" s="4">
        <f>-119.77-BO69-AG69</f>
        <v>-118.498</v>
      </c>
      <c r="BQ69" s="41" t="e">
        <f>#REF!-Y69-Z69-AA69</f>
        <v>#REF!</v>
      </c>
      <c r="BR69" s="95">
        <f>J69-AG69-AH69-AI69</f>
        <v>208.79</v>
      </c>
      <c r="BS69" s="4">
        <f>-73.66+1.68</f>
        <v>-71.97999999999999</v>
      </c>
      <c r="BT69" s="4">
        <f>-109.147-BS69</f>
        <v>-37.167000000000016</v>
      </c>
      <c r="BU69" s="4">
        <f>-16.186-BT69-AK69</f>
        <v>94.64100000000002</v>
      </c>
      <c r="BV69" s="95">
        <f>K69-BS69-BT69-BU69</f>
        <v>14.505999999999986</v>
      </c>
      <c r="BW69" s="95"/>
      <c r="BX69" s="4">
        <v>0</v>
      </c>
      <c r="BY69" s="4">
        <f>22.329-402.958-BX69</f>
        <v>-380.62900000000002</v>
      </c>
      <c r="BZ69" s="4">
        <f>-863.586+42.935-BY69-BX69</f>
        <v>-440.02200000000005</v>
      </c>
      <c r="CA69" s="95">
        <f>M69-BX69-BY69-BZ69</f>
        <v>820.65100000000007</v>
      </c>
      <c r="CB69" s="4">
        <v>0</v>
      </c>
      <c r="CC69" s="4">
        <f>27.025-359.989-CB69</f>
        <v>-332.964</v>
      </c>
      <c r="CD69" s="4">
        <f>0+37.551-CC69-CB69</f>
        <v>370.51499999999999</v>
      </c>
      <c r="CE69" s="95">
        <f>O69-CB69-CC69-CD69</f>
        <v>-37.550999999999988</v>
      </c>
      <c r="CF69" s="278">
        <v>0</v>
      </c>
      <c r="CG69" s="278">
        <f>59.154-CF69</f>
        <v>59.154000000000003</v>
      </c>
      <c r="CH69" s="4">
        <f>0+85.956-CG69-CF69</f>
        <v>26.802</v>
      </c>
      <c r="CI69" s="95">
        <f t="shared" si="457"/>
        <v>-85.956000000000003</v>
      </c>
    </row>
    <row r="70" spans="2:90" s="5" customFormat="1" ht="13.5" customHeight="1">
      <c r="B70" s="15" t="s">
        <v>337</v>
      </c>
      <c r="C70" s="8">
        <f>SUM(C64:C69)</f>
        <v>-18715.557000000001</v>
      </c>
      <c r="D70" s="8">
        <f>SUM(D64:D69)</f>
        <v>5556.8330000000024</v>
      </c>
      <c r="E70" s="8">
        <f>SUM(E64:E69)</f>
        <v>922.58699999999953</v>
      </c>
      <c r="F70" s="8">
        <f>SUM(F64:F69)</f>
        <v>-3494.0410000000038</v>
      </c>
      <c r="G70" s="8">
        <f>SUM(G64:G69)</f>
        <v>1684.6830000000052</v>
      </c>
      <c r="H70" s="8">
        <f t="shared" ref="H70:U70" si="458">SUM(H64:H69)</f>
        <v>-171.77399999999898</v>
      </c>
      <c r="I70" s="8">
        <f t="shared" si="458"/>
        <v>17418.690000000002</v>
      </c>
      <c r="J70" s="8">
        <f t="shared" si="458"/>
        <v>17533.316000000003</v>
      </c>
      <c r="K70" s="8">
        <f t="shared" si="458"/>
        <v>17817.888000000003</v>
      </c>
      <c r="L70" s="8">
        <f t="shared" si="458"/>
        <v>5582.108000000002</v>
      </c>
      <c r="M70" s="8">
        <f t="shared" si="458"/>
        <v>3272.8670000000025</v>
      </c>
      <c r="N70" s="8">
        <f t="shared" si="458"/>
        <v>26470.794999999998</v>
      </c>
      <c r="O70" s="8">
        <f t="shared" si="458"/>
        <v>23111.336000000003</v>
      </c>
      <c r="P70" s="8">
        <f t="shared" si="458"/>
        <v>-19674.722999999994</v>
      </c>
      <c r="Q70" s="8">
        <f t="shared" si="458"/>
        <v>-8077.5109999999931</v>
      </c>
      <c r="R70" s="8">
        <f t="shared" si="458"/>
        <v>-2117.1879999999996</v>
      </c>
      <c r="S70" s="8">
        <f t="shared" si="458"/>
        <v>6175.9850000000069</v>
      </c>
      <c r="U70" s="8">
        <f t="shared" si="458"/>
        <v>479.68200000000019</v>
      </c>
      <c r="V70" s="8">
        <f t="shared" ref="V70" si="459">SUM(V64:V69)</f>
        <v>-455.15200000000027</v>
      </c>
      <c r="W70" s="8">
        <f t="shared" ref="W70" si="460">SUM(W64:W69)</f>
        <v>-1436.5300000000013</v>
      </c>
      <c r="X70" s="8">
        <f t="shared" ref="X70" si="461">SUM(X64:X69)</f>
        <v>2334.5870000000009</v>
      </c>
      <c r="Y70" s="8">
        <f t="shared" ref="Y70" si="462">SUM(Y64:Y69)</f>
        <v>-460.0750000000001</v>
      </c>
      <c r="Z70" s="8">
        <f t="shared" ref="Z70" si="463">SUM(Z64:Z69)</f>
        <v>1826.6870000000001</v>
      </c>
      <c r="AA70" s="8">
        <f t="shared" ref="AA70" si="464">SUM(AA64:AA69)</f>
        <v>1240.3879999999986</v>
      </c>
      <c r="AB70" s="8">
        <f t="shared" ref="AB70" si="465">SUM(AB64:AB69)</f>
        <v>-6101.0410000000038</v>
      </c>
      <c r="AC70" s="8">
        <f t="shared" ref="AC70" si="466">SUM(AC64:AC69)</f>
        <v>-2684.3409999999994</v>
      </c>
      <c r="AD70" s="8">
        <f t="shared" ref="AD70" si="467">SUM(AD64:AD69)</f>
        <v>-2778.2810000000009</v>
      </c>
      <c r="AE70" s="8">
        <f t="shared" ref="AE70" si="468">SUM(AE64:AE69)</f>
        <v>2030.8789999999981</v>
      </c>
      <c r="AF70" s="8">
        <f t="shared" ref="AF70" si="469">SUM(AF64:AF69)</f>
        <v>5116.4260000000049</v>
      </c>
      <c r="AG70" s="8">
        <f t="shared" ref="AG70" si="470">SUM(AG64:AG69)</f>
        <v>919.8959999999995</v>
      </c>
      <c r="AH70" s="8">
        <f t="shared" ref="AH70" si="471">SUM(AH64:AH69)</f>
        <v>4740.8250000000007</v>
      </c>
      <c r="AI70" s="8">
        <f t="shared" ref="AI70" si="472">SUM(AI64:AI69)</f>
        <v>6115.3820000000014</v>
      </c>
      <c r="AJ70" s="8">
        <f t="shared" ref="AJ70" si="473">SUM(AJ64:AJ69)</f>
        <v>5642.5870000000004</v>
      </c>
      <c r="AK70" s="8">
        <f t="shared" ref="AK70" si="474">SUM(AK64:AK69)</f>
        <v>1955.8290000000002</v>
      </c>
      <c r="AL70" s="8">
        <f t="shared" ref="AL70" si="475">SUM(AL64:AL69)</f>
        <v>2052.8359999999966</v>
      </c>
      <c r="AM70" s="8">
        <f t="shared" ref="AM70" si="476">SUM(AM64:AM69)</f>
        <v>5664.4590000000017</v>
      </c>
      <c r="AN70" s="8">
        <f t="shared" ref="AN70" si="477">SUM(AN64:AN69)</f>
        <v>8144.7640000000029</v>
      </c>
      <c r="AO70" s="8">
        <f t="shared" ref="AO70" si="478">SUM(AO64:AO69)</f>
        <v>2452.9649999999992</v>
      </c>
      <c r="AP70" s="8">
        <f t="shared" ref="AP70" si="479">SUM(AP64:AP69)</f>
        <v>1791.8179999999993</v>
      </c>
      <c r="AQ70" s="8">
        <f t="shared" ref="AQ70" si="480">SUM(AQ64:AQ69)</f>
        <v>-649.64700000000175</v>
      </c>
      <c r="AR70" s="8">
        <f t="shared" ref="AR70" si="481">SUM(AR64:AR69)</f>
        <v>-322.26899999999887</v>
      </c>
      <c r="AS70" s="8">
        <f t="shared" ref="AS70" si="482">SUM(AS64:AS69)</f>
        <v>1368.6320000000005</v>
      </c>
      <c r="AT70" s="8">
        <f t="shared" ref="AT70" si="483">SUM(AT64:AT69)</f>
        <v>5023.9560000000019</v>
      </c>
      <c r="AU70" s="8">
        <f t="shared" ref="AU70" si="484">SUM(AU64:AU69)</f>
        <v>-5264.9210000000012</v>
      </c>
      <c r="AV70" s="8">
        <f t="shared" ref="AV70" si="485">SUM(AV64:AV69)</f>
        <v>25343.128000000004</v>
      </c>
      <c r="AW70" s="8">
        <f t="shared" ref="AW70" si="486">SUM(AW64:AW69)</f>
        <v>-9207.6650000000009</v>
      </c>
      <c r="AX70" s="8">
        <f t="shared" ref="AX70" si="487">SUM(AX64:AX69)</f>
        <v>-5831.6479999999974</v>
      </c>
      <c r="AY70" s="8">
        <f t="shared" ref="AY70" si="488">SUM(AY64:AY69)</f>
        <v>-1026.5180000000021</v>
      </c>
      <c r="AZ70" s="8">
        <f t="shared" ref="AZ70" si="489">SUM(AZ64:AZ69)</f>
        <v>-3608.8920000000007</v>
      </c>
      <c r="BA70" s="8">
        <f t="shared" ref="BA70" si="490">SUM(BA64:BA69)</f>
        <v>-3180.5820000000012</v>
      </c>
      <c r="BB70" s="8">
        <f t="shared" ref="BB70" si="491">SUM(BB64:BB69)</f>
        <v>-3962.8500000000004</v>
      </c>
      <c r="BC70" s="8">
        <f t="shared" ref="BC70" si="492">SUM(BC64:BC69)</f>
        <v>-407.16099999999904</v>
      </c>
      <c r="BD70" s="8">
        <f t="shared" ref="BD70" si="493">SUM(BD64:BD69)</f>
        <v>-526.91799999999853</v>
      </c>
      <c r="BE70" s="8">
        <f t="shared" ref="BE70" si="494">SUM(BE64:BE69)</f>
        <v>1211.8369999999979</v>
      </c>
      <c r="BF70" s="8">
        <f t="shared" ref="BF70" si="495">SUM(BF64:BF69)</f>
        <v>-6430.1449999999995</v>
      </c>
      <c r="BG70" s="8">
        <f t="shared" ref="BG70" si="496">SUM(BG64:BG69)</f>
        <v>6121.6710000000021</v>
      </c>
      <c r="BH70" s="8">
        <f t="shared" ref="BH70:BI70" si="497">SUM(BH64:BH69)</f>
        <v>-3020.5509999999954</v>
      </c>
      <c r="BI70" s="8">
        <f t="shared" si="497"/>
        <v>9505.0099999999984</v>
      </c>
      <c r="BJ70" s="8"/>
      <c r="BK70" s="8">
        <f t="shared" ref="BK70:BV70" si="498">SUM(BK64:BK69)</f>
        <v>-2673.3409999999994</v>
      </c>
      <c r="BL70" s="8">
        <f t="shared" si="498"/>
        <v>-2793.2810000000004</v>
      </c>
      <c r="BM70" s="8">
        <f t="shared" si="498"/>
        <v>2030.8789999999972</v>
      </c>
      <c r="BN70" s="8">
        <f t="shared" si="498"/>
        <v>3263.9690000000019</v>
      </c>
      <c r="BO70" s="8">
        <f t="shared" si="498"/>
        <v>4771.8250000000007</v>
      </c>
      <c r="BP70" s="8">
        <f t="shared" si="498"/>
        <v>6132.3820000000014</v>
      </c>
      <c r="BQ70" s="8" t="e">
        <f t="shared" si="498"/>
        <v>#REF!</v>
      </c>
      <c r="BR70" s="8">
        <f t="shared" si="498"/>
        <v>8994.2130000000016</v>
      </c>
      <c r="BS70" s="8">
        <f t="shared" si="498"/>
        <v>1969.5090000000002</v>
      </c>
      <c r="BT70" s="8">
        <f t="shared" si="498"/>
        <v>2060.1559999999968</v>
      </c>
      <c r="BU70" s="8">
        <f t="shared" si="498"/>
        <v>5678.139000000001</v>
      </c>
      <c r="BV70" s="8">
        <f t="shared" si="498"/>
        <v>40527.08400000001</v>
      </c>
      <c r="BW70" s="8"/>
      <c r="BX70" s="8">
        <f t="shared" ref="BX70:CI70" si="499">SUM(BX64:BX69)</f>
        <v>3490.2039999999997</v>
      </c>
      <c r="BY70" s="8">
        <f t="shared" si="499"/>
        <v>5681.7630000000017</v>
      </c>
      <c r="BZ70" s="8">
        <f t="shared" si="499"/>
        <v>-2387.3220000000015</v>
      </c>
      <c r="CA70" s="8">
        <f t="shared" si="499"/>
        <v>-3511.7779999999975</v>
      </c>
      <c r="CB70" s="8">
        <f t="shared" si="499"/>
        <v>1355.9440000000004</v>
      </c>
      <c r="CC70" s="8">
        <f t="shared" si="499"/>
        <v>4452.8169999999991</v>
      </c>
      <c r="CD70" s="8">
        <f t="shared" si="499"/>
        <v>-3537.3910000000037</v>
      </c>
      <c r="CE70" s="8">
        <f t="shared" si="499"/>
        <v>20839.966000000004</v>
      </c>
      <c r="CF70" s="8">
        <f t="shared" si="499"/>
        <v>-9227.9360000000015</v>
      </c>
      <c r="CG70" s="8">
        <f t="shared" si="499"/>
        <v>-5845.2069999999985</v>
      </c>
      <c r="CH70" s="8">
        <f t="shared" si="499"/>
        <v>-1050.4650000000022</v>
      </c>
      <c r="CI70" s="8">
        <f t="shared" si="499"/>
        <v>-3551.1149999999989</v>
      </c>
    </row>
    <row r="71" spans="2:90" ht="13.5" customHeight="1">
      <c r="B71" s="7" t="s">
        <v>338</v>
      </c>
      <c r="C71" s="4"/>
      <c r="D71" s="4"/>
      <c r="E71" s="4"/>
      <c r="F71" s="4"/>
      <c r="G71" s="4"/>
      <c r="H71" s="4"/>
      <c r="I71" s="4"/>
      <c r="J71" s="4"/>
      <c r="K71" s="4"/>
      <c r="L71" s="267"/>
      <c r="M71" s="267"/>
      <c r="N71" s="267">
        <v>-344.26799999999997</v>
      </c>
      <c r="O71" s="4">
        <v>270.86700000000002</v>
      </c>
      <c r="P71" s="4">
        <v>85.956000000000003</v>
      </c>
      <c r="Q71" s="4">
        <v>207</v>
      </c>
      <c r="R71" s="4">
        <v>158</v>
      </c>
      <c r="S71" s="95">
        <f t="shared" ref="S71:S77" si="500">SUM(BF71:BI71)</f>
        <v>-552.86699999999996</v>
      </c>
      <c r="U71" s="4"/>
      <c r="V71" s="4"/>
      <c r="W71" s="4"/>
      <c r="X71" s="6"/>
      <c r="Y71" s="4"/>
      <c r="Z71" s="4"/>
      <c r="AA71" s="4"/>
      <c r="AB71" s="6"/>
      <c r="AC71" s="4"/>
      <c r="AD71" s="4"/>
      <c r="AE71" s="4"/>
      <c r="AF71" s="95"/>
      <c r="AG71" s="4"/>
      <c r="AH71" s="4"/>
      <c r="AI71" s="4"/>
      <c r="AJ71" s="95"/>
      <c r="AK71" s="4"/>
      <c r="AL71" s="4"/>
      <c r="AM71" s="4"/>
      <c r="AN71" s="95"/>
      <c r="AO71" s="4"/>
      <c r="AP71" s="4"/>
      <c r="AQ71" s="4"/>
      <c r="AR71" s="95"/>
      <c r="AS71" s="4"/>
      <c r="AT71" s="4"/>
      <c r="AU71" s="4"/>
      <c r="AV71" s="95">
        <f>N71-AU71-AT71-AS71</f>
        <v>-344.26799999999997</v>
      </c>
      <c r="AW71" s="4">
        <v>-20.975000000000001</v>
      </c>
      <c r="AX71" s="4">
        <f>-105-AW71</f>
        <v>-84.025000000000006</v>
      </c>
      <c r="AY71" s="4">
        <f>155.06-AX71-AW71</f>
        <v>260.06</v>
      </c>
      <c r="AZ71" s="95">
        <f>P71-AY71-AX71-AW71</f>
        <v>-69.103999999999985</v>
      </c>
      <c r="BA71" s="4">
        <v>-155.38900000000001</v>
      </c>
      <c r="BB71" s="4">
        <f>-281.136-BA71</f>
        <v>-125.74700000000001</v>
      </c>
      <c r="BC71" s="4">
        <f>-16.192-BB71-BA71</f>
        <v>264.94400000000002</v>
      </c>
      <c r="BD71" s="95">
        <f>Q71-BC71-BB71-BA71</f>
        <v>223.19200000000001</v>
      </c>
      <c r="BE71" s="4">
        <v>-1.3080000000000001</v>
      </c>
      <c r="BF71" s="4">
        <f>-16.999+122-BE71</f>
        <v>106.30900000000001</v>
      </c>
      <c r="BG71" s="4">
        <f>-588.11+144.627-BF71-BE71</f>
        <v>-548.48400000000004</v>
      </c>
      <c r="BH71" s="6">
        <f>R71-SUM(BE71:BG71)</f>
        <v>601.48300000000006</v>
      </c>
      <c r="BI71" s="4">
        <f>-718.175+6</f>
        <v>-712.17499999999995</v>
      </c>
      <c r="BJ71" s="4"/>
      <c r="BK71" s="4"/>
      <c r="BL71" s="4"/>
      <c r="BM71" s="4"/>
      <c r="BN71" s="95"/>
      <c r="BO71" s="4"/>
      <c r="BP71" s="4"/>
      <c r="BQ71" s="41"/>
      <c r="BR71" s="95"/>
      <c r="BS71" s="4"/>
      <c r="BT71" s="4"/>
      <c r="BU71" s="4"/>
      <c r="BV71" s="95"/>
      <c r="BW71" s="95"/>
      <c r="BX71" s="4"/>
      <c r="BY71" s="4"/>
      <c r="BZ71" s="4"/>
      <c r="CA71" s="95"/>
      <c r="CB71" s="4"/>
      <c r="CC71" s="4"/>
      <c r="CD71" s="4">
        <f>-1470.622-CC71-CB71</f>
        <v>-1470.6220000000001</v>
      </c>
      <c r="CE71" s="95"/>
      <c r="CF71" s="278">
        <v>-20.975000000000001</v>
      </c>
      <c r="CG71" s="278">
        <f>-105-CF71</f>
        <v>-84.025000000000006</v>
      </c>
      <c r="CH71" s="4">
        <f>155.06-CG71-CF71</f>
        <v>260.06</v>
      </c>
      <c r="CI71" s="95">
        <f>P71-CF71-CG71-CH71</f>
        <v>-69.103999999999985</v>
      </c>
    </row>
    <row r="72" spans="2:90" ht="13.5" customHeight="1">
      <c r="B72" s="7" t="s">
        <v>339</v>
      </c>
      <c r="C72" s="4">
        <f>16922.62-5000</f>
        <v>11922.619999999999</v>
      </c>
      <c r="D72" s="4">
        <v>1</v>
      </c>
      <c r="E72" s="4">
        <v>0</v>
      </c>
      <c r="F72" s="4">
        <v>-57.118000000000002</v>
      </c>
      <c r="G72" s="4">
        <f>8986.118-1107.694</f>
        <v>7878.4240000000009</v>
      </c>
      <c r="H72" s="4">
        <f>8986.118-1107.694</f>
        <v>7878.4240000000009</v>
      </c>
      <c r="I72" s="4">
        <v>-1747.684</v>
      </c>
      <c r="J72" s="4">
        <v>-1747.684</v>
      </c>
      <c r="K72" s="4">
        <v>-3739.7849999999999</v>
      </c>
      <c r="L72" s="267">
        <v>-1900.732</v>
      </c>
      <c r="M72" s="267">
        <v>-1900.732</v>
      </c>
      <c r="N72" s="267">
        <v>-2568.0790000000002</v>
      </c>
      <c r="O72" s="4">
        <v>-2568.0790000000002</v>
      </c>
      <c r="P72" s="4">
        <v>-3586.3449999999998</v>
      </c>
      <c r="Q72" s="4">
        <v>-4432.2420000000002</v>
      </c>
      <c r="R72" s="4">
        <v>-1253.184</v>
      </c>
      <c r="S72" s="95">
        <f t="shared" si="500"/>
        <v>-654.94799999999998</v>
      </c>
      <c r="U72" s="4">
        <v>-0.11700000000000001</v>
      </c>
      <c r="V72" s="4">
        <f>-0.199-U72</f>
        <v>-8.2000000000000003E-2</v>
      </c>
      <c r="W72" s="4">
        <f>0-V72-U72</f>
        <v>0.19900000000000001</v>
      </c>
      <c r="X72" s="6">
        <f>E72-SUM(U72:W72)</f>
        <v>0</v>
      </c>
      <c r="Y72" s="4">
        <v>-8.4649999999999999</v>
      </c>
      <c r="Z72" s="4">
        <f>-7.712-Y72</f>
        <v>0.75300000000000011</v>
      </c>
      <c r="AA72" s="4">
        <f>0-Z72-Y72</f>
        <v>7.7119999999999997</v>
      </c>
      <c r="AB72" s="6">
        <f>F72-SUM(Y72:AA72)</f>
        <v>-57.118000000000002</v>
      </c>
      <c r="AC72" s="4">
        <v>-14.48</v>
      </c>
      <c r="AD72" s="4">
        <f>-273.077-AC72</f>
        <v>-258.59699999999998</v>
      </c>
      <c r="AE72" s="4">
        <f>-966.703-AD72-AC72</f>
        <v>-693.62599999999998</v>
      </c>
      <c r="AF72" s="95">
        <f t="shared" ref="AF72:AF77" si="501">G72-AE72-AD72-AC72</f>
        <v>8845.1270000000004</v>
      </c>
      <c r="AG72" s="4">
        <v>0</v>
      </c>
      <c r="AH72" s="4">
        <f>-355.009-AG72</f>
        <v>-355.00900000000001</v>
      </c>
      <c r="AI72" s="4">
        <f>-1746.984-AH72-AG72</f>
        <v>-1391.9749999999999</v>
      </c>
      <c r="AJ72" s="95">
        <f t="shared" ref="AJ72:AJ77" si="502">I72-AI72-AH72-AG72</f>
        <v>-0.70000000000004547</v>
      </c>
      <c r="AK72" s="4">
        <v>-1458.2670000000001</v>
      </c>
      <c r="AL72" s="4">
        <f>-3106.434-AK72</f>
        <v>-1648.1670000000001</v>
      </c>
      <c r="AM72" s="4">
        <f>-3300.303-AL72-AK72-647.946</f>
        <v>-841.81499999999971</v>
      </c>
      <c r="AN72" s="95">
        <f t="shared" ref="AN72:AN77" si="503">K72-AM72-AL72-AK72</f>
        <v>208.46399999999994</v>
      </c>
      <c r="AO72" s="4">
        <v>0</v>
      </c>
      <c r="AP72" s="4">
        <f>-1777.12-AO72</f>
        <v>-1777.12</v>
      </c>
      <c r="AQ72" s="4">
        <f>-1900.732-AP72-AO72</f>
        <v>-123.61200000000008</v>
      </c>
      <c r="AR72" s="95">
        <f t="shared" ref="AR72:AR77" si="504">M72-AQ72-AP72-AO72</f>
        <v>0</v>
      </c>
      <c r="AS72" s="4">
        <v>0</v>
      </c>
      <c r="AT72" s="4">
        <f>-2461.306-AS72</f>
        <v>-2461.306</v>
      </c>
      <c r="AU72" s="4">
        <f>-2568.079-AT72-AS72</f>
        <v>-106.77300000000014</v>
      </c>
      <c r="AV72" s="95">
        <f t="shared" ref="AV72:AV77" si="505">N72-AU72-AT72-AS72</f>
        <v>0</v>
      </c>
      <c r="AW72" s="4">
        <v>-13.907999999999999</v>
      </c>
      <c r="AX72" s="4">
        <f>-315.184-AW72</f>
        <v>-301.27600000000001</v>
      </c>
      <c r="AY72" s="4">
        <f>-2779.756-AX72-AW72</f>
        <v>-2464.5720000000001</v>
      </c>
      <c r="AZ72" s="95">
        <f t="shared" ref="AZ72:AZ77" si="506">P72-AY72-AX72-AW72</f>
        <v>-806.5889999999996</v>
      </c>
      <c r="BA72" s="4">
        <v>-268.57400000000001</v>
      </c>
      <c r="BB72" s="4">
        <f>-2827.513-BA72</f>
        <v>-2558.9389999999999</v>
      </c>
      <c r="BC72" s="4">
        <f>-3809.278-BB72-BA72</f>
        <v>-981.76499999999987</v>
      </c>
      <c r="BD72" s="95">
        <f t="shared" ref="BD72:BD77" si="507">Q72-BC72-BB72-BA72</f>
        <v>-622.9640000000004</v>
      </c>
      <c r="BE72" s="4">
        <v>-647.20600000000002</v>
      </c>
      <c r="BF72" s="4">
        <f>-1183.943-BE72</f>
        <v>-536.73699999999997</v>
      </c>
      <c r="BG72" s="4">
        <f>-1253.184-BF72-BE72</f>
        <v>-69.240999999999985</v>
      </c>
      <c r="BH72" s="6">
        <f t="shared" si="435"/>
        <v>0</v>
      </c>
      <c r="BI72" s="4">
        <v>-48.97</v>
      </c>
      <c r="BJ72" s="4"/>
      <c r="BK72" s="4">
        <v>-14.48</v>
      </c>
      <c r="BL72" s="4">
        <f>-273.077+8986.118-BK72</f>
        <v>8727.5210000000006</v>
      </c>
      <c r="BM72" s="4">
        <f>-966.703+8838.9-BL72-BK72</f>
        <v>-840.84400000000051</v>
      </c>
      <c r="BN72" s="95">
        <f t="shared" ref="BN72:BN77" si="508">H72-BM72-BL72-BK72</f>
        <v>6.2270000000012082</v>
      </c>
      <c r="BO72" s="4">
        <f>-355.009-AG72</f>
        <v>-355.00900000000001</v>
      </c>
      <c r="BP72" s="4">
        <f>-1746.984-BO72-AG72-610.996</f>
        <v>-2002.971</v>
      </c>
      <c r="BQ72" s="41" t="e">
        <f>#REF!-Y72-Z72-AA72</f>
        <v>#REF!</v>
      </c>
      <c r="BR72" s="95">
        <f t="shared" ref="BR72:BR77" si="509">J72-AG72-AH72-AI72</f>
        <v>-0.70000000000004547</v>
      </c>
      <c r="BS72" s="4">
        <v>0</v>
      </c>
      <c r="BT72" s="4">
        <f>-3106.434-BS72</f>
        <v>-3106.4340000000002</v>
      </c>
      <c r="BU72" s="4">
        <f>-3300.303-BT72-AK72-647.946</f>
        <v>616.45200000000034</v>
      </c>
      <c r="BV72" s="95">
        <f t="shared" ref="BV72:BV77" si="510">K72-BS72-BT72-BU72</f>
        <v>-1249.8029999999999</v>
      </c>
      <c r="BW72" s="95"/>
      <c r="BX72" s="4">
        <v>-749.16</v>
      </c>
      <c r="BY72" s="4">
        <f>-1777.12-BX72</f>
        <v>-1027.96</v>
      </c>
      <c r="BZ72" s="4">
        <f>-1900.732-BY72-BX72</f>
        <v>-123.61199999999997</v>
      </c>
      <c r="CA72" s="95">
        <f t="shared" ref="CA72:CA77" si="511">M72-BX72-BY72-BZ72</f>
        <v>-1.1368683772161603E-13</v>
      </c>
      <c r="CB72" s="4">
        <v>0</v>
      </c>
      <c r="CC72" s="4">
        <f>-2461.306-CB72</f>
        <v>-2461.306</v>
      </c>
      <c r="CD72" s="4">
        <f>-2568.079-CC72-CB72</f>
        <v>-106.77300000000014</v>
      </c>
      <c r="CE72" s="95">
        <f t="shared" ref="CE72:CE77" si="512">O72-CB72-CC72-CD72</f>
        <v>0</v>
      </c>
      <c r="CF72" s="4">
        <v>-13.907999999999999</v>
      </c>
      <c r="CG72" s="4">
        <f>-315.184-CF72</f>
        <v>-301.27600000000001</v>
      </c>
      <c r="CH72" s="4">
        <f>-2779.756-77.846-CG72-CF72</f>
        <v>-2542.4180000000001</v>
      </c>
      <c r="CI72" s="95">
        <f t="shared" ref="CI72:CI76" si="513">P72-CF72-CG72-CH72</f>
        <v>-728.74299999999994</v>
      </c>
    </row>
    <row r="73" spans="2:90" ht="13.5" customHeight="1">
      <c r="B73" s="7" t="s">
        <v>340</v>
      </c>
      <c r="C73" s="4"/>
      <c r="D73" s="4"/>
      <c r="E73" s="4"/>
      <c r="F73" s="4"/>
      <c r="G73" s="4"/>
      <c r="H73" s="4">
        <v>0</v>
      </c>
      <c r="I73" s="4">
        <v>0</v>
      </c>
      <c r="J73" s="4">
        <v>0</v>
      </c>
      <c r="K73" s="4">
        <v>0</v>
      </c>
      <c r="L73" s="267">
        <v>0</v>
      </c>
      <c r="M73" s="267">
        <v>0</v>
      </c>
      <c r="N73" s="267">
        <v>0</v>
      </c>
      <c r="O73" s="4">
        <v>0</v>
      </c>
      <c r="P73" s="4">
        <v>0</v>
      </c>
      <c r="Q73" s="4">
        <v>0</v>
      </c>
      <c r="R73" s="4">
        <v>0</v>
      </c>
      <c r="S73" s="95">
        <f t="shared" si="500"/>
        <v>0</v>
      </c>
      <c r="U73" s="4"/>
      <c r="V73" s="4"/>
      <c r="W73" s="4"/>
      <c r="X73" s="6"/>
      <c r="Y73" s="4"/>
      <c r="Z73" s="4"/>
      <c r="AA73" s="4"/>
      <c r="AB73" s="6"/>
      <c r="AC73" s="4">
        <v>0</v>
      </c>
      <c r="AD73" s="4">
        <f>8986.118</f>
        <v>8986.1180000000004</v>
      </c>
      <c r="AE73" s="4">
        <f>8838.9-AD73-AC73</f>
        <v>-147.21800000000076</v>
      </c>
      <c r="AF73" s="95">
        <f t="shared" si="501"/>
        <v>-8838.9</v>
      </c>
      <c r="AG73" s="4">
        <v>0</v>
      </c>
      <c r="AH73" s="4">
        <f>-AG73</f>
        <v>0</v>
      </c>
      <c r="AI73" s="4">
        <f>-AH73-AG73</f>
        <v>0</v>
      </c>
      <c r="AJ73" s="95">
        <f t="shared" si="502"/>
        <v>0</v>
      </c>
      <c r="AK73" s="4">
        <v>0</v>
      </c>
      <c r="AL73" s="4">
        <f>-AK73</f>
        <v>0</v>
      </c>
      <c r="AM73" s="4">
        <v>0</v>
      </c>
      <c r="AN73" s="95">
        <f t="shared" si="503"/>
        <v>0</v>
      </c>
      <c r="AO73" s="4">
        <v>0</v>
      </c>
      <c r="AP73" s="4">
        <f>-AO73</f>
        <v>0</v>
      </c>
      <c r="AQ73" s="4">
        <v>0</v>
      </c>
      <c r="AR73" s="95">
        <f t="shared" si="504"/>
        <v>0</v>
      </c>
      <c r="AS73" s="4">
        <v>0</v>
      </c>
      <c r="AT73" s="4">
        <f>-AS73</f>
        <v>0</v>
      </c>
      <c r="AU73" s="4">
        <f>-AT73</f>
        <v>0</v>
      </c>
      <c r="AV73" s="95">
        <f t="shared" si="505"/>
        <v>0</v>
      </c>
      <c r="AW73" s="4">
        <v>0</v>
      </c>
      <c r="AX73" s="4">
        <f>-AW73</f>
        <v>0</v>
      </c>
      <c r="AY73" s="4">
        <f>-AX73</f>
        <v>0</v>
      </c>
      <c r="AZ73" s="95">
        <f t="shared" si="506"/>
        <v>0</v>
      </c>
      <c r="BA73" s="4">
        <v>0</v>
      </c>
      <c r="BB73" s="4">
        <f>-BA73</f>
        <v>0</v>
      </c>
      <c r="BC73" s="4">
        <f>-BB73</f>
        <v>0</v>
      </c>
      <c r="BD73" s="95">
        <f t="shared" si="507"/>
        <v>0</v>
      </c>
      <c r="BE73" s="4">
        <v>0</v>
      </c>
      <c r="BF73" s="4">
        <f>-BE73</f>
        <v>0</v>
      </c>
      <c r="BG73" s="4">
        <f>-BF73</f>
        <v>0</v>
      </c>
      <c r="BH73" s="6">
        <f t="shared" si="435"/>
        <v>0</v>
      </c>
      <c r="BI73" s="4">
        <v>0</v>
      </c>
      <c r="BJ73" s="4"/>
      <c r="BK73" s="4">
        <v>0</v>
      </c>
      <c r="BL73" s="4">
        <f>-BK73</f>
        <v>0</v>
      </c>
      <c r="BM73" s="4">
        <f>-BL73-BK73</f>
        <v>0</v>
      </c>
      <c r="BN73" s="95">
        <f t="shared" si="508"/>
        <v>0</v>
      </c>
      <c r="BO73" s="4">
        <f>-AG73</f>
        <v>0</v>
      </c>
      <c r="BP73" s="4">
        <f>-BO73-AG73</f>
        <v>0</v>
      </c>
      <c r="BQ73" s="41"/>
      <c r="BR73" s="95">
        <f t="shared" si="509"/>
        <v>0</v>
      </c>
      <c r="BS73" s="4">
        <v>0</v>
      </c>
      <c r="BT73" s="4">
        <f>-BS73</f>
        <v>0</v>
      </c>
      <c r="BU73" s="4">
        <f>-BT73-AK73</f>
        <v>0</v>
      </c>
      <c r="BV73" s="95">
        <f t="shared" si="510"/>
        <v>0</v>
      </c>
      <c r="BW73" s="95"/>
      <c r="BX73" s="4">
        <v>0</v>
      </c>
      <c r="BY73" s="4">
        <f>-BX73</f>
        <v>0</v>
      </c>
      <c r="BZ73" s="4">
        <f>-BY73-BX73</f>
        <v>0</v>
      </c>
      <c r="CA73" s="95">
        <f t="shared" si="511"/>
        <v>0</v>
      </c>
      <c r="CB73" s="4">
        <v>0</v>
      </c>
      <c r="CC73" s="4">
        <f>-CB73</f>
        <v>0</v>
      </c>
      <c r="CD73" s="4">
        <f>-CC73</f>
        <v>0</v>
      </c>
      <c r="CE73" s="95">
        <f t="shared" si="512"/>
        <v>0</v>
      </c>
      <c r="CF73" s="4">
        <v>0</v>
      </c>
      <c r="CG73" s="4">
        <f>0-CF73</f>
        <v>0</v>
      </c>
      <c r="CH73" s="4">
        <f>0-CG73-CF73</f>
        <v>0</v>
      </c>
      <c r="CI73" s="95">
        <f t="shared" si="513"/>
        <v>0</v>
      </c>
    </row>
    <row r="74" spans="2:90" ht="13.5" customHeight="1">
      <c r="B74" s="7" t="s">
        <v>341</v>
      </c>
      <c r="C74" s="4">
        <v>0</v>
      </c>
      <c r="D74" s="4">
        <v>0</v>
      </c>
      <c r="E74" s="4">
        <v>-1128.768</v>
      </c>
      <c r="F74" s="4">
        <v>-1363.9280000000001</v>
      </c>
      <c r="G74" s="4">
        <v>-1793.338</v>
      </c>
      <c r="H74" s="4">
        <f>-1750+42.485</f>
        <v>-1707.5150000000001</v>
      </c>
      <c r="I74" s="4">
        <f>-2696.614+72.377</f>
        <v>-2624.2370000000001</v>
      </c>
      <c r="J74" s="4">
        <f>-2696.614+72.377</f>
        <v>-2624.2370000000001</v>
      </c>
      <c r="K74" s="4">
        <f>-3080.691+93.147</f>
        <v>-2987.5439999999999</v>
      </c>
      <c r="L74" s="4">
        <f>-5256.473+58.987</f>
        <v>-5197.4859999999999</v>
      </c>
      <c r="M74" s="4">
        <f>-5256.473+58.987</f>
        <v>-5197.4859999999999</v>
      </c>
      <c r="N74" s="4">
        <f>-6533.802+75</f>
        <v>-6458.8019999999997</v>
      </c>
      <c r="O74" s="4">
        <f>-6533.802+954</f>
        <v>-5579.8019999999997</v>
      </c>
      <c r="P74" s="4">
        <f>-3960.271</f>
        <v>-3960.2710000000002</v>
      </c>
      <c r="Q74" s="4">
        <f>-4234.005</f>
        <v>-4234.0050000000001</v>
      </c>
      <c r="R74" s="4">
        <f>-4450.566</f>
        <v>-4450.5659999999998</v>
      </c>
      <c r="S74" s="95">
        <f t="shared" si="500"/>
        <v>-4463.5659999999998</v>
      </c>
      <c r="U74" s="4">
        <v>0</v>
      </c>
      <c r="V74" s="4">
        <f>-1128.768-U74</f>
        <v>-1128.768</v>
      </c>
      <c r="W74" s="4">
        <f>-1148-V74-U74</f>
        <v>-19.231999999999971</v>
      </c>
      <c r="X74" s="6">
        <f>E74-SUM(U74:W74)</f>
        <v>19.231999999999971</v>
      </c>
      <c r="Y74" s="4">
        <v>0</v>
      </c>
      <c r="Z74" s="4">
        <f>-1363.928-Y74</f>
        <v>-1363.9280000000001</v>
      </c>
      <c r="AA74" s="4">
        <f>-1386-Z74-Y74</f>
        <v>-22.071999999999889</v>
      </c>
      <c r="AB74" s="6">
        <f>F74-SUM(Y74:AA74)</f>
        <v>22.071999999999889</v>
      </c>
      <c r="AC74" s="4">
        <v>0</v>
      </c>
      <c r="AD74" s="4">
        <f>-1646.12+19.269-AC74</f>
        <v>-1626.8509999999999</v>
      </c>
      <c r="AE74" s="4">
        <f>-1646.12+23.479-AD74-AC74</f>
        <v>4.2100000000000364</v>
      </c>
      <c r="AF74" s="95">
        <f t="shared" si="501"/>
        <v>-170.69700000000012</v>
      </c>
      <c r="AG74" s="4">
        <v>-283.63400000000001</v>
      </c>
      <c r="AH74" s="4">
        <f>-2399.944+16.052-AG74</f>
        <v>-2100.2579999999998</v>
      </c>
      <c r="AI74" s="4">
        <f>-2713.653+74.034-AH74-AG74</f>
        <v>-255.72699999999986</v>
      </c>
      <c r="AJ74" s="95">
        <f t="shared" si="502"/>
        <v>15.381999999999607</v>
      </c>
      <c r="AK74" s="4">
        <f>-294.179+1.68</f>
        <v>-292.49899999999997</v>
      </c>
      <c r="AL74" s="4">
        <f>-2726.924+73.123-AK74</f>
        <v>-2361.3020000000001</v>
      </c>
      <c r="AM74" s="4">
        <f>-2432.998+84.678-AL74-AK74</f>
        <v>305.48099999999994</v>
      </c>
      <c r="AN74" s="95">
        <f t="shared" si="503"/>
        <v>-639.22399999999948</v>
      </c>
      <c r="AO74" s="4">
        <v>-309.59899999999999</v>
      </c>
      <c r="AP74" s="4">
        <f>-4945.221+22.329-AO74</f>
        <v>-4613.2929999999997</v>
      </c>
      <c r="AQ74" s="4">
        <f>-5285.597+42.935-AP74-AO74</f>
        <v>-319.7699999999997</v>
      </c>
      <c r="AR74" s="95">
        <f t="shared" si="504"/>
        <v>45.175999999999306</v>
      </c>
      <c r="AS74" s="4">
        <f>(-318553000+2880000)/1000000</f>
        <v>-315.673</v>
      </c>
      <c r="AT74" s="4">
        <f>-3003.06-AS74</f>
        <v>-2687.3869999999997</v>
      </c>
      <c r="AU74" s="4">
        <f>-3646.375-AT74-AS74</f>
        <v>-643.31500000000028</v>
      </c>
      <c r="AV74" s="95">
        <f t="shared" si="505"/>
        <v>-2812.4269999999997</v>
      </c>
      <c r="AW74" s="4">
        <f>(-395392000+3332000)/1000000</f>
        <v>-392.06</v>
      </c>
      <c r="AX74" s="4">
        <f>-3960.271-AW74</f>
        <v>-3568.2110000000002</v>
      </c>
      <c r="AY74" s="4">
        <f>-3944.448-AX74-AW74</f>
        <v>15.823000000000377</v>
      </c>
      <c r="AZ74" s="95">
        <f t="shared" si="506"/>
        <v>-15.823000000000263</v>
      </c>
      <c r="BA74" s="4">
        <f>(23358000)/1000000</f>
        <v>23.358000000000001</v>
      </c>
      <c r="BB74" s="4">
        <f>-4234.005-BA74</f>
        <v>-4257.3630000000003</v>
      </c>
      <c r="BC74" s="4">
        <f>-4234.005-BB74-BA74</f>
        <v>1.7408297026122455E-13</v>
      </c>
      <c r="BD74" s="95">
        <f t="shared" si="507"/>
        <v>1.7408297026122455E-13</v>
      </c>
      <c r="BE74" s="4">
        <v>13</v>
      </c>
      <c r="BF74" s="4">
        <f>-4450.566-BE74</f>
        <v>-4463.5659999999998</v>
      </c>
      <c r="BG74" s="4">
        <f>-4450.566-BF74-BE74</f>
        <v>0</v>
      </c>
      <c r="BH74" s="6">
        <f t="shared" si="435"/>
        <v>0</v>
      </c>
      <c r="BI74" s="4">
        <v>0</v>
      </c>
      <c r="BJ74" s="4"/>
      <c r="BK74" s="4">
        <v>0</v>
      </c>
      <c r="BL74" s="4">
        <f>-1646.12+19.269-BK74</f>
        <v>-1626.8509999999999</v>
      </c>
      <c r="BM74" s="4">
        <f>-1646.12+23.479-BL74-BK74</f>
        <v>4.2100000000000364</v>
      </c>
      <c r="BN74" s="95">
        <f t="shared" si="508"/>
        <v>-84.874000000000251</v>
      </c>
      <c r="BO74" s="4">
        <f>-2399.944+16.052-AG74</f>
        <v>-2100.2579999999998</v>
      </c>
      <c r="BP74" s="4">
        <f>-2102.657+74.034-BO74-AG74</f>
        <v>355.26899999999978</v>
      </c>
      <c r="BQ74" s="41" t="e">
        <f>#REF!-Y74-Z74-AA74</f>
        <v>#REF!</v>
      </c>
      <c r="BR74" s="95">
        <f t="shared" si="509"/>
        <v>15.381999999999607</v>
      </c>
      <c r="BS74" s="4">
        <v>-294.17899999999997</v>
      </c>
      <c r="BT74" s="4">
        <f>-2726.924+73.123-BS74</f>
        <v>-2359.6219999999998</v>
      </c>
      <c r="BU74" s="4">
        <f>-2432.998+84.678-BT74-AK74</f>
        <v>303.80099999999965</v>
      </c>
      <c r="BV74" s="95">
        <f t="shared" si="510"/>
        <v>-637.54399999999964</v>
      </c>
      <c r="BW74" s="95"/>
      <c r="BX74" s="4">
        <v>-309.59899999999999</v>
      </c>
      <c r="BY74" s="4">
        <f>-4945.221-BX74</f>
        <v>-4635.6219999999994</v>
      </c>
      <c r="BZ74" s="4">
        <f>-5256.473-BY74-BX74</f>
        <v>-311.25200000000058</v>
      </c>
      <c r="CA74" s="95">
        <f t="shared" si="511"/>
        <v>58.987000000000251</v>
      </c>
      <c r="CB74" s="4">
        <f>(-318553000+2880000)/1000000</f>
        <v>-315.673</v>
      </c>
      <c r="CC74" s="4">
        <f>-3003.06-CB74</f>
        <v>-2687.3869999999997</v>
      </c>
      <c r="CD74" s="4">
        <f>-3742.725-CC74-CB74</f>
        <v>-739.66500000000019</v>
      </c>
      <c r="CE74" s="95">
        <f t="shared" si="512"/>
        <v>-1837.077</v>
      </c>
      <c r="CF74" s="4">
        <f>(-395392000+3332000)/1000000</f>
        <v>-392.06</v>
      </c>
      <c r="CG74" s="4">
        <f>-3960.271-CF74</f>
        <v>-3568.2110000000002</v>
      </c>
      <c r="CH74" s="4">
        <f>-3944.448-CG74-CF74</f>
        <v>15.823000000000377</v>
      </c>
      <c r="CI74" s="95">
        <f t="shared" si="513"/>
        <v>-15.823000000000377</v>
      </c>
    </row>
    <row r="75" spans="2:90" ht="12.75">
      <c r="B75" s="7" t="s">
        <v>342</v>
      </c>
      <c r="C75" s="4">
        <v>0</v>
      </c>
      <c r="D75" s="4">
        <v>0</v>
      </c>
      <c r="E75" s="4">
        <v>0</v>
      </c>
      <c r="F75" s="4">
        <v>0</v>
      </c>
      <c r="G75" s="4"/>
      <c r="H75" s="4">
        <v>0</v>
      </c>
      <c r="I75" s="4">
        <v>0</v>
      </c>
      <c r="J75" s="4">
        <v>0</v>
      </c>
      <c r="K75" s="4">
        <v>0</v>
      </c>
      <c r="L75" s="267">
        <v>0</v>
      </c>
      <c r="M75" s="267">
        <v>0</v>
      </c>
      <c r="N75" s="267">
        <v>0</v>
      </c>
      <c r="O75" s="4">
        <v>0</v>
      </c>
      <c r="P75" s="4">
        <v>0</v>
      </c>
      <c r="Q75" s="4">
        <v>0</v>
      </c>
      <c r="R75" s="4">
        <v>0</v>
      </c>
      <c r="S75" s="95">
        <f t="shared" si="500"/>
        <v>0</v>
      </c>
      <c r="U75" s="4">
        <v>0</v>
      </c>
      <c r="V75" s="4">
        <f>0-U75</f>
        <v>0</v>
      </c>
      <c r="W75" s="4">
        <f>0-V75-U75</f>
        <v>0</v>
      </c>
      <c r="X75" s="6">
        <f>E75-SUM(U75:W75)</f>
        <v>0</v>
      </c>
      <c r="Y75" s="4">
        <v>0</v>
      </c>
      <c r="Z75" s="4">
        <f>0-Y75</f>
        <v>0</v>
      </c>
      <c r="AA75" s="4">
        <f>0-Z75-Y75</f>
        <v>0</v>
      </c>
      <c r="AB75" s="6">
        <f>F75-SUM(Y75:AA75)</f>
        <v>0</v>
      </c>
      <c r="AC75" s="4">
        <v>0</v>
      </c>
      <c r="AD75" s="4">
        <f>0-AC75</f>
        <v>0</v>
      </c>
      <c r="AE75" s="4">
        <f>0-AD75-AC75</f>
        <v>0</v>
      </c>
      <c r="AF75" s="95">
        <f t="shared" si="501"/>
        <v>0</v>
      </c>
      <c r="AG75" s="4">
        <v>0</v>
      </c>
      <c r="AH75" s="4">
        <f>-AG75</f>
        <v>0</v>
      </c>
      <c r="AI75" s="4">
        <f>-AH75-AG75</f>
        <v>0</v>
      </c>
      <c r="AJ75" s="95">
        <f t="shared" si="502"/>
        <v>0</v>
      </c>
      <c r="AK75" s="4">
        <v>0</v>
      </c>
      <c r="AL75" s="4">
        <f>-AK75</f>
        <v>0</v>
      </c>
      <c r="AM75" s="4">
        <f>-AL75-AK75</f>
        <v>0</v>
      </c>
      <c r="AN75" s="95">
        <f t="shared" si="503"/>
        <v>0</v>
      </c>
      <c r="AO75" s="4">
        <v>0</v>
      </c>
      <c r="AP75" s="4">
        <f>-AO75</f>
        <v>0</v>
      </c>
      <c r="AQ75" s="4">
        <f>-AP75-AO75</f>
        <v>0</v>
      </c>
      <c r="AR75" s="95">
        <f t="shared" si="504"/>
        <v>0</v>
      </c>
      <c r="AS75" s="4">
        <v>0</v>
      </c>
      <c r="AT75" s="4">
        <f>-AS75</f>
        <v>0</v>
      </c>
      <c r="AU75" s="4">
        <f>-AT75-AS75</f>
        <v>0</v>
      </c>
      <c r="AV75" s="95">
        <f t="shared" si="505"/>
        <v>0</v>
      </c>
      <c r="AW75" s="4">
        <v>0</v>
      </c>
      <c r="AX75" s="4">
        <f>-AW75</f>
        <v>0</v>
      </c>
      <c r="AY75" s="4">
        <f>-AX75-AW75</f>
        <v>0</v>
      </c>
      <c r="AZ75" s="95">
        <f t="shared" si="506"/>
        <v>0</v>
      </c>
      <c r="BA75" s="4">
        <v>0</v>
      </c>
      <c r="BB75" s="4">
        <f>-BA75</f>
        <v>0</v>
      </c>
      <c r="BC75" s="4">
        <f>-BB75-BA75</f>
        <v>0</v>
      </c>
      <c r="BD75" s="95">
        <f t="shared" si="507"/>
        <v>0</v>
      </c>
      <c r="BE75" s="4">
        <v>0</v>
      </c>
      <c r="BF75" s="4">
        <f>-BE75</f>
        <v>0</v>
      </c>
      <c r="BG75" s="4">
        <f>-BF75-BE75</f>
        <v>0</v>
      </c>
      <c r="BH75" s="6">
        <f t="shared" si="435"/>
        <v>0</v>
      </c>
      <c r="BI75" s="4">
        <v>0</v>
      </c>
      <c r="BJ75" s="4"/>
      <c r="BK75" s="4">
        <v>0</v>
      </c>
      <c r="BL75" s="4">
        <f>-BK75</f>
        <v>0</v>
      </c>
      <c r="BM75" s="4">
        <f>-BL75-BK75</f>
        <v>0</v>
      </c>
      <c r="BN75" s="95">
        <f t="shared" si="508"/>
        <v>0</v>
      </c>
      <c r="BO75" s="4">
        <f>-AG75</f>
        <v>0</v>
      </c>
      <c r="BP75" s="4">
        <f>-BO75-AG75</f>
        <v>0</v>
      </c>
      <c r="BQ75" s="41" t="e">
        <f>#REF!-Y75-Z75-AA75</f>
        <v>#REF!</v>
      </c>
      <c r="BR75" s="95">
        <f t="shared" si="509"/>
        <v>0</v>
      </c>
      <c r="BS75" s="4">
        <v>0</v>
      </c>
      <c r="BT75" s="4">
        <f>-BS75</f>
        <v>0</v>
      </c>
      <c r="BU75" s="4">
        <f>-BT75-AK75</f>
        <v>0</v>
      </c>
      <c r="BV75" s="95">
        <f t="shared" si="510"/>
        <v>0</v>
      </c>
      <c r="BW75" s="95"/>
      <c r="BX75" s="4">
        <v>0</v>
      </c>
      <c r="BY75" s="4">
        <f>-BX75</f>
        <v>0</v>
      </c>
      <c r="BZ75" s="4">
        <f>-BY75-BX75</f>
        <v>0</v>
      </c>
      <c r="CA75" s="95">
        <f t="shared" si="511"/>
        <v>0</v>
      </c>
      <c r="CB75" s="4">
        <v>0</v>
      </c>
      <c r="CC75" s="4">
        <f>-CB75</f>
        <v>0</v>
      </c>
      <c r="CD75" s="4">
        <f>-CC75-CB75</f>
        <v>0</v>
      </c>
      <c r="CE75" s="95">
        <f t="shared" si="512"/>
        <v>0</v>
      </c>
      <c r="CF75" s="4">
        <v>0</v>
      </c>
      <c r="CG75" s="4">
        <f>-CF75</f>
        <v>0</v>
      </c>
      <c r="CH75" s="4">
        <f>-CG75-CF75</f>
        <v>0</v>
      </c>
      <c r="CI75" s="95">
        <f t="shared" si="513"/>
        <v>0</v>
      </c>
    </row>
    <row r="76" spans="2:90" ht="13.5" customHeight="1">
      <c r="B76" s="7" t="s">
        <v>343</v>
      </c>
      <c r="C76" s="4">
        <f>29553.518-25230.672</f>
        <v>4322.8460000000014</v>
      </c>
      <c r="D76" s="4">
        <f>13954.479-15928.135</f>
        <v>-1973.6560000000009</v>
      </c>
      <c r="E76" s="4">
        <f>34686.583-33595.237</f>
        <v>1091.3459999999977</v>
      </c>
      <c r="F76" s="4">
        <f>40671.72-29020.8</f>
        <v>11650.920000000002</v>
      </c>
      <c r="G76" s="4">
        <f>8024.081-11005.216</f>
        <v>-2981.1350000000002</v>
      </c>
      <c r="H76" s="4">
        <f>8024.081-11005.216</f>
        <v>-2981.1350000000002</v>
      </c>
      <c r="I76" s="4">
        <f>22593.236-22639.883-4446.84</f>
        <v>-4493.487000000001</v>
      </c>
      <c r="J76" s="4">
        <f>22593.236-22639.883-4784.348</f>
        <v>-4830.9950000000008</v>
      </c>
      <c r="K76" s="4">
        <f>34817.895-40744.509-580.461-4963.795</f>
        <v>-11470.870000000003</v>
      </c>
      <c r="L76" s="267">
        <f>38924.448-33534.649-554.247-4818.042</f>
        <v>17.509999999998399</v>
      </c>
      <c r="M76" s="267">
        <f>38924.448-33534.649-554.247-4818.042</f>
        <v>17.509999999998399</v>
      </c>
      <c r="N76" s="267">
        <f>59470.401-63342.434-1220.483-5164.018</f>
        <v>-10256.534000000003</v>
      </c>
      <c r="O76" s="4">
        <f>51670.401-55542.434-1220.483-5164.018</f>
        <v>-10256.534000000003</v>
      </c>
      <c r="P76" s="4">
        <f>136638.401-109847.59-1101.213-5177</f>
        <v>20512.598000000016</v>
      </c>
      <c r="Q76" s="4">
        <f>79110.521-56494.685-1258-5814</f>
        <v>15543.835999999996</v>
      </c>
      <c r="R76" s="4">
        <f>69266.727-55476.5-1486.468-6574.42</f>
        <v>5729.3389999999981</v>
      </c>
      <c r="S76" s="95">
        <f t="shared" si="500"/>
        <v>-849.45600000000422</v>
      </c>
      <c r="U76" s="4">
        <f>5923.281-5441.352</f>
        <v>481.92900000000009</v>
      </c>
      <c r="V76" s="4">
        <f>16525-17993-U76</f>
        <v>-1949.9290000000001</v>
      </c>
      <c r="W76" s="4">
        <f>33160-29656-V76-U76</f>
        <v>4972</v>
      </c>
      <c r="X76" s="6">
        <f>E76-SUM(U76:W76)</f>
        <v>-2412.6540000000023</v>
      </c>
      <c r="Y76" s="4">
        <f>3238.838-2247.691</f>
        <v>991.14700000000039</v>
      </c>
      <c r="Z76" s="4">
        <f>4244.495-4863.699-Y76</f>
        <v>-1610.3510000000001</v>
      </c>
      <c r="AA76" s="4">
        <f>6626-8082-Z76-Y76</f>
        <v>-836.79600000000028</v>
      </c>
      <c r="AB76" s="6">
        <f>F76-SUM(Y76:AA76)</f>
        <v>13106.920000000002</v>
      </c>
      <c r="AC76" s="4">
        <f>4665.53-4259.46</f>
        <v>406.06999999999971</v>
      </c>
      <c r="AD76" s="4">
        <f>6228.88-8095.26-AC76</f>
        <v>-2272.4499999999998</v>
      </c>
      <c r="AE76" s="4">
        <f>7209.96-10074.16-AD76-AC76</f>
        <v>-997.81999999999971</v>
      </c>
      <c r="AF76" s="95">
        <f t="shared" si="501"/>
        <v>-116.9350000000004</v>
      </c>
      <c r="AG76" s="4">
        <f>2463.03-1254.28-1052.755</f>
        <v>155.99500000000012</v>
      </c>
      <c r="AH76" s="4">
        <f>6066-4956-2119.304-AG76</f>
        <v>-1165.2990000000002</v>
      </c>
      <c r="AI76" s="4">
        <f>19279.26-6872.9-3236.117-AH76-AG76</f>
        <v>10179.546999999999</v>
      </c>
      <c r="AJ76" s="95">
        <f t="shared" si="502"/>
        <v>-13663.73</v>
      </c>
      <c r="AK76" s="4">
        <f>25676.502-9633-2113.723</f>
        <v>13929.779</v>
      </c>
      <c r="AL76" s="4">
        <f>26744.478-25280.364-330.381-2553.86-AK76</f>
        <v>-15349.906000000003</v>
      </c>
      <c r="AM76" s="4">
        <f>31768.475-34905.615-3779.593-462.929-AL76-AK76</f>
        <v>-5959.5349999999971</v>
      </c>
      <c r="AN76" s="95">
        <f t="shared" si="503"/>
        <v>-4091.2080000000042</v>
      </c>
      <c r="AO76" s="4">
        <f>1631.268-961.921-1294.196</f>
        <v>-624.84899999999993</v>
      </c>
      <c r="AP76" s="4">
        <f>29618.972-25718.595-245.126-2339.267-AO76</f>
        <v>1940.8330000000003</v>
      </c>
      <c r="AQ76" s="4">
        <f>32331.422-27745.253-392.745-3541.49-AP76-AO76</f>
        <v>-664.050000000002</v>
      </c>
      <c r="AR76" s="95">
        <f t="shared" si="504"/>
        <v>-634.42399999999998</v>
      </c>
      <c r="AS76" s="4">
        <f>(7276468000-6953565000-170994000-1313833000)/1000000</f>
        <v>-1161.924</v>
      </c>
      <c r="AT76" s="4">
        <f>19342.557-16343.832-336.756-2543.842-AS76</f>
        <v>1280.0510000000004</v>
      </c>
      <c r="AU76" s="4">
        <f>52138.097-43939.667-919.08-3829.113-AT76-AS76</f>
        <v>3332.11</v>
      </c>
      <c r="AV76" s="95">
        <f t="shared" si="505"/>
        <v>-13706.771000000004</v>
      </c>
      <c r="AW76" s="4">
        <f>(13822213000-9572556000-293209000-1280485000)/1000000</f>
        <v>2675.9630000000002</v>
      </c>
      <c r="AX76" s="4">
        <f>69772.883-53517.118-573.446-2552.485-AW76</f>
        <v>10453.870999999999</v>
      </c>
      <c r="AY76" s="4">
        <f>99250.432-78369.924-820.893-3827.485-AX76-AW76</f>
        <v>3102.2960000000016</v>
      </c>
      <c r="AZ76" s="95">
        <f t="shared" si="506"/>
        <v>4280.4680000000153</v>
      </c>
      <c r="BA76" s="4">
        <f>(24507189000-4812807000-274395000-1324000000)/1000000</f>
        <v>18095.987000000001</v>
      </c>
      <c r="BB76" s="4">
        <f>32174.254-14611.349-555-2695-BA76</f>
        <v>-3783.0820000000022</v>
      </c>
      <c r="BC76" s="4">
        <f>53120.62-32508.759-884-4186-BB76-BA76</f>
        <v>1228.9560000000056</v>
      </c>
      <c r="BD76" s="95">
        <f t="shared" si="507"/>
        <v>1.9749999999912689</v>
      </c>
      <c r="BE76" s="4">
        <f>32727.06-22772.465-383-1664</f>
        <v>7907.5950000000012</v>
      </c>
      <c r="BF76" s="4">
        <f>49666.38-36755.129-760-3327.829-BE76</f>
        <v>915.82699999999568</v>
      </c>
      <c r="BG76" s="4">
        <f>62122.588-46765.807-1123.541-4950.815-BF76-BE76</f>
        <v>459.00300000000607</v>
      </c>
      <c r="BH76" s="6">
        <f t="shared" si="435"/>
        <v>-3553.0860000000048</v>
      </c>
      <c r="BI76" s="4">
        <f>13803.927-10560.673-287.197-1627.257</f>
        <v>1328.7999999999988</v>
      </c>
      <c r="BJ76" s="4"/>
      <c r="BK76" s="4">
        <f>4665.53-4259.46</f>
        <v>406.06999999999971</v>
      </c>
      <c r="BL76" s="4">
        <f>6228.88-8095.26-BK76</f>
        <v>-2272.4499999999998</v>
      </c>
      <c r="BM76" s="4">
        <f>7209.96-10074.16-BL76-BK76</f>
        <v>-997.81999999999971</v>
      </c>
      <c r="BN76" s="95">
        <f t="shared" si="508"/>
        <v>-116.9350000000004</v>
      </c>
      <c r="BO76" s="4">
        <f>6066-4956-2119.304-AG76</f>
        <v>-1165.2990000000002</v>
      </c>
      <c r="BP76" s="4">
        <f>19279.26-6872.9-3236.117-BO76-AG76</f>
        <v>10179.546999999999</v>
      </c>
      <c r="BQ76" s="41" t="e">
        <f>#REF!-Y76-Z76-AA76</f>
        <v>#REF!</v>
      </c>
      <c r="BR76" s="95">
        <f t="shared" si="509"/>
        <v>-14001.237999999999</v>
      </c>
      <c r="BS76" s="4">
        <f>25676.502-9633-1390.914</f>
        <v>14652.588</v>
      </c>
      <c r="BT76" s="4">
        <f>26744.478-25280.364-330.381-2553.86-BS76</f>
        <v>-16072.715000000002</v>
      </c>
      <c r="BU76" s="4">
        <f>31768.475-34905.615-3779.593-462.929-BT76-AK76</f>
        <v>-5236.7259999999969</v>
      </c>
      <c r="BV76" s="95">
        <f t="shared" si="510"/>
        <v>-4814.0170000000035</v>
      </c>
      <c r="BW76" s="95"/>
      <c r="BX76" s="4">
        <f>(1631268000-961921000-1294196000)/1000000</f>
        <v>-624.84900000000005</v>
      </c>
      <c r="BY76" s="4">
        <f>29618.972-25718.534-245.126-2346.67-BX76</f>
        <v>1933.4910000000018</v>
      </c>
      <c r="BZ76" s="4">
        <f>32331.422-27746.192-392.745-3490.049-BY76-BX76</f>
        <v>-606.20600000000206</v>
      </c>
      <c r="CA76" s="95">
        <f t="shared" si="511"/>
        <v>-684.92600000000118</v>
      </c>
      <c r="CB76" s="4">
        <f>(7276468000-6953565000-170994000-1313833000)/1000000</f>
        <v>-1161.924</v>
      </c>
      <c r="CC76" s="4">
        <f>19342.557-16343.832-336.756-2543.842-CB76</f>
        <v>1280.0510000000004</v>
      </c>
      <c r="CD76" s="4">
        <f>52138.097-43939.667-4359.851-0-CC76-CB76</f>
        <v>3720.4520000000002</v>
      </c>
      <c r="CE76" s="95">
        <f t="shared" si="512"/>
        <v>-14095.113000000005</v>
      </c>
      <c r="CF76" s="4">
        <f>(13822213000-9572556000-293209000-1280485000)/1000000</f>
        <v>2675.9630000000002</v>
      </c>
      <c r="CG76" s="4">
        <f>69772.883-53517.118-573.446-2552.485-CF76</f>
        <v>10453.870999999999</v>
      </c>
      <c r="CH76" s="4">
        <f>99250.432-78369.924-820.893-3827.485-CG76-CF76</f>
        <v>3102.2960000000016</v>
      </c>
      <c r="CI76" s="95">
        <f t="shared" si="513"/>
        <v>4280.4680000000153</v>
      </c>
    </row>
    <row r="77" spans="2:90" ht="13.5" customHeight="1">
      <c r="B77" s="7" t="s">
        <v>344</v>
      </c>
      <c r="C77" s="4">
        <v>0</v>
      </c>
      <c r="D77" s="4">
        <v>-444.96</v>
      </c>
      <c r="E77" s="4">
        <v>52.136000000000003</v>
      </c>
      <c r="F77" s="4">
        <v>392.82299999999998</v>
      </c>
      <c r="G77" s="4">
        <v>1557.7639999999999</v>
      </c>
      <c r="H77" s="4">
        <v>1557.7639999999999</v>
      </c>
      <c r="I77" s="4">
        <v>-1069.818</v>
      </c>
      <c r="J77" s="4">
        <v>-1069.817</v>
      </c>
      <c r="K77" s="4">
        <v>1160.396</v>
      </c>
      <c r="L77" s="267">
        <v>263.23099999999999</v>
      </c>
      <c r="M77" s="267">
        <v>263.23099999999999</v>
      </c>
      <c r="N77" s="267">
        <v>0</v>
      </c>
      <c r="O77" s="4">
        <v>73.731999999999999</v>
      </c>
      <c r="P77" s="4">
        <v>0</v>
      </c>
      <c r="Q77" s="4">
        <v>0</v>
      </c>
      <c r="R77" s="4">
        <v>0</v>
      </c>
      <c r="S77" s="95">
        <f t="shared" si="500"/>
        <v>0</v>
      </c>
      <c r="U77" s="4">
        <v>14.1</v>
      </c>
      <c r="V77" s="4">
        <f>271.922-U77</f>
        <v>257.822</v>
      </c>
      <c r="W77" s="4">
        <f>195-V77-U77</f>
        <v>-76.921999999999997</v>
      </c>
      <c r="X77" s="6">
        <f>E77-SUM(U77:W77)</f>
        <v>-142.86400000000003</v>
      </c>
      <c r="Y77" s="4">
        <v>218.83799999999999</v>
      </c>
      <c r="Z77" s="4">
        <f>339.31-Y77</f>
        <v>120.47200000000001</v>
      </c>
      <c r="AA77" s="4">
        <f>393-Z77-Y77</f>
        <v>53.690000000000026</v>
      </c>
      <c r="AB77" s="6">
        <f>F77-SUM(Y77:AA77)</f>
        <v>-0.17700000000002092</v>
      </c>
      <c r="AC77" s="4">
        <v>0</v>
      </c>
      <c r="AD77" s="4">
        <f>1557.763-AC77</f>
        <v>1557.7629999999999</v>
      </c>
      <c r="AE77" s="4">
        <f>1557.764-AD77-AC77</f>
        <v>9.9999999997635314E-4</v>
      </c>
      <c r="AF77" s="95">
        <f t="shared" si="501"/>
        <v>0</v>
      </c>
      <c r="AG77" s="4">
        <v>0</v>
      </c>
      <c r="AH77" s="4">
        <f>-AG77</f>
        <v>0</v>
      </c>
      <c r="AI77" s="4">
        <f>-1100.183-AH77-AG77</f>
        <v>-1100.183</v>
      </c>
      <c r="AJ77" s="95">
        <f t="shared" si="502"/>
        <v>30.365000000000009</v>
      </c>
      <c r="AK77" s="4">
        <v>1673.5519999999999</v>
      </c>
      <c r="AL77" s="4">
        <f>1160.396-AK77</f>
        <v>-513.15599999999995</v>
      </c>
      <c r="AM77" s="4">
        <f>1160.396-AL77-AK77</f>
        <v>0</v>
      </c>
      <c r="AN77" s="95">
        <f t="shared" si="503"/>
        <v>0</v>
      </c>
      <c r="AO77" s="4">
        <v>-749.16</v>
      </c>
      <c r="AP77" s="4">
        <f>263.231-AO77</f>
        <v>1012.391</v>
      </c>
      <c r="AQ77" s="4">
        <f>263.231-AP77-AO77</f>
        <v>0</v>
      </c>
      <c r="AR77" s="95">
        <f t="shared" si="504"/>
        <v>0</v>
      </c>
      <c r="AS77" s="4">
        <v>0</v>
      </c>
      <c r="AT77" s="4">
        <f>0-AS77</f>
        <v>0</v>
      </c>
      <c r="AU77" s="4">
        <f>0-AT77-AS77</f>
        <v>0</v>
      </c>
      <c r="AV77" s="95">
        <f t="shared" si="505"/>
        <v>0</v>
      </c>
      <c r="AW77" s="4">
        <v>0</v>
      </c>
      <c r="AX77" s="4">
        <f>0-AW77</f>
        <v>0</v>
      </c>
      <c r="AY77" s="4">
        <f>-77.846-AX77-AW77</f>
        <v>-77.846000000000004</v>
      </c>
      <c r="AZ77" s="95">
        <f t="shared" si="506"/>
        <v>77.846000000000004</v>
      </c>
      <c r="BA77" s="4">
        <v>-3359.8150000000001</v>
      </c>
      <c r="BB77" s="4">
        <f>0-BA77</f>
        <v>3359.8150000000001</v>
      </c>
      <c r="BC77" s="4">
        <f>0-BB77-BA77</f>
        <v>0</v>
      </c>
      <c r="BD77" s="95">
        <f t="shared" si="507"/>
        <v>0</v>
      </c>
      <c r="BE77" s="4">
        <v>0</v>
      </c>
      <c r="BF77" s="4">
        <f>0-BE77</f>
        <v>0</v>
      </c>
      <c r="BG77" s="4">
        <f>0-BF77-BE77</f>
        <v>0</v>
      </c>
      <c r="BH77" s="6">
        <f t="shared" si="435"/>
        <v>0</v>
      </c>
      <c r="BI77" s="4">
        <v>0</v>
      </c>
      <c r="BJ77" s="4"/>
      <c r="BK77" s="4">
        <v>0</v>
      </c>
      <c r="BL77" s="4">
        <f>1557.498-BK77</f>
        <v>1557.498</v>
      </c>
      <c r="BM77" s="4">
        <f>1557.764-BL77-BK77</f>
        <v>0.26599999999984902</v>
      </c>
      <c r="BN77" s="95">
        <f t="shared" si="508"/>
        <v>0</v>
      </c>
      <c r="BO77" s="4">
        <f>-AG77</f>
        <v>0</v>
      </c>
      <c r="BP77" s="4">
        <f>-1100.183-BO77-AG77</f>
        <v>-1100.183</v>
      </c>
      <c r="BQ77" s="41" t="e">
        <f>#REF!-Y77-Z77-AA77</f>
        <v>#REF!</v>
      </c>
      <c r="BR77" s="95">
        <f t="shared" si="509"/>
        <v>30.365999999999985</v>
      </c>
      <c r="BS77" s="4">
        <f>-1458.267+1673.552</f>
        <v>215.28499999999985</v>
      </c>
      <c r="BT77" s="4">
        <f>1160.396-BS77</f>
        <v>945.1110000000001</v>
      </c>
      <c r="BU77" s="4">
        <f>1160.396-BT77-AK77</f>
        <v>-1458.2670000000001</v>
      </c>
      <c r="BV77" s="95">
        <f t="shared" si="510"/>
        <v>1458.2670000000001</v>
      </c>
      <c r="BW77" s="95"/>
      <c r="BX77" s="4">
        <v>0</v>
      </c>
      <c r="BY77" s="4">
        <f>263.231-BX77</f>
        <v>263.23099999999999</v>
      </c>
      <c r="BZ77" s="4">
        <f>0-BY77-BX77</f>
        <v>-263.23099999999999</v>
      </c>
      <c r="CA77" s="95">
        <f t="shared" si="511"/>
        <v>263.23099999999999</v>
      </c>
      <c r="CB77" s="4">
        <v>0</v>
      </c>
      <c r="CC77" s="4">
        <f>0-CB77</f>
        <v>0</v>
      </c>
      <c r="CD77" s="4">
        <f>-189.914-CC77-CB77</f>
        <v>-189.91399999999999</v>
      </c>
      <c r="CE77" s="95">
        <f t="shared" si="512"/>
        <v>263.64599999999996</v>
      </c>
      <c r="CF77" s="4">
        <v>0</v>
      </c>
      <c r="CG77" s="4">
        <f>0-CF77</f>
        <v>0</v>
      </c>
      <c r="CH77" s="4">
        <f>0-CG77-CF77</f>
        <v>0</v>
      </c>
      <c r="CI77" s="95">
        <f>T77-CF77-CG77-CH77</f>
        <v>0</v>
      </c>
    </row>
    <row r="78" spans="2:90" s="5" customFormat="1" ht="13.5" customHeight="1">
      <c r="B78" s="15" t="s">
        <v>345</v>
      </c>
      <c r="C78" s="8">
        <f t="shared" ref="C78:R78" si="514">SUM(C70:C77)</f>
        <v>-2470.0910000000003</v>
      </c>
      <c r="D78" s="8">
        <f t="shared" si="514"/>
        <v>3139.2170000000015</v>
      </c>
      <c r="E78" s="8">
        <f t="shared" si="514"/>
        <v>937.3009999999972</v>
      </c>
      <c r="F78" s="8">
        <f t="shared" si="514"/>
        <v>7128.6559999999981</v>
      </c>
      <c r="G78" s="8">
        <f t="shared" si="514"/>
        <v>6346.3980000000056</v>
      </c>
      <c r="H78" s="8">
        <f t="shared" si="514"/>
        <v>4575.764000000001</v>
      </c>
      <c r="I78" s="8">
        <f t="shared" si="514"/>
        <v>7483.4640000000027</v>
      </c>
      <c r="J78" s="8">
        <f t="shared" si="514"/>
        <v>7260.5830000000033</v>
      </c>
      <c r="K78" s="8">
        <f t="shared" si="514"/>
        <v>780.08500000000026</v>
      </c>
      <c r="L78" s="8">
        <f t="shared" si="514"/>
        <v>-1235.3689999999995</v>
      </c>
      <c r="M78" s="8">
        <f t="shared" si="514"/>
        <v>-3544.6099999999988</v>
      </c>
      <c r="N78" s="8">
        <f t="shared" si="514"/>
        <v>6843.1119999999937</v>
      </c>
      <c r="O78" s="8">
        <f t="shared" si="514"/>
        <v>5051.5199999999968</v>
      </c>
      <c r="P78" s="8">
        <f t="shared" si="514"/>
        <v>-6622.7849999999817</v>
      </c>
      <c r="Q78" s="8">
        <f t="shared" si="514"/>
        <v>-992.92199999999866</v>
      </c>
      <c r="R78" s="8">
        <f t="shared" si="514"/>
        <v>-1933.5990000000011</v>
      </c>
      <c r="S78" s="8">
        <f>SUM(S70:S77)</f>
        <v>-344.85199999999759</v>
      </c>
      <c r="U78" s="8">
        <f t="shared" ref="U78:BI78" si="515">SUM(U70:U77)</f>
        <v>975.59400000000028</v>
      </c>
      <c r="V78" s="8">
        <f t="shared" si="515"/>
        <v>-3276.1090000000004</v>
      </c>
      <c r="W78" s="8">
        <f t="shared" si="515"/>
        <v>3439.514999999999</v>
      </c>
      <c r="X78" s="8">
        <f t="shared" si="515"/>
        <v>-201.69900000000143</v>
      </c>
      <c r="Y78" s="8">
        <f t="shared" si="515"/>
        <v>741.44500000000028</v>
      </c>
      <c r="Z78" s="8">
        <f t="shared" si="515"/>
        <v>-1026.3670000000002</v>
      </c>
      <c r="AA78" s="8">
        <f t="shared" si="515"/>
        <v>442.92199999999843</v>
      </c>
      <c r="AB78" s="8">
        <f t="shared" si="515"/>
        <v>6970.6559999999981</v>
      </c>
      <c r="AC78" s="8">
        <f t="shared" si="515"/>
        <v>-2292.7509999999997</v>
      </c>
      <c r="AD78" s="8">
        <f t="shared" si="515"/>
        <v>3607.7020000000002</v>
      </c>
      <c r="AE78" s="8">
        <f t="shared" si="515"/>
        <v>196.42599999999766</v>
      </c>
      <c r="AF78" s="8">
        <f t="shared" si="515"/>
        <v>4835.0210000000052</v>
      </c>
      <c r="AG78" s="8">
        <f t="shared" si="515"/>
        <v>792.25699999999961</v>
      </c>
      <c r="AH78" s="8">
        <f t="shared" si="515"/>
        <v>1120.2590000000007</v>
      </c>
      <c r="AI78" s="8">
        <f t="shared" si="515"/>
        <v>13547.043999999998</v>
      </c>
      <c r="AJ78" s="8">
        <f t="shared" si="515"/>
        <v>-7976.0959999999995</v>
      </c>
      <c r="AK78" s="8">
        <f t="shared" si="515"/>
        <v>15808.394</v>
      </c>
      <c r="AL78" s="8">
        <f t="shared" si="515"/>
        <v>-17819.695000000007</v>
      </c>
      <c r="AM78" s="8">
        <f t="shared" si="515"/>
        <v>-831.40999999999531</v>
      </c>
      <c r="AN78" s="8">
        <f t="shared" si="515"/>
        <v>3622.7959999999994</v>
      </c>
      <c r="AO78" s="8">
        <f t="shared" si="515"/>
        <v>769.35699999999918</v>
      </c>
      <c r="AP78" s="8">
        <f t="shared" si="515"/>
        <v>-1645.3709999999996</v>
      </c>
      <c r="AQ78" s="8">
        <f t="shared" si="515"/>
        <v>-1757.0790000000036</v>
      </c>
      <c r="AR78" s="8">
        <f t="shared" si="515"/>
        <v>-911.5169999999996</v>
      </c>
      <c r="AS78" s="8">
        <f t="shared" si="515"/>
        <v>-108.96499999999946</v>
      </c>
      <c r="AT78" s="8">
        <f t="shared" si="515"/>
        <v>1155.3140000000026</v>
      </c>
      <c r="AU78" s="8">
        <f t="shared" si="515"/>
        <v>-2682.8990000000017</v>
      </c>
      <c r="AV78" s="8">
        <f t="shared" si="515"/>
        <v>8479.6620000000003</v>
      </c>
      <c r="AW78" s="8">
        <f t="shared" si="515"/>
        <v>-6958.6450000000004</v>
      </c>
      <c r="AX78" s="8">
        <f t="shared" si="515"/>
        <v>668.71100000000297</v>
      </c>
      <c r="AY78" s="8">
        <f t="shared" si="515"/>
        <v>-190.75700000000052</v>
      </c>
      <c r="AZ78" s="8">
        <f t="shared" si="515"/>
        <v>-142.09399999998504</v>
      </c>
      <c r="BA78" s="8">
        <f t="shared" si="515"/>
        <v>11154.984999999999</v>
      </c>
      <c r="BB78" s="8">
        <f t="shared" si="515"/>
        <v>-11328.166000000003</v>
      </c>
      <c r="BC78" s="8">
        <f t="shared" si="515"/>
        <v>104.97400000000698</v>
      </c>
      <c r="BD78" s="8">
        <f t="shared" si="515"/>
        <v>-924.71500000000742</v>
      </c>
      <c r="BE78" s="8">
        <f t="shared" si="515"/>
        <v>8483.9179999999997</v>
      </c>
      <c r="BF78" s="8">
        <f t="shared" si="515"/>
        <v>-10408.312000000004</v>
      </c>
      <c r="BG78" s="8">
        <f t="shared" si="515"/>
        <v>5962.9490000000078</v>
      </c>
      <c r="BH78" s="8">
        <f t="shared" si="515"/>
        <v>-5972.1540000000005</v>
      </c>
      <c r="BI78" s="8">
        <f t="shared" si="515"/>
        <v>10072.664999999999</v>
      </c>
      <c r="BJ78" s="8"/>
      <c r="BK78" s="8">
        <f t="shared" ref="BK78:BV78" si="516">SUM(BK70:BK77)</f>
        <v>-2281.7509999999997</v>
      </c>
      <c r="BL78" s="8">
        <f t="shared" si="516"/>
        <v>3592.4370000000004</v>
      </c>
      <c r="BM78" s="8">
        <f t="shared" si="516"/>
        <v>196.69099999999685</v>
      </c>
      <c r="BN78" s="8">
        <f t="shared" si="516"/>
        <v>3068.3870000000024</v>
      </c>
      <c r="BO78" s="8">
        <f t="shared" si="516"/>
        <v>1151.2590000000007</v>
      </c>
      <c r="BP78" s="8">
        <f t="shared" si="516"/>
        <v>13564.044000000002</v>
      </c>
      <c r="BQ78" s="8" t="e">
        <f t="shared" si="516"/>
        <v>#REF!</v>
      </c>
      <c r="BR78" s="8">
        <f t="shared" si="516"/>
        <v>-4961.976999999999</v>
      </c>
      <c r="BS78" s="8">
        <f t="shared" si="516"/>
        <v>16543.203000000001</v>
      </c>
      <c r="BT78" s="8">
        <f t="shared" si="516"/>
        <v>-18533.504000000004</v>
      </c>
      <c r="BU78" s="8">
        <f t="shared" si="516"/>
        <v>-96.600999999996247</v>
      </c>
      <c r="BV78" s="8">
        <f t="shared" si="516"/>
        <v>35283.987000000001</v>
      </c>
      <c r="BW78" s="8"/>
      <c r="BX78" s="8">
        <f t="shared" ref="BX78:CI78" si="517">SUM(BX70:BX77)</f>
        <v>1806.5959999999995</v>
      </c>
      <c r="BY78" s="8">
        <f t="shared" si="517"/>
        <v>2214.9030000000039</v>
      </c>
      <c r="BZ78" s="8">
        <f t="shared" si="517"/>
        <v>-3691.6230000000041</v>
      </c>
      <c r="CA78" s="8">
        <f t="shared" si="517"/>
        <v>-3874.485999999999</v>
      </c>
      <c r="CB78" s="8">
        <f t="shared" si="517"/>
        <v>-121.65299999999957</v>
      </c>
      <c r="CC78" s="8">
        <f t="shared" si="517"/>
        <v>584.17499999999973</v>
      </c>
      <c r="CD78" s="8">
        <f t="shared" si="517"/>
        <v>-2323.9130000000032</v>
      </c>
      <c r="CE78" s="8">
        <f t="shared" si="517"/>
        <v>5171.4219999999978</v>
      </c>
      <c r="CF78" s="8">
        <f t="shared" si="517"/>
        <v>-6978.9160000000011</v>
      </c>
      <c r="CG78" s="8">
        <f t="shared" si="517"/>
        <v>655.15200000000186</v>
      </c>
      <c r="CH78" s="8">
        <f t="shared" si="517"/>
        <v>-214.70400000000018</v>
      </c>
      <c r="CI78" s="8">
        <f t="shared" si="517"/>
        <v>-84.316999999983636</v>
      </c>
    </row>
    <row r="79" spans="2:90" ht="13.5" customHeight="1">
      <c r="B79" s="7" t="s">
        <v>346</v>
      </c>
      <c r="C79" s="4">
        <v>-537.77</v>
      </c>
      <c r="D79" s="4">
        <v>207.577</v>
      </c>
      <c r="E79" s="4">
        <v>560.37099999999998</v>
      </c>
      <c r="F79" s="4">
        <v>-356.42399999999998</v>
      </c>
      <c r="G79" s="4">
        <v>99.087000000000003</v>
      </c>
      <c r="H79" s="4">
        <v>99.087000000000003</v>
      </c>
      <c r="I79" s="4">
        <v>-377.916</v>
      </c>
      <c r="J79" s="4">
        <v>-377.916</v>
      </c>
      <c r="K79" s="4">
        <v>-9</v>
      </c>
      <c r="L79" s="267">
        <v>278.95100000000002</v>
      </c>
      <c r="M79" s="267">
        <v>278.95100000000002</v>
      </c>
      <c r="N79" s="267">
        <v>-472.73399999999998</v>
      </c>
      <c r="O79" s="4">
        <v>-472.73500000000001</v>
      </c>
      <c r="P79" s="4">
        <v>-836.77499999999998</v>
      </c>
      <c r="Q79" s="4">
        <v>630.76900000000001</v>
      </c>
      <c r="R79" s="4">
        <v>-714.66200000000003</v>
      </c>
      <c r="S79" s="95">
        <f t="shared" ref="S79:S80" si="518">SUM(BF79:BI79)</f>
        <v>-637.25400000000002</v>
      </c>
      <c r="U79" s="4">
        <v>189.31800000000001</v>
      </c>
      <c r="V79" s="4">
        <f>687.694-U79</f>
        <v>498.37599999999998</v>
      </c>
      <c r="W79" s="4">
        <f>408.262-V79-U79</f>
        <v>-279.43200000000002</v>
      </c>
      <c r="X79" s="6">
        <f>E79-SUM(U79:W79)</f>
        <v>152.10900000000004</v>
      </c>
      <c r="Y79" s="4">
        <v>-380.928</v>
      </c>
      <c r="Z79" s="4">
        <f>-853.297-Y79</f>
        <v>-472.36900000000003</v>
      </c>
      <c r="AA79" s="4">
        <f>-863.39-Z79-Y79</f>
        <v>-10.092999999999961</v>
      </c>
      <c r="AB79" s="6">
        <f>F79-SUM(Y79:AA79)</f>
        <v>506.96600000000001</v>
      </c>
      <c r="AC79" s="4">
        <v>-274.32299999999998</v>
      </c>
      <c r="AD79" s="4">
        <f>155.261-AC79</f>
        <v>429.58399999999995</v>
      </c>
      <c r="AE79" s="4">
        <f>-233.716-AD79-AC79</f>
        <v>-388.97699999999998</v>
      </c>
      <c r="AF79" s="95">
        <f>G79-AE79-AD79-AC79</f>
        <v>332.803</v>
      </c>
      <c r="AG79" s="4">
        <v>-90.117000000000004</v>
      </c>
      <c r="AH79" s="4">
        <f>-130.159-AG79</f>
        <v>-40.041999999999987</v>
      </c>
      <c r="AI79" s="4">
        <f>-71.258-AH79-AG79</f>
        <v>58.900999999999996</v>
      </c>
      <c r="AJ79" s="95">
        <f>I79-AI79-AH79-AG79</f>
        <v>-306.65800000000002</v>
      </c>
      <c r="AK79" s="4">
        <v>2113.7809999999999</v>
      </c>
      <c r="AL79" s="4">
        <f>1393-AK79</f>
        <v>-720.78099999999995</v>
      </c>
      <c r="AM79" s="4">
        <f>1292.847-AL79-AK79</f>
        <v>-100.15300000000002</v>
      </c>
      <c r="AN79" s="95">
        <f>K79-AM79-AL79-AK79</f>
        <v>-1301.847</v>
      </c>
      <c r="AO79" s="4">
        <v>222.166</v>
      </c>
      <c r="AP79" s="4">
        <f>-89.871-AO79</f>
        <v>-312.03699999999998</v>
      </c>
      <c r="AQ79" s="4">
        <f>95.491-AP79-AO79</f>
        <v>185.36199999999997</v>
      </c>
      <c r="AR79" s="95">
        <f>M79-AQ79-AP79-AO79</f>
        <v>183.46000000000004</v>
      </c>
      <c r="AS79" s="4">
        <v>-150.04</v>
      </c>
      <c r="AT79" s="4">
        <f>-127.019-AS79</f>
        <v>23.020999999999987</v>
      </c>
      <c r="AU79" s="4">
        <f>-148.671-AT79-AS79</f>
        <v>-21.651999999999987</v>
      </c>
      <c r="AV79" s="95">
        <f>N79-AU79-AT79-AS79</f>
        <v>-324.06299999999999</v>
      </c>
      <c r="AW79" s="4">
        <v>-126.244</v>
      </c>
      <c r="AX79" s="4">
        <f>-705.024-AW79</f>
        <v>-578.78</v>
      </c>
      <c r="AY79" s="4">
        <f>-630.937-AX79-AW79</f>
        <v>74.086999999999961</v>
      </c>
      <c r="AZ79" s="95">
        <f>P79-AY79-AX79-AW79</f>
        <v>-205.83799999999999</v>
      </c>
      <c r="BA79" s="4">
        <v>-316.09199999999998</v>
      </c>
      <c r="BB79" s="4">
        <f>286.131-BA79</f>
        <v>602.22299999999996</v>
      </c>
      <c r="BC79" s="4">
        <f>732.916-BB79-BA79</f>
        <v>446.78500000000008</v>
      </c>
      <c r="BD79" s="95">
        <f>Q79-BC79-BB79-BA79</f>
        <v>-102.14700000000005</v>
      </c>
      <c r="BE79" s="4">
        <v>104.904</v>
      </c>
      <c r="BF79" s="4">
        <f>-342.897-BE79</f>
        <v>-447.80099999999999</v>
      </c>
      <c r="BG79" s="4">
        <f>-501.945-BF79-BE79</f>
        <v>-159.048</v>
      </c>
      <c r="BH79" s="6">
        <f t="shared" si="435"/>
        <v>-212.71700000000004</v>
      </c>
      <c r="BI79" s="4">
        <v>182.31200000000001</v>
      </c>
      <c r="BJ79" s="4"/>
      <c r="BK79" s="4">
        <v>-274.32299999999998</v>
      </c>
      <c r="BL79" s="4">
        <f>155.261-BK79</f>
        <v>429.58399999999995</v>
      </c>
      <c r="BM79" s="4">
        <f>-233.716-BL79-BK79</f>
        <v>-388.97699999999998</v>
      </c>
      <c r="BN79" s="95">
        <f>H79-BM79-BL79-BK79</f>
        <v>332.803</v>
      </c>
      <c r="BO79" s="4">
        <f>-130.159-AG79</f>
        <v>-40.041999999999987</v>
      </c>
      <c r="BP79" s="4">
        <f>-71.258-BO79-AG79</f>
        <v>58.900999999999996</v>
      </c>
      <c r="BQ79" s="41" t="e">
        <f>#REF!-Y79-Z79-AA79</f>
        <v>#REF!</v>
      </c>
      <c r="BR79" s="95">
        <f>J79-AG79-AH79-AI79</f>
        <v>-306.65800000000002</v>
      </c>
      <c r="BS79" s="4">
        <v>2101.143</v>
      </c>
      <c r="BT79" s="4">
        <f>1393-BS79</f>
        <v>-708.14300000000003</v>
      </c>
      <c r="BU79" s="4">
        <f>1292.847-BT79-AK79</f>
        <v>-112.79099999999994</v>
      </c>
      <c r="BV79" s="95">
        <f>K79-BS79-BT79-BU79</f>
        <v>-1289.2090000000001</v>
      </c>
      <c r="BW79" s="95"/>
      <c r="BX79" s="4">
        <f>222.166</f>
        <v>222.166</v>
      </c>
      <c r="BY79" s="4">
        <f>-89.871-BX79</f>
        <v>-312.03699999999998</v>
      </c>
      <c r="BZ79" s="4">
        <f>95.491-BY79-BX79</f>
        <v>185.36199999999997</v>
      </c>
      <c r="CA79" s="95">
        <f>M79-BX79-BY79-BZ79</f>
        <v>183.46000000000004</v>
      </c>
      <c r="CB79" s="4">
        <v>-150.04</v>
      </c>
      <c r="CC79" s="4">
        <f>-128.616-CB79</f>
        <v>21.423999999999978</v>
      </c>
      <c r="CD79" s="4">
        <f>-148.673-CC79-CB79</f>
        <v>-20.056999999999988</v>
      </c>
      <c r="CE79" s="95">
        <f>O79-CB79-CC79-CD79</f>
        <v>-324.06200000000001</v>
      </c>
      <c r="CF79" s="4">
        <v>-126.244</v>
      </c>
      <c r="CG79" s="4">
        <f>-705.024-CF79</f>
        <v>-578.78</v>
      </c>
      <c r="CH79" s="4">
        <f>-630.937-CG79-CF79</f>
        <v>74.086999999999961</v>
      </c>
      <c r="CI79" s="95">
        <f>P79-CF79-CG79-CH79</f>
        <v>-205.83799999999994</v>
      </c>
    </row>
    <row r="80" spans="2:90" ht="13.5" customHeight="1">
      <c r="B80" s="7" t="s">
        <v>347</v>
      </c>
      <c r="C80" s="97">
        <f>605.033-C78</f>
        <v>3075.1240000000003</v>
      </c>
      <c r="D80" s="97">
        <f>1253.855-D79-D78</f>
        <v>-2092.9390000000012</v>
      </c>
      <c r="E80" s="97">
        <f>2989.172-E79-E78</f>
        <v>1491.5000000000027</v>
      </c>
      <c r="F80" s="97">
        <f>401.936-F79-F78</f>
        <v>-6370.2959999999985</v>
      </c>
      <c r="G80" s="97">
        <f>367.611-G79-G78</f>
        <v>-6077.8740000000053</v>
      </c>
      <c r="H80" s="97">
        <f>367.611-H79-H78</f>
        <v>-4307.2400000000007</v>
      </c>
      <c r="I80" s="97">
        <f>-1332.532-I79-I78</f>
        <v>-8438.0800000000017</v>
      </c>
      <c r="J80" s="97">
        <f>-1332.532-J79-J78</f>
        <v>-8215.1990000000042</v>
      </c>
      <c r="K80" s="97">
        <f>3016.259-K79-K78</f>
        <v>2245.174</v>
      </c>
      <c r="L80" s="97">
        <f>-520.079-L79-L78</f>
        <v>436.33899999999949</v>
      </c>
      <c r="M80" s="97">
        <f>-520.079-M79-M78</f>
        <v>2745.579999999999</v>
      </c>
      <c r="N80" s="97">
        <f>3565.673-N79-N78</f>
        <v>-2804.704999999994</v>
      </c>
      <c r="O80" s="97">
        <f>3565.673-O79-O78</f>
        <v>-1013.1119999999969</v>
      </c>
      <c r="P80" s="97">
        <f>-5960.014-P79-P78</f>
        <v>1499.5459999999812</v>
      </c>
      <c r="Q80" s="97">
        <f>1703.919-Q79-Q78</f>
        <v>2066.0719999999988</v>
      </c>
      <c r="R80" s="97">
        <f>477.996-R79-R78</f>
        <v>3126.257000000001</v>
      </c>
      <c r="S80" s="95">
        <f t="shared" si="518"/>
        <v>2777.1180000000018</v>
      </c>
      <c r="U80" s="97">
        <f>2681.059-U79-U78</f>
        <v>1516.1469999999997</v>
      </c>
      <c r="V80" s="97">
        <f>1109.655-V79-V78-U79-U78-U80</f>
        <v>1206.329</v>
      </c>
      <c r="W80" s="97">
        <f>5372.262-W79-W78-V79-V78-V80-U78-U79-U80</f>
        <v>1102.5240000000015</v>
      </c>
      <c r="X80" s="6">
        <f>E80-SUM(U80:W80)</f>
        <v>-2333.4999999999982</v>
      </c>
      <c r="Y80" s="97">
        <f>970.177-Y79-Y78</f>
        <v>609.65999999999974</v>
      </c>
      <c r="Z80" s="97">
        <f>-1184.954-Z79-Z78-Y79-Y78-Y80</f>
        <v>-656.39499999999975</v>
      </c>
      <c r="AA80" s="97">
        <f>-1129.39-AA79-AA78-Z79-Z78-Z80-Y78-Y79-Y80</f>
        <v>-377.26499999999862</v>
      </c>
      <c r="AB80" s="6">
        <f>F80-SUM(Y80:AA80)</f>
        <v>-5946.2960000000003</v>
      </c>
      <c r="AC80" s="97">
        <f>-2199.476-AC79-AC78</f>
        <v>367.5979999999995</v>
      </c>
      <c r="AD80" s="97">
        <f>859.867-AD79-AD78-AC79-AC78-AC80</f>
        <v>-977.94300000000021</v>
      </c>
      <c r="AE80" s="97">
        <f>757.51-AE79-AE78-AD79-AD78-AD80-AC78-AC79-AC80</f>
        <v>90.194000000002802</v>
      </c>
      <c r="AF80" s="95">
        <f>G80-AE80-AD80-AC80</f>
        <v>-5557.7230000000072</v>
      </c>
      <c r="AG80" s="97">
        <f>-478.919-AG79-AG78</f>
        <v>-1181.0589999999995</v>
      </c>
      <c r="AH80" s="97">
        <f>-1895.01-AH79-AH78-AG79-AG78-AG80</f>
        <v>-2496.3080000000009</v>
      </c>
      <c r="AI80" s="97">
        <f>9476.377-AI79-AI78-AH80-AH79-AH78-AG80-AG79-AG78</f>
        <v>-2234.5579999999973</v>
      </c>
      <c r="AJ80" s="95">
        <f>I80-AI80-AH80-AG80</f>
        <v>-2526.1550000000043</v>
      </c>
      <c r="AK80" s="97">
        <f>19191.534-AK79-AK78</f>
        <v>1269.3590000000004</v>
      </c>
      <c r="AL80" s="97">
        <f>4084.825-AL79-AL78-AK79-AK78-AK80</f>
        <v>3433.7670000000071</v>
      </c>
      <c r="AM80" s="97">
        <f>5780.458-AM79-AM78-AL79-AL78-AL80-AK78-AK79-AK80</f>
        <v>2627.1959999999954</v>
      </c>
      <c r="AN80" s="95">
        <f>K80-AM80-AL80-AK80</f>
        <v>-5085.1480000000029</v>
      </c>
      <c r="AO80" s="97">
        <f>2050.285-AO79-AO78</f>
        <v>1058.7620000000006</v>
      </c>
      <c r="AP80" s="97">
        <f>2645.802-AP79-AP78-AO79-AO78-AO80</f>
        <v>2552.9249999999993</v>
      </c>
      <c r="AQ80" s="97">
        <f>1885.974-AQ79-AQ78-AP79-AP78-AP80-AO78-AO79-AO80</f>
        <v>811.88900000000399</v>
      </c>
      <c r="AR80" s="95">
        <f>M80-AQ80-AP80-AO80</f>
        <v>-1677.9960000000049</v>
      </c>
      <c r="AS80" s="97">
        <f>351.407-AS79-AS78</f>
        <v>610.41199999999947</v>
      </c>
      <c r="AT80" s="97">
        <f>-1974.789-AT79-AT78-AS79-AS78-AS80</f>
        <v>-3504.5310000000027</v>
      </c>
      <c r="AU80" s="97">
        <f>-1420.427-AU79-AU78-AT79-AT78-AT80-AS78-AS79-AS80</f>
        <v>3258.9130000000023</v>
      </c>
      <c r="AV80" s="95">
        <f>N80-AU80-AT80-AS80</f>
        <v>-3169.4989999999934</v>
      </c>
      <c r="AW80" s="97">
        <f>-6331.975-AW79-AW78</f>
        <v>752.91399999999976</v>
      </c>
      <c r="AX80" s="97">
        <f>-5827.351-AX79-AX78-AW79-AW78-AW80</f>
        <v>414.69299999999748</v>
      </c>
      <c r="AY80" s="97">
        <f>-6063.849-AY79-AY78-AX79-AX78-AX80-AW78-AW79-AW80</f>
        <v>-119.82799999999918</v>
      </c>
      <c r="AZ80" s="95">
        <f>P80-AY80-AX80-AW80</f>
        <v>451.766999999983</v>
      </c>
      <c r="BA80" s="97">
        <f>11214.488-BA79-BA78</f>
        <v>375.59500000000116</v>
      </c>
      <c r="BB80" s="97">
        <f>1262.496-BB79-BB78-BA79-BA78-BA80</f>
        <v>773.95100000000275</v>
      </c>
      <c r="BC80" s="97">
        <f>2081.193-BC79-BC78-BB79-BB78-BB80-BA78-BA79-BA80</f>
        <v>266.93799999999408</v>
      </c>
      <c r="BD80" s="95">
        <f>Q80-BC80-BB80-BA80</f>
        <v>649.58800000000065</v>
      </c>
      <c r="BE80" s="97">
        <f>9721.902-BE79-BE78</f>
        <v>1133.08</v>
      </c>
      <c r="BF80" s="97">
        <f>-563.271-BF79-BF78-BE79-BE78-BE80</f>
        <v>570.94000000000415</v>
      </c>
      <c r="BG80" s="97">
        <f>5559.716-BG79-BG78-BF79-BF78-BF80-BE78-BE79-BE80</f>
        <v>319.08599999999251</v>
      </c>
      <c r="BH80" s="6">
        <f t="shared" si="435"/>
        <v>1103.1510000000044</v>
      </c>
      <c r="BI80" s="97">
        <f>11038.918-BI79-BI78</f>
        <v>783.94100000000071</v>
      </c>
      <c r="BJ80" s="290"/>
      <c r="BK80" s="97">
        <f>-2199.476-BK79-BK78</f>
        <v>356.5979999999995</v>
      </c>
      <c r="BL80" s="97">
        <f>859.867-BL79-BL78-BK79-BK78-BK80</f>
        <v>-962.67800000000034</v>
      </c>
      <c r="BM80" s="97">
        <f>757.51-BM79-BM78-BL79-BL78-BL80-BK78-BK79-BK80</f>
        <v>89.929000000003384</v>
      </c>
      <c r="BN80" s="95">
        <f>H80-BM80-BL80-BK80</f>
        <v>-3791.0890000000036</v>
      </c>
      <c r="BO80" s="97">
        <f>-1895.01-BO79-BO78-AG79-AG78-AG80</f>
        <v>-2527.3080000000009</v>
      </c>
      <c r="BP80" s="97">
        <f>9476.377-BP79-BP78-BO79-BO78-BO80-AG79-AG78-AG80</f>
        <v>-2251.5580000000009</v>
      </c>
      <c r="BQ80" s="41" t="e">
        <f>#REF!-Y80-Z80-AA80</f>
        <v>#REF!</v>
      </c>
      <c r="BR80" s="95">
        <f>J80-AG80-AH80-AI80</f>
        <v>-2303.2740000000067</v>
      </c>
      <c r="BS80" s="97">
        <f>19178.896-BS79-BS78</f>
        <v>534.54999999999927</v>
      </c>
      <c r="BT80" s="97">
        <f>4084.825-BT79-BT78-BS79-BS78-BS80</f>
        <v>4147.5760000000046</v>
      </c>
      <c r="BU80" s="97">
        <f>5780.458-BU79-BU78-BT79-BT78-BT80-AK79-AK78-AK80</f>
        <v>1892.3869999999952</v>
      </c>
      <c r="BV80" s="95">
        <f>K80-BS80-BT80-BU80</f>
        <v>-4329.338999999999</v>
      </c>
      <c r="BW80" s="95"/>
      <c r="BX80" s="97">
        <f>2050.285-BX79-BX78</f>
        <v>21.523000000000366</v>
      </c>
      <c r="BY80" s="97">
        <f>2645.801-BY79-BY78-BX79-BX78-BX80</f>
        <v>-1307.350000000004</v>
      </c>
      <c r="BZ80" s="97">
        <f>1885.973-BZ79-BZ78-BY79-BY78-BY80-BX79-BX78-BX80</f>
        <v>2746.4330000000045</v>
      </c>
      <c r="CA80" s="95">
        <f>M80-BX80-BY80-BZ80</f>
        <v>1284.9739999999983</v>
      </c>
      <c r="CB80" s="97">
        <f>351.407-CB79-CB78</f>
        <v>623.09999999999957</v>
      </c>
      <c r="CC80" s="97">
        <f>-1974.789-CC79-CC78-CB79-CB78-CB80</f>
        <v>-2931.7950000000001</v>
      </c>
      <c r="CD80" s="97">
        <f>-1420.427-CD79-CD78-CC79-CC78-CC80-CB78-CB79-CB80</f>
        <v>2898.332000000004</v>
      </c>
      <c r="CE80" s="95">
        <f>O80-CB80-CC80-CD80</f>
        <v>-1602.7490000000003</v>
      </c>
      <c r="CF80" s="97">
        <f>-6331.975-CF79-CF78</f>
        <v>773.1850000000004</v>
      </c>
      <c r="CG80" s="97">
        <f>-5827.351-CG79-CG78-CF79-CF78-CF80</f>
        <v>428.25199999999859</v>
      </c>
      <c r="CH80" s="97">
        <f>-6063.85-CH79-CH78-CG79-CG78-CG80-CF78-CF79-CF80</f>
        <v>-95.882000000000176</v>
      </c>
      <c r="CI80" s="95">
        <f>P80-CF80-CG80-CH80</f>
        <v>393.99099999998236</v>
      </c>
    </row>
    <row r="81" spans="2:87" ht="13.5" customHeight="1">
      <c r="B81" s="15" t="s">
        <v>348</v>
      </c>
      <c r="C81" s="8">
        <f t="shared" ref="C81:Z81" si="519">SUM(C78:C80)</f>
        <v>67.26299999999992</v>
      </c>
      <c r="D81" s="8">
        <f t="shared" si="519"/>
        <v>1253.8550000000005</v>
      </c>
      <c r="E81" s="8">
        <f t="shared" si="519"/>
        <v>2989.172</v>
      </c>
      <c r="F81" s="8">
        <f t="shared" si="519"/>
        <v>401.93599999999969</v>
      </c>
      <c r="G81" s="8">
        <f t="shared" ref="G81:K81" si="520">SUM(G78:G80)</f>
        <v>367.61100000000079</v>
      </c>
      <c r="H81" s="8">
        <f t="shared" si="520"/>
        <v>367.61100000000079</v>
      </c>
      <c r="I81" s="8">
        <f t="shared" si="520"/>
        <v>-1332.5319999999992</v>
      </c>
      <c r="J81" s="8">
        <f>SUM(J78:J80)</f>
        <v>-1332.5320000000011</v>
      </c>
      <c r="K81" s="8">
        <f t="shared" si="520"/>
        <v>3016.259</v>
      </c>
      <c r="L81" s="8">
        <f t="shared" ref="L81:N81" si="521">SUM(L78:L80)</f>
        <v>-520.07899999999995</v>
      </c>
      <c r="M81" s="8">
        <f t="shared" ref="M81" si="522">SUM(M78:M80)</f>
        <v>-520.07899999999972</v>
      </c>
      <c r="N81" s="8">
        <f t="shared" si="521"/>
        <v>3565.6729999999993</v>
      </c>
      <c r="O81" s="8">
        <f t="shared" ref="O81" si="523">SUM(O78:O80)</f>
        <v>3565.6730000000002</v>
      </c>
      <c r="P81" s="8">
        <f t="shared" ref="P81:R81" si="524">SUM(P78:P80)</f>
        <v>-5960.0140000000001</v>
      </c>
      <c r="Q81" s="8">
        <f t="shared" si="524"/>
        <v>1703.9190000000001</v>
      </c>
      <c r="R81" s="8">
        <f t="shared" si="524"/>
        <v>477.99599999999964</v>
      </c>
      <c r="S81" s="8">
        <f>SUM(S78:S80)</f>
        <v>1795.0120000000043</v>
      </c>
      <c r="U81" s="8">
        <f t="shared" si="519"/>
        <v>2681.0590000000002</v>
      </c>
      <c r="V81" s="8">
        <f t="shared" si="519"/>
        <v>-1571.4040000000002</v>
      </c>
      <c r="W81" s="8">
        <f t="shared" si="519"/>
        <v>4262.607</v>
      </c>
      <c r="X81" s="8">
        <f t="shared" si="519"/>
        <v>-2383.0899999999997</v>
      </c>
      <c r="Y81" s="8">
        <f t="shared" si="519"/>
        <v>970.17700000000002</v>
      </c>
      <c r="Z81" s="8">
        <f t="shared" si="519"/>
        <v>-2155.1310000000003</v>
      </c>
      <c r="AA81" s="8">
        <f t="shared" ref="AA81:AH81" si="525">SUM(AA78:AA80)</f>
        <v>55.563999999999851</v>
      </c>
      <c r="AB81" s="8">
        <f t="shared" si="525"/>
        <v>1531.3259999999982</v>
      </c>
      <c r="AC81" s="8">
        <f t="shared" si="525"/>
        <v>-2199.4760000000001</v>
      </c>
      <c r="AD81" s="8">
        <f t="shared" si="525"/>
        <v>3059.3429999999998</v>
      </c>
      <c r="AE81" s="8">
        <f t="shared" si="525"/>
        <v>-102.35699999999952</v>
      </c>
      <c r="AF81" s="8">
        <f t="shared" si="525"/>
        <v>-389.89900000000216</v>
      </c>
      <c r="AG81" s="8">
        <f t="shared" si="525"/>
        <v>-478.91899999999987</v>
      </c>
      <c r="AH81" s="8">
        <f t="shared" si="525"/>
        <v>-1416.0910000000001</v>
      </c>
      <c r="AI81" s="8">
        <f t="shared" ref="AI81:AN81" si="526">SUM(AI78:AI80)</f>
        <v>11371.387000000001</v>
      </c>
      <c r="AJ81" s="8">
        <f t="shared" si="526"/>
        <v>-10808.909000000003</v>
      </c>
      <c r="AK81" s="8">
        <f t="shared" si="526"/>
        <v>19191.534</v>
      </c>
      <c r="AL81" s="8">
        <f t="shared" si="526"/>
        <v>-15106.708999999999</v>
      </c>
      <c r="AM81" s="8">
        <f t="shared" si="526"/>
        <v>1695.633</v>
      </c>
      <c r="AN81" s="8">
        <f t="shared" si="526"/>
        <v>-2764.1990000000033</v>
      </c>
      <c r="AO81" s="8">
        <f>SUM(AO78:AO80)</f>
        <v>2050.2849999999999</v>
      </c>
      <c r="AP81" s="8">
        <f>SUM(AP78:AP80)</f>
        <v>595.5169999999996</v>
      </c>
      <c r="AQ81" s="8">
        <f t="shared" ref="AQ81:AR81" si="527">SUM(AQ78:AQ80)</f>
        <v>-759.82799999999975</v>
      </c>
      <c r="AR81" s="8">
        <f t="shared" si="527"/>
        <v>-2406.0530000000044</v>
      </c>
      <c r="AS81" s="8">
        <f>SUM(AS78:AS80)</f>
        <v>351.40700000000004</v>
      </c>
      <c r="AT81" s="8">
        <f>SUM(AT78:AT80)</f>
        <v>-2326.1959999999999</v>
      </c>
      <c r="AU81" s="8">
        <f t="shared" ref="AU81:AV81" si="528">SUM(AU78:AU80)</f>
        <v>554.36200000000053</v>
      </c>
      <c r="AV81" s="8">
        <f t="shared" si="528"/>
        <v>4986.1000000000067</v>
      </c>
      <c r="AW81" s="8">
        <f>SUM(AW78:AW80)</f>
        <v>-6331.9750000000004</v>
      </c>
      <c r="AX81" s="8">
        <f>SUM(AX78:AX80)</f>
        <v>504.62400000000048</v>
      </c>
      <c r="AY81" s="8">
        <f t="shared" ref="AY81:AZ81" si="529">SUM(AY78:AY80)</f>
        <v>-236.49799999999973</v>
      </c>
      <c r="AZ81" s="8">
        <f t="shared" si="529"/>
        <v>103.83499999999799</v>
      </c>
      <c r="BA81" s="8">
        <f>SUM(BA78:BA80)</f>
        <v>11214.487999999999</v>
      </c>
      <c r="BB81" s="8">
        <f>SUM(BB78:BB80)</f>
        <v>-9951.9920000000002</v>
      </c>
      <c r="BC81" s="8">
        <f t="shared" ref="BC81:BD81" si="530">SUM(BC78:BC80)</f>
        <v>818.69700000000114</v>
      </c>
      <c r="BD81" s="8">
        <f t="shared" si="530"/>
        <v>-377.27400000000671</v>
      </c>
      <c r="BE81" s="8">
        <f>SUM(BE78:BE80)</f>
        <v>9721.902</v>
      </c>
      <c r="BF81" s="8">
        <f>SUM(BF78:BF80)</f>
        <v>-10285.172999999999</v>
      </c>
      <c r="BG81" s="8">
        <f t="shared" ref="BG81:BH81" si="531">SUM(BG78:BG80)</f>
        <v>6122.987000000001</v>
      </c>
      <c r="BH81" s="8">
        <f t="shared" si="531"/>
        <v>-5081.7199999999957</v>
      </c>
      <c r="BI81" s="8">
        <f>SUM(BI78:BI80)</f>
        <v>11038.918</v>
      </c>
      <c r="BJ81" s="8"/>
      <c r="BK81" s="8">
        <f t="shared" ref="BK81:BQ81" si="532">SUM(BK78:BK80)</f>
        <v>-2199.4760000000001</v>
      </c>
      <c r="BL81" s="8">
        <f t="shared" si="532"/>
        <v>3059.3429999999998</v>
      </c>
      <c r="BM81" s="8">
        <f t="shared" si="532"/>
        <v>-102.35699999999974</v>
      </c>
      <c r="BN81" s="8">
        <f t="shared" si="532"/>
        <v>-389.89900000000125</v>
      </c>
      <c r="BO81" s="8">
        <f t="shared" si="532"/>
        <v>-1416.0910000000001</v>
      </c>
      <c r="BP81" s="8">
        <f t="shared" si="532"/>
        <v>11371.387000000001</v>
      </c>
      <c r="BQ81" s="8" t="e">
        <f t="shared" si="532"/>
        <v>#REF!</v>
      </c>
      <c r="BR81" s="8">
        <f>SUM(BR78:BR80)</f>
        <v>-7571.909000000006</v>
      </c>
      <c r="BS81" s="8">
        <f>SUM(BS78:BS80)</f>
        <v>19178.896000000001</v>
      </c>
      <c r="BT81" s="8">
        <f>SUM(BT78:BT80)</f>
        <v>-15094.071</v>
      </c>
      <c r="BU81" s="8">
        <f t="shared" ref="BU81" si="533">SUM(BU78:BU80)</f>
        <v>1682.994999999999</v>
      </c>
      <c r="BV81" s="8">
        <f>SUM(BV78:BV80)</f>
        <v>29665.438999999998</v>
      </c>
      <c r="BW81" s="8"/>
      <c r="BX81" s="8">
        <f>SUM(BX78:BX80)</f>
        <v>2050.2849999999999</v>
      </c>
      <c r="BY81" s="8">
        <f>SUM(BY78:BY80)</f>
        <v>595.51599999999985</v>
      </c>
      <c r="BZ81" s="8">
        <f t="shared" ref="BZ81" si="534">SUM(BZ78:BZ80)</f>
        <v>-759.82799999999952</v>
      </c>
      <c r="CA81" s="8">
        <f>SUM(CA78:CA80)</f>
        <v>-2406.0520000000006</v>
      </c>
      <c r="CB81" s="8">
        <f>SUM(CB78:CB80)</f>
        <v>351.40700000000004</v>
      </c>
      <c r="CC81" s="8">
        <f>SUM(CC78:CC80)</f>
        <v>-2326.1960000000004</v>
      </c>
      <c r="CD81" s="8">
        <f t="shared" ref="CD81" si="535">SUM(CD78:CD80)</f>
        <v>554.36200000000099</v>
      </c>
      <c r="CE81" s="8">
        <f>SUM(CE78:CE80)</f>
        <v>3244.6109999999976</v>
      </c>
      <c r="CF81" s="8">
        <f>SUM(CF78:CF80)</f>
        <v>-6331.9750000000004</v>
      </c>
      <c r="CG81" s="8">
        <f>SUM(CG78:CG80)</f>
        <v>504.62400000000048</v>
      </c>
      <c r="CH81" s="8">
        <f t="shared" ref="CH81" si="536">SUM(CH78:CH80)</f>
        <v>-236.49900000000039</v>
      </c>
      <c r="CI81" s="8">
        <f>SUM(CI78:CI80)</f>
        <v>103.83599999999876</v>
      </c>
    </row>
    <row r="82" spans="2:87" s="5" customFormat="1" ht="13.5" customHeight="1">
      <c r="B82" s="15" t="s">
        <v>349</v>
      </c>
      <c r="C82" s="96">
        <f>2503.98+C81</f>
        <v>2571.2429999999999</v>
      </c>
      <c r="D82" s="8">
        <f>C82+D81</f>
        <v>3825.0980000000004</v>
      </c>
      <c r="E82" s="8">
        <f>D82+E81</f>
        <v>6814.27</v>
      </c>
      <c r="F82" s="8">
        <f>E82+F81</f>
        <v>7216.2060000000001</v>
      </c>
      <c r="G82" s="8">
        <f>F82+G81</f>
        <v>7583.8170000000009</v>
      </c>
      <c r="H82" s="8">
        <f>F82+H81</f>
        <v>7583.8170000000009</v>
      </c>
      <c r="I82" s="8">
        <f>H82+I81</f>
        <v>6251.2850000000017</v>
      </c>
      <c r="J82" s="8">
        <f>H82+J81</f>
        <v>6251.2849999999999</v>
      </c>
      <c r="K82" s="8">
        <f>J82+K81</f>
        <v>9267.5439999999999</v>
      </c>
      <c r="L82" s="8">
        <f>K82+L81</f>
        <v>8747.4650000000001</v>
      </c>
      <c r="M82" s="8">
        <f>K82+M81</f>
        <v>8747.4650000000001</v>
      </c>
      <c r="N82" s="8">
        <f>L82+N81</f>
        <v>12313.137999999999</v>
      </c>
      <c r="O82" s="8">
        <f>M82+O81</f>
        <v>12313.138000000001</v>
      </c>
      <c r="P82" s="8">
        <f>O82+P81</f>
        <v>6353.1240000000007</v>
      </c>
      <c r="Q82" s="8">
        <f>P82+Q81</f>
        <v>8057.0430000000006</v>
      </c>
      <c r="R82" s="8">
        <f>Q82+R81</f>
        <v>8535.0390000000007</v>
      </c>
      <c r="S82" s="8">
        <f>BE82+S81</f>
        <v>19573.956999999988</v>
      </c>
      <c r="T82" s="292"/>
      <c r="U82" s="8">
        <f>D82+U81</f>
        <v>6506.1570000000011</v>
      </c>
      <c r="V82" s="8">
        <f t="shared" ref="V82:AB82" si="537">U82+V81</f>
        <v>4934.7530000000006</v>
      </c>
      <c r="W82" s="8">
        <f t="shared" si="537"/>
        <v>9197.36</v>
      </c>
      <c r="X82" s="8">
        <f t="shared" si="537"/>
        <v>6814.27</v>
      </c>
      <c r="Y82" s="8">
        <f t="shared" si="537"/>
        <v>7784.4470000000001</v>
      </c>
      <c r="Z82" s="8">
        <f t="shared" si="537"/>
        <v>5629.3159999999998</v>
      </c>
      <c r="AA82" s="8">
        <f t="shared" si="537"/>
        <v>5684.8799999999992</v>
      </c>
      <c r="AB82" s="8">
        <f t="shared" si="537"/>
        <v>7216.2059999999974</v>
      </c>
      <c r="AC82" s="8">
        <f t="shared" ref="AC82:AY82" si="538">AB82+AC81</f>
        <v>5016.7299999999977</v>
      </c>
      <c r="AD82" s="8">
        <f t="shared" si="538"/>
        <v>8076.0729999999976</v>
      </c>
      <c r="AE82" s="8">
        <f t="shared" si="538"/>
        <v>7973.7159999999985</v>
      </c>
      <c r="AF82" s="8">
        <f t="shared" si="538"/>
        <v>7583.8169999999964</v>
      </c>
      <c r="AG82" s="8">
        <f t="shared" si="538"/>
        <v>7104.8979999999965</v>
      </c>
      <c r="AH82" s="8">
        <f t="shared" si="538"/>
        <v>5688.8069999999962</v>
      </c>
      <c r="AI82" s="8">
        <f t="shared" si="538"/>
        <v>17060.193999999996</v>
      </c>
      <c r="AJ82" s="8">
        <f t="shared" si="538"/>
        <v>6251.2849999999926</v>
      </c>
      <c r="AK82" s="8">
        <f t="shared" si="538"/>
        <v>25442.818999999992</v>
      </c>
      <c r="AL82" s="8">
        <f t="shared" si="538"/>
        <v>10336.109999999993</v>
      </c>
      <c r="AM82" s="8">
        <f t="shared" si="538"/>
        <v>12031.742999999993</v>
      </c>
      <c r="AN82" s="8">
        <f>AM82+AN81</f>
        <v>9267.5439999999908</v>
      </c>
      <c r="AO82" s="8">
        <f t="shared" si="538"/>
        <v>11317.828999999991</v>
      </c>
      <c r="AP82" s="8">
        <f t="shared" si="538"/>
        <v>11913.34599999999</v>
      </c>
      <c r="AQ82" s="8">
        <f t="shared" si="538"/>
        <v>11153.517999999991</v>
      </c>
      <c r="AR82" s="8">
        <f>AQ82+AR81</f>
        <v>8747.4649999999856</v>
      </c>
      <c r="AS82" s="8">
        <f t="shared" si="538"/>
        <v>9098.8719999999848</v>
      </c>
      <c r="AT82" s="8">
        <f t="shared" si="538"/>
        <v>6772.6759999999849</v>
      </c>
      <c r="AU82" s="8">
        <f t="shared" si="538"/>
        <v>7327.0379999999859</v>
      </c>
      <c r="AV82" s="8">
        <f>AU82+AV81</f>
        <v>12313.137999999992</v>
      </c>
      <c r="AW82" s="8">
        <f t="shared" si="538"/>
        <v>5981.1629999999914</v>
      </c>
      <c r="AX82" s="8">
        <f>AW82+AX81</f>
        <v>6485.7869999999921</v>
      </c>
      <c r="AY82" s="8">
        <f t="shared" si="538"/>
        <v>6249.2889999999925</v>
      </c>
      <c r="AZ82" s="8">
        <f>AY82+AZ81</f>
        <v>6353.1239999999907</v>
      </c>
      <c r="BA82" s="8">
        <f>AZ82+BA81</f>
        <v>17567.61199999999</v>
      </c>
      <c r="BB82" s="8">
        <f>BA82+BB81</f>
        <v>7615.6199999999899</v>
      </c>
      <c r="BC82" s="8">
        <f t="shared" ref="BC82" si="539">BB82+BC81</f>
        <v>8434.3169999999918</v>
      </c>
      <c r="BD82" s="8">
        <f>BC82+BD81</f>
        <v>8057.0429999999851</v>
      </c>
      <c r="BE82" s="8">
        <f>BD82+BE81</f>
        <v>17778.944999999985</v>
      </c>
      <c r="BF82" s="8">
        <f>BE82+BF81</f>
        <v>7493.7719999999863</v>
      </c>
      <c r="BG82" s="8">
        <f t="shared" ref="BG82:BH82" si="540">BF82+BG81</f>
        <v>13616.758999999987</v>
      </c>
      <c r="BH82" s="8">
        <f t="shared" si="540"/>
        <v>8535.0389999999916</v>
      </c>
      <c r="BI82" s="8">
        <f>BH82+BI81</f>
        <v>19573.956999999991</v>
      </c>
      <c r="BJ82" s="8"/>
      <c r="BK82" s="8">
        <f>AB82+BK81</f>
        <v>5016.7299999999977</v>
      </c>
      <c r="BL82" s="8">
        <f>AC82+BL81</f>
        <v>8076.0729999999976</v>
      </c>
      <c r="BM82" s="8">
        <f>AD82+BM81</f>
        <v>7973.7159999999976</v>
      </c>
      <c r="BN82" s="8">
        <f>AE82+BN81</f>
        <v>7583.8169999999973</v>
      </c>
      <c r="BO82" s="8">
        <f>AG82+BO81</f>
        <v>5688.8069999999962</v>
      </c>
      <c r="BP82" s="8">
        <f>AH82+BP81</f>
        <v>17060.193999999996</v>
      </c>
      <c r="BQ82" s="8" t="e">
        <f>AA82+BQ81</f>
        <v>#REF!</v>
      </c>
      <c r="BR82" s="8">
        <f>AI82+BR81</f>
        <v>9488.2849999999889</v>
      </c>
      <c r="BS82" s="8">
        <f>AK82</f>
        <v>25442.818999999992</v>
      </c>
      <c r="BT82" s="8">
        <f>AL82</f>
        <v>10336.109999999993</v>
      </c>
      <c r="BU82" s="8">
        <f>BT82+BU81</f>
        <v>12019.104999999992</v>
      </c>
      <c r="BV82" s="8">
        <f>K82</f>
        <v>9267.5439999999999</v>
      </c>
      <c r="BW82" s="8"/>
      <c r="BX82" s="8">
        <f>AO82</f>
        <v>11317.828999999991</v>
      </c>
      <c r="BY82" s="8">
        <f>AP82</f>
        <v>11913.34599999999</v>
      </c>
      <c r="BZ82" s="8">
        <f>BY82+BZ81</f>
        <v>11153.517999999991</v>
      </c>
      <c r="CA82" s="8">
        <f>M82</f>
        <v>8747.4650000000001</v>
      </c>
      <c r="CB82" s="8">
        <f>AS82</f>
        <v>9098.8719999999848</v>
      </c>
      <c r="CC82" s="8">
        <f>AT82</f>
        <v>6772.6759999999849</v>
      </c>
      <c r="CD82" s="8">
        <f>CC82+CD81</f>
        <v>7327.0379999999859</v>
      </c>
      <c r="CE82" s="8">
        <f>O82</f>
        <v>12313.138000000001</v>
      </c>
      <c r="CF82" s="8">
        <f t="shared" ref="CF82:CG82" si="541">CE82+CF81</f>
        <v>5981.1630000000005</v>
      </c>
      <c r="CG82" s="8">
        <f t="shared" si="541"/>
        <v>6485.7870000000012</v>
      </c>
      <c r="CH82" s="8">
        <f>CG82+CH81</f>
        <v>6249.2880000000005</v>
      </c>
      <c r="CI82" s="8">
        <f>P82</f>
        <v>6353.1240000000007</v>
      </c>
    </row>
    <row r="83" spans="2:87" s="5" customFormat="1" ht="13.5" customHeight="1">
      <c r="B83" s="15"/>
      <c r="C83" s="96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292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</row>
    <row r="84" spans="2:87" s="350" customFormat="1" ht="13.5" customHeight="1">
      <c r="B84" s="352" t="s">
        <v>350</v>
      </c>
      <c r="C84" s="349">
        <f t="shared" ref="C84:S84" si="542">C82-C165</f>
        <v>-0.75700000000006185</v>
      </c>
      <c r="D84" s="349">
        <f t="shared" si="542"/>
        <v>9.8000000000411092E-2</v>
      </c>
      <c r="E84" s="349">
        <f t="shared" si="542"/>
        <v>0</v>
      </c>
      <c r="F84" s="349">
        <f t="shared" si="542"/>
        <v>0</v>
      </c>
      <c r="G84" s="349">
        <f t="shared" si="542"/>
        <v>0</v>
      </c>
      <c r="H84" s="349">
        <f t="shared" si="542"/>
        <v>0</v>
      </c>
      <c r="I84" s="349">
        <f t="shared" si="542"/>
        <v>0</v>
      </c>
      <c r="J84" s="349">
        <f t="shared" si="542"/>
        <v>0</v>
      </c>
      <c r="K84" s="349">
        <f t="shared" si="542"/>
        <v>0</v>
      </c>
      <c r="L84" s="349">
        <f t="shared" si="542"/>
        <v>0</v>
      </c>
      <c r="M84" s="349">
        <f t="shared" si="542"/>
        <v>0</v>
      </c>
      <c r="N84" s="349">
        <f t="shared" si="542"/>
        <v>0</v>
      </c>
      <c r="O84" s="349">
        <f t="shared" si="542"/>
        <v>0</v>
      </c>
      <c r="P84" s="349">
        <f t="shared" si="542"/>
        <v>0</v>
      </c>
      <c r="Q84" s="349">
        <f t="shared" si="542"/>
        <v>0</v>
      </c>
      <c r="R84" s="349">
        <f t="shared" si="542"/>
        <v>0</v>
      </c>
      <c r="S84" s="349">
        <f t="shared" si="542"/>
        <v>0</v>
      </c>
      <c r="U84" s="349">
        <f t="shared" ref="U84:BH84" si="543">U82-U165</f>
        <v>99.157000000001062</v>
      </c>
      <c r="V84" s="349">
        <f t="shared" si="543"/>
        <v>303.75300000000061</v>
      </c>
      <c r="W84" s="349">
        <f t="shared" si="543"/>
        <v>302.36000000000058</v>
      </c>
      <c r="X84" s="349">
        <f t="shared" si="543"/>
        <v>0</v>
      </c>
      <c r="Y84" s="349">
        <f t="shared" si="543"/>
        <v>0.44700000000011642</v>
      </c>
      <c r="Z84" s="349">
        <f t="shared" si="543"/>
        <v>0.31599999999980355</v>
      </c>
      <c r="AA84" s="349">
        <f t="shared" si="543"/>
        <v>-0.12000000000080036</v>
      </c>
      <c r="AB84" s="349">
        <f t="shared" si="543"/>
        <v>0</v>
      </c>
      <c r="AC84" s="349">
        <f t="shared" si="543"/>
        <v>0</v>
      </c>
      <c r="AD84" s="349">
        <f t="shared" si="543"/>
        <v>0</v>
      </c>
      <c r="AE84" s="349">
        <f t="shared" si="543"/>
        <v>0</v>
      </c>
      <c r="AF84" s="349">
        <f t="shared" si="543"/>
        <v>0</v>
      </c>
      <c r="AG84" s="349">
        <f t="shared" si="543"/>
        <v>0</v>
      </c>
      <c r="AH84" s="349">
        <f t="shared" si="543"/>
        <v>0</v>
      </c>
      <c r="AI84" s="349">
        <f t="shared" si="543"/>
        <v>0</v>
      </c>
      <c r="AJ84" s="349">
        <f t="shared" si="543"/>
        <v>-7.2759576141834259E-12</v>
      </c>
      <c r="AK84" s="349">
        <f t="shared" si="543"/>
        <v>0</v>
      </c>
      <c r="AL84" s="349">
        <f t="shared" si="543"/>
        <v>0</v>
      </c>
      <c r="AM84" s="349">
        <f t="shared" si="543"/>
        <v>0</v>
      </c>
      <c r="AN84" s="349">
        <f t="shared" si="543"/>
        <v>0</v>
      </c>
      <c r="AO84" s="349">
        <f t="shared" si="543"/>
        <v>0</v>
      </c>
      <c r="AP84" s="349">
        <f t="shared" si="543"/>
        <v>0</v>
      </c>
      <c r="AQ84" s="349">
        <f t="shared" si="543"/>
        <v>0</v>
      </c>
      <c r="AR84" s="349">
        <f t="shared" si="543"/>
        <v>-1.4551915228366852E-11</v>
      </c>
      <c r="AS84" s="349">
        <f t="shared" si="543"/>
        <v>-1.4551915228366852E-11</v>
      </c>
      <c r="AT84" s="349">
        <f t="shared" si="543"/>
        <v>-1.546140993013978E-11</v>
      </c>
      <c r="AU84" s="349">
        <f t="shared" si="543"/>
        <v>-1.3642420526593924E-11</v>
      </c>
      <c r="AV84" s="349">
        <f t="shared" si="543"/>
        <v>0</v>
      </c>
      <c r="AW84" s="349">
        <f t="shared" si="543"/>
        <v>-8.1854523159563541E-12</v>
      </c>
      <c r="AX84" s="349">
        <f t="shared" si="543"/>
        <v>-8.1854523159563541E-12</v>
      </c>
      <c r="AY84" s="349">
        <f t="shared" si="543"/>
        <v>-7.2759576141834259E-12</v>
      </c>
      <c r="AZ84" s="349">
        <f t="shared" si="543"/>
        <v>-9.0949470177292824E-12</v>
      </c>
      <c r="BA84" s="349">
        <f t="shared" si="543"/>
        <v>0</v>
      </c>
      <c r="BB84" s="349">
        <f t="shared" si="543"/>
        <v>-1.0004441719502211E-11</v>
      </c>
      <c r="BC84" s="349">
        <f t="shared" si="543"/>
        <v>0</v>
      </c>
      <c r="BD84" s="349">
        <f t="shared" si="543"/>
        <v>-1.4551915228366852E-11</v>
      </c>
      <c r="BE84" s="349">
        <f t="shared" si="543"/>
        <v>0</v>
      </c>
      <c r="BF84" s="349">
        <f t="shared" si="543"/>
        <v>-1.3642420526593924E-11</v>
      </c>
      <c r="BG84" s="349">
        <f t="shared" si="543"/>
        <v>0</v>
      </c>
      <c r="BH84" s="349">
        <f t="shared" si="543"/>
        <v>0</v>
      </c>
      <c r="BI84" s="349">
        <f t="shared" ref="BI84" si="544">BI82-BI165</f>
        <v>0</v>
      </c>
      <c r="BJ84" s="349"/>
      <c r="BK84" s="349"/>
      <c r="BL84" s="349"/>
      <c r="BM84" s="349"/>
      <c r="BN84" s="349"/>
      <c r="BO84" s="349"/>
      <c r="BP84" s="349"/>
      <c r="BQ84" s="349"/>
      <c r="BR84" s="349"/>
      <c r="BS84" s="349"/>
      <c r="BT84" s="360"/>
      <c r="BU84" s="349"/>
      <c r="BV84" s="349"/>
      <c r="BW84" s="349"/>
      <c r="BX84" s="349"/>
      <c r="BY84" s="360"/>
      <c r="BZ84" s="360"/>
      <c r="CA84" s="349"/>
      <c r="CB84" s="349"/>
      <c r="CC84" s="360"/>
      <c r="CD84" s="360"/>
      <c r="CE84" s="349"/>
      <c r="CF84" s="349"/>
      <c r="CG84" s="360"/>
      <c r="CH84" s="360"/>
      <c r="CI84" s="349"/>
    </row>
    <row r="85" spans="2:87" s="350" customFormat="1" ht="13.5" customHeight="1">
      <c r="B85" s="352" t="s">
        <v>351</v>
      </c>
      <c r="C85" s="349">
        <f>16325.19-SUM(C60:C62)-C80</f>
        <v>-169.99999999999864</v>
      </c>
      <c r="D85" s="349">
        <f>17744.103-SUM(D60:D62)-D80</f>
        <v>0</v>
      </c>
      <c r="E85" s="349">
        <f>23100.4-SUM(E60:E62)-E80</f>
        <v>9.9999999747524271E-4</v>
      </c>
      <c r="F85" s="349">
        <f>22842.024-SUM(F60:F62)-F80</f>
        <v>0</v>
      </c>
      <c r="G85" s="349">
        <f>20083.626-SUM(G60:G62)-G80</f>
        <v>0</v>
      </c>
      <c r="H85" s="349">
        <f>20981.76-SUM(H60:H62)-H80</f>
        <v>0</v>
      </c>
      <c r="I85" s="349">
        <f>28120.177-SUM(I60:I62)-I80</f>
        <v>0</v>
      </c>
      <c r="J85" s="349">
        <f>28343.058-SUM(J60:J62)-J80</f>
        <v>0</v>
      </c>
      <c r="K85" s="349">
        <f>43880.531-SUM(K60:K62)-K80</f>
        <v>6.3664629124104977E-12</v>
      </c>
      <c r="L85" s="349">
        <f>46386.815-SUM(L60:L62)-L80</f>
        <v>4.5474735088646412E-13</v>
      </c>
      <c r="M85" s="349">
        <f>46081.872-SUM(M60:M62)-M80</f>
        <v>0</v>
      </c>
      <c r="N85" s="349">
        <f>41041.933-SUM(N60:N62)-N80</f>
        <v>-7.73070496506989E-12</v>
      </c>
      <c r="O85" s="349">
        <f>38854.549-SUM(O60:O62)-O80</f>
        <v>-4.0927261579781771E-12</v>
      </c>
      <c r="P85" s="349">
        <f>32446.976-SUM(P60:P62)-P80</f>
        <v>1.7280399333685637E-11</v>
      </c>
      <c r="Q85" s="349">
        <f>40007.418-SUM(Q60:Q62)-Q80</f>
        <v>-5.9117155615240335E-12</v>
      </c>
      <c r="R85" s="349">
        <f>47742.9-SUM(R60:R62)-R80</f>
        <v>4.0927261579781771E-12</v>
      </c>
      <c r="S85" s="349"/>
      <c r="U85" s="349">
        <f>4272.599-U62-U61-U60-U80</f>
        <v>-0.23399999999924148</v>
      </c>
      <c r="V85" s="349">
        <f>9403.634-V60-V61-V62-4272.599-V80</f>
        <v>-0.16399999999998727</v>
      </c>
      <c r="W85" s="349">
        <f>17243-SUM(W60:W62)-9403.634-W80</f>
        <v>0.39799999999900137</v>
      </c>
      <c r="X85" s="351">
        <f>E85-SUM(U85:W85)</f>
        <v>9.9999999770261638E-4</v>
      </c>
      <c r="Y85" s="349">
        <f>4529.835-Y62-Y61-Y60-Y80</f>
        <v>0</v>
      </c>
      <c r="Z85" s="349">
        <f>10749.494-Z60-Z61-Z62-4529.835-Z80</f>
        <v>0</v>
      </c>
      <c r="AA85" s="349">
        <f>15837-SUM(AA60:AA62)-10749.494-AA80</f>
        <v>-2.6147972675971687E-12</v>
      </c>
      <c r="AB85" s="351">
        <f>F85-SUM(Y85:AA85)</f>
        <v>2.6147972675971687E-12</v>
      </c>
      <c r="AC85" s="349">
        <f>2443.566-AC62-AC61-AC60-AC80</f>
        <v>4.5474735088646412E-13</v>
      </c>
      <c r="AD85" s="349">
        <f>7402.197-AD60-AD61-AD62-2443.566-AD80</f>
        <v>0</v>
      </c>
      <c r="AE85" s="349">
        <f>13393.841-SUM(AE60:AE62)-7402.197-AE80</f>
        <v>-1.4779288903810084E-12</v>
      </c>
      <c r="AF85" s="351">
        <f>G85-SUM(AC85:AE85)</f>
        <v>1.0231815394945443E-12</v>
      </c>
      <c r="AG85" s="349">
        <f>2707.619-AG62-AG61-AG60-AG80</f>
        <v>0</v>
      </c>
      <c r="AH85" s="349">
        <f>10661.912-AH60-AH61-AH62-2707.619-AH80</f>
        <v>0</v>
      </c>
      <c r="AI85" s="349">
        <f>18261.596-SUM(AI60:AI62)-AI80-AH80-AH62-AH61-AH60-AG80-AG62-AG61-AG60</f>
        <v>0</v>
      </c>
      <c r="AJ85" s="351">
        <f>I85-SUM(AG85:AI85)</f>
        <v>0</v>
      </c>
      <c r="AK85" s="349">
        <f>7606.725-AK62-AK61-AK60-AK80</f>
        <v>0</v>
      </c>
      <c r="AL85" s="349">
        <f>20373.224-AL60-AL61-AL62-7606.725-AL80</f>
        <v>-7.2759576141834259E-12</v>
      </c>
      <c r="AM85" s="349">
        <f>32850.57-AM60-AM61-AM62-20373.224-AM80</f>
        <v>4.5474735088646412E-12</v>
      </c>
      <c r="AN85" s="351">
        <f>K85-SUM(AK85:AM85)</f>
        <v>9.0949470177292824E-12</v>
      </c>
      <c r="AO85" s="349">
        <f>9340.042-AO62-AO61-AO60-AO80</f>
        <v>-1.8189894035458565E-12</v>
      </c>
      <c r="AP85" s="349">
        <f>21859.262-AP60-AP61-AP62-AP80-9340.042</f>
        <v>0</v>
      </c>
      <c r="AQ85" s="349">
        <f>33092.921-AQ60-AQ61-AQ62-AQ80-21859.262</f>
        <v>0</v>
      </c>
      <c r="AR85" s="351">
        <f>L85-SUM(AO85:AQ85)</f>
        <v>2.2737367544323206E-12</v>
      </c>
      <c r="AS85" s="349">
        <f>6979.19-AS62-AS61-AS60-AS80</f>
        <v>0</v>
      </c>
      <c r="AT85" s="349">
        <f>16082.911-AT60-AT61-AT62-AT80-6979.19</f>
        <v>0</v>
      </c>
      <c r="AU85" s="349">
        <f>30914.547-AU60-AU61-AU62-AU80-16082.911</f>
        <v>0</v>
      </c>
      <c r="AV85" s="351">
        <f>N85-SUM(AS85:AU85)</f>
        <v>-7.73070496506989E-12</v>
      </c>
      <c r="AW85" s="349">
        <f>2568.09-AW62-AW61-AW60-AW80</f>
        <v>9.0949470177292824E-13</v>
      </c>
      <c r="AX85" s="349">
        <f>8459.888-AX60-AX61-AX62-AX80-2568.09</f>
        <v>0</v>
      </c>
      <c r="AY85" s="349">
        <f>19178.742-AY60-AY61-AY62-AY80-8459.888</f>
        <v>0</v>
      </c>
      <c r="AZ85" s="351">
        <f>P85-SUM(AW85:AY85)</f>
        <v>1.6370904631912708E-11</v>
      </c>
      <c r="BA85" s="349">
        <f>8181.02-BA62-BA61-BA60-BA80</f>
        <v>0</v>
      </c>
      <c r="BB85" s="349">
        <f>15591.205-BB60-BB61-BB62-BB80-8181.02</f>
        <v>0.13099999999576539</v>
      </c>
      <c r="BC85" s="349">
        <f>26988.376-BC60-BC61-BC62-BC80-15591.205</f>
        <v>-0.1309999999939464</v>
      </c>
      <c r="BD85" s="351">
        <f>Q85-SUM(BA85:BC85)</f>
        <v>-7.73070496506989E-12</v>
      </c>
      <c r="BE85" s="349">
        <f>10591.164-BE62-BE61-BE60-BE80</f>
        <v>0</v>
      </c>
      <c r="BF85" s="349">
        <f>21153.671-BF60-BF61-BF62-BF80-10591.164</f>
        <v>0</v>
      </c>
      <c r="BG85" s="349">
        <f>34462.42-BG60-BG61-BG62-BG80-21153.671</f>
        <v>0</v>
      </c>
      <c r="BH85" s="349"/>
      <c r="BI85" s="349">
        <f>15111.057-BI62-BI61-BI60-BI80</f>
        <v>1.8189894035458565E-12</v>
      </c>
      <c r="BJ85" s="351"/>
      <c r="BK85" s="351"/>
      <c r="BL85" s="351"/>
      <c r="BM85" s="351"/>
      <c r="BN85" s="351"/>
      <c r="BO85" s="351"/>
      <c r="BP85" s="351"/>
      <c r="BQ85" s="351">
        <f>Y14+Z14+AA14+BQ14</f>
        <v>22.938000000000002</v>
      </c>
      <c r="BR85" s="351"/>
      <c r="BS85" s="351"/>
      <c r="BT85" s="351"/>
      <c r="BU85" s="351"/>
      <c r="BV85" s="351"/>
      <c r="BW85" s="351"/>
      <c r="BX85" s="351"/>
      <c r="BY85" s="351"/>
      <c r="BZ85" s="351"/>
      <c r="CA85" s="351"/>
      <c r="CB85" s="351"/>
      <c r="CC85" s="351"/>
      <c r="CD85" s="351"/>
      <c r="CE85" s="351"/>
      <c r="CF85" s="351"/>
      <c r="CG85" s="351"/>
      <c r="CH85" s="351"/>
      <c r="CI85" s="351"/>
    </row>
    <row r="86" spans="2:87" ht="11.25" customHeight="1"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U86" s="50"/>
      <c r="Y86" s="50"/>
      <c r="Z86" s="50"/>
      <c r="AD86" s="50"/>
      <c r="BJ86" s="6"/>
      <c r="BK86" s="6"/>
      <c r="BL86" s="6"/>
      <c r="BM86" s="6"/>
      <c r="BN86" s="6"/>
      <c r="BO86" s="6"/>
      <c r="BP86" s="6"/>
      <c r="BQ86" s="6">
        <f>-(Y56+Z56+AA56+BQ56)</f>
        <v>-5984.9319999999998</v>
      </c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2:87" ht="13.5" customHeight="1">
      <c r="B87" s="16" t="s">
        <v>352</v>
      </c>
      <c r="C87" s="38">
        <f t="shared" ref="C87:R87" si="545">C3</f>
        <v>41975</v>
      </c>
      <c r="D87" s="38">
        <f t="shared" si="545"/>
        <v>42341</v>
      </c>
      <c r="E87" s="38">
        <f t="shared" si="545"/>
        <v>42708</v>
      </c>
      <c r="F87" s="38">
        <f t="shared" si="545"/>
        <v>43074</v>
      </c>
      <c r="G87" s="38">
        <f t="shared" si="545"/>
        <v>43439</v>
      </c>
      <c r="H87" s="38">
        <f t="shared" si="545"/>
        <v>43439</v>
      </c>
      <c r="I87" s="38">
        <f t="shared" si="545"/>
        <v>43804</v>
      </c>
      <c r="J87" s="38">
        <f t="shared" si="545"/>
        <v>43804</v>
      </c>
      <c r="K87" s="38">
        <f t="shared" si="545"/>
        <v>44170</v>
      </c>
      <c r="L87" s="38">
        <f t="shared" si="545"/>
        <v>44535</v>
      </c>
      <c r="M87" s="38">
        <f t="shared" si="545"/>
        <v>44535</v>
      </c>
      <c r="N87" s="38">
        <f t="shared" si="545"/>
        <v>44900</v>
      </c>
      <c r="O87" s="38">
        <f t="shared" si="545"/>
        <v>44900</v>
      </c>
      <c r="P87" s="38">
        <f t="shared" si="545"/>
        <v>45265</v>
      </c>
      <c r="Q87" s="38">
        <f t="shared" si="545"/>
        <v>45631</v>
      </c>
      <c r="R87" s="38">
        <f t="shared" si="545"/>
        <v>45996</v>
      </c>
      <c r="S87" s="197" t="s">
        <v>277</v>
      </c>
      <c r="U87" s="38">
        <f t="shared" ref="U87:AM87" si="546">U3</f>
        <v>42437</v>
      </c>
      <c r="V87" s="38">
        <f t="shared" si="546"/>
        <v>42527</v>
      </c>
      <c r="W87" s="38">
        <f t="shared" si="546"/>
        <v>42622</v>
      </c>
      <c r="X87" s="38">
        <f t="shared" si="546"/>
        <v>42714</v>
      </c>
      <c r="Y87" s="38">
        <f t="shared" si="546"/>
        <v>42801</v>
      </c>
      <c r="Z87" s="38">
        <f t="shared" si="546"/>
        <v>42892</v>
      </c>
      <c r="AA87" s="38">
        <f t="shared" si="546"/>
        <v>42987</v>
      </c>
      <c r="AB87" s="38">
        <f t="shared" si="546"/>
        <v>43100</v>
      </c>
      <c r="AC87" s="38">
        <f t="shared" si="546"/>
        <v>43190</v>
      </c>
      <c r="AD87" s="38">
        <f t="shared" si="546"/>
        <v>43281</v>
      </c>
      <c r="AE87" s="38">
        <f t="shared" si="546"/>
        <v>43373</v>
      </c>
      <c r="AF87" s="38">
        <f t="shared" si="546"/>
        <v>43465</v>
      </c>
      <c r="AG87" s="38">
        <f t="shared" si="546"/>
        <v>43555</v>
      </c>
      <c r="AH87" s="38">
        <f t="shared" si="546"/>
        <v>43646</v>
      </c>
      <c r="AI87" s="38">
        <f t="shared" si="546"/>
        <v>43738</v>
      </c>
      <c r="AJ87" s="38">
        <f t="shared" si="546"/>
        <v>43830</v>
      </c>
      <c r="AK87" s="38">
        <f t="shared" si="546"/>
        <v>43921</v>
      </c>
      <c r="AL87" s="38">
        <f t="shared" si="546"/>
        <v>44012</v>
      </c>
      <c r="AM87" s="38">
        <f t="shared" si="546"/>
        <v>44104</v>
      </c>
      <c r="AN87" s="38">
        <v>44166</v>
      </c>
      <c r="AO87" s="38">
        <f>AO3</f>
        <v>44286</v>
      </c>
      <c r="AP87" s="38">
        <f>AP3</f>
        <v>44377</v>
      </c>
      <c r="AQ87" s="38">
        <f>AQ3</f>
        <v>44469</v>
      </c>
      <c r="AR87" s="38">
        <v>44166</v>
      </c>
      <c r="AS87" s="38">
        <f>AS3</f>
        <v>44651</v>
      </c>
      <c r="AT87" s="38">
        <f>AT3</f>
        <v>44742</v>
      </c>
      <c r="AU87" s="38">
        <f>AU3</f>
        <v>44834</v>
      </c>
      <c r="AV87" s="38">
        <v>44166</v>
      </c>
      <c r="AW87" s="38">
        <f>AW3</f>
        <v>45016</v>
      </c>
      <c r="AX87" s="38">
        <f>AX3</f>
        <v>45107</v>
      </c>
      <c r="AY87" s="38">
        <f>AY3</f>
        <v>45199</v>
      </c>
      <c r="AZ87" s="38">
        <v>45261</v>
      </c>
      <c r="BA87" s="197">
        <f>BA3</f>
        <v>45382</v>
      </c>
      <c r="BB87" s="197">
        <f>BB3</f>
        <v>45473</v>
      </c>
      <c r="BC87" s="197">
        <f>BC3</f>
        <v>45565</v>
      </c>
      <c r="BD87" s="197">
        <v>44166</v>
      </c>
      <c r="BE87" s="197">
        <f>BE3</f>
        <v>45747</v>
      </c>
      <c r="BF87" s="197">
        <f>BF3</f>
        <v>45838</v>
      </c>
      <c r="BG87" s="197">
        <f>BG3</f>
        <v>45930</v>
      </c>
      <c r="BH87" s="197">
        <f>BH3</f>
        <v>46022</v>
      </c>
      <c r="BI87" s="197">
        <f>BI3</f>
        <v>46112</v>
      </c>
      <c r="BJ87" s="6"/>
      <c r="BK87" s="6"/>
      <c r="BL87" s="6"/>
      <c r="BM87" s="6"/>
      <c r="BN87" s="6"/>
      <c r="BO87" s="6"/>
      <c r="BP87" s="6"/>
      <c r="BQ87" s="6" t="e">
        <f>Y61+Z61+AA61+BQ61</f>
        <v>#REF!</v>
      </c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2:87" ht="13.5" customHeight="1">
      <c r="B88" s="1" t="str">
        <f>+B7</f>
        <v>Revenues</v>
      </c>
      <c r="C88" s="6">
        <f t="shared" ref="C88:S88" si="547">C7</f>
        <v>187052.65</v>
      </c>
      <c r="D88" s="6">
        <f t="shared" si="547"/>
        <v>219186.33499999999</v>
      </c>
      <c r="E88" s="6">
        <f t="shared" si="547"/>
        <v>252141.01</v>
      </c>
      <c r="F88" s="6">
        <f t="shared" si="547"/>
        <v>267515.40500000003</v>
      </c>
      <c r="G88" s="6">
        <f t="shared" si="547"/>
        <v>288265.97399999999</v>
      </c>
      <c r="H88" s="6">
        <f t="shared" si="547"/>
        <v>289319.52600000001</v>
      </c>
      <c r="I88" s="6">
        <f t="shared" si="547"/>
        <v>291925.82299999997</v>
      </c>
      <c r="J88" s="6">
        <f t="shared" si="547"/>
        <v>291925.82299999997</v>
      </c>
      <c r="K88" s="6">
        <f t="shared" si="547"/>
        <v>331050.54499999998</v>
      </c>
      <c r="L88" s="6">
        <f t="shared" si="547"/>
        <v>348887.44</v>
      </c>
      <c r="M88" s="6">
        <f t="shared" si="547"/>
        <v>338792.20400000003</v>
      </c>
      <c r="N88" s="6">
        <f t="shared" si="547"/>
        <v>398706.29300000001</v>
      </c>
      <c r="O88" s="6">
        <f t="shared" si="547"/>
        <v>398706.29300000001</v>
      </c>
      <c r="P88" s="6">
        <f t="shared" si="547"/>
        <v>399879.277</v>
      </c>
      <c r="Q88" s="6">
        <f t="shared" si="547"/>
        <v>408334.95299999998</v>
      </c>
      <c r="R88" s="6">
        <f t="shared" si="547"/>
        <v>426951.69400000002</v>
      </c>
      <c r="S88" s="6">
        <f t="shared" si="547"/>
        <v>423544.88200000004</v>
      </c>
      <c r="U88" s="97"/>
      <c r="V88" s="31"/>
      <c r="W88" s="31"/>
      <c r="X88" s="6">
        <f>E88</f>
        <v>252141.01</v>
      </c>
      <c r="Y88" s="6">
        <f t="shared" ref="Y88:AF88" si="548">SUM(V7:Y7)</f>
        <v>261145.48499999999</v>
      </c>
      <c r="Z88" s="6">
        <f t="shared" si="548"/>
        <v>265220.20900000003</v>
      </c>
      <c r="AA88" s="6">
        <f t="shared" si="548"/>
        <v>265446.19400000002</v>
      </c>
      <c r="AB88" s="6">
        <f t="shared" si="548"/>
        <v>267515.40500000003</v>
      </c>
      <c r="AC88" s="6">
        <f t="shared" si="548"/>
        <v>268589.565</v>
      </c>
      <c r="AD88" s="6">
        <f t="shared" si="548"/>
        <v>275891.62900000007</v>
      </c>
      <c r="AE88" s="6">
        <f t="shared" si="548"/>
        <v>282892.17700000003</v>
      </c>
      <c r="AF88" s="6">
        <f t="shared" si="548"/>
        <v>288265.97399999999</v>
      </c>
      <c r="AG88" s="6">
        <f>AG7+G7-BK7</f>
        <v>290690.06699999998</v>
      </c>
      <c r="AH88" s="6">
        <f>AH7+G7-BL7+AG7-BK7</f>
        <v>290220.473</v>
      </c>
      <c r="AI88" s="6">
        <f>AI7+G7-BM7+AH7-BL7+AG7-BK7</f>
        <v>292539.266</v>
      </c>
      <c r="AJ88" s="6">
        <f>SUM(AG7:AJ7)</f>
        <v>291925.82299999997</v>
      </c>
      <c r="AK88" s="6">
        <f>SUM(AH7:AK7)</f>
        <v>296756.75399999996</v>
      </c>
      <c r="AL88" s="6">
        <f>+I7+AL7+AK7-AG7-BO7</f>
        <v>311073.71600000001</v>
      </c>
      <c r="AM88" s="6">
        <f>+I7+AL7+AK7-AG7-BO7+AM7-BP7</f>
        <v>322023.19</v>
      </c>
      <c r="AN88" s="6">
        <f t="shared" ref="AN88:BI88" si="549">SUM(AK7:AN7)</f>
        <v>331050.54500000004</v>
      </c>
      <c r="AO88" s="6">
        <f t="shared" si="549"/>
        <v>335782.81799999997</v>
      </c>
      <c r="AP88" s="6">
        <f t="shared" si="549"/>
        <v>333160.39499999996</v>
      </c>
      <c r="AQ88" s="6">
        <f t="shared" si="549"/>
        <v>335542.13699999999</v>
      </c>
      <c r="AR88" s="6">
        <f t="shared" si="549"/>
        <v>338792.20400000003</v>
      </c>
      <c r="AS88" s="6">
        <f t="shared" si="549"/>
        <v>352976.489</v>
      </c>
      <c r="AT88" s="6">
        <f t="shared" si="549"/>
        <v>365622.06800000003</v>
      </c>
      <c r="AU88" s="6">
        <f t="shared" si="549"/>
        <v>380261.08</v>
      </c>
      <c r="AV88" s="6">
        <f t="shared" si="549"/>
        <v>398706.29300000001</v>
      </c>
      <c r="AW88" s="6">
        <f t="shared" si="549"/>
        <v>404951.09399999992</v>
      </c>
      <c r="AX88" s="6">
        <f t="shared" si="549"/>
        <v>408882.83999999997</v>
      </c>
      <c r="AY88" s="6">
        <f t="shared" si="549"/>
        <v>405243.44999999995</v>
      </c>
      <c r="AZ88" s="6">
        <f t="shared" si="549"/>
        <v>399879.277</v>
      </c>
      <c r="BA88" s="6">
        <f t="shared" si="549"/>
        <v>393954.94800000003</v>
      </c>
      <c r="BB88" s="6">
        <f t="shared" si="549"/>
        <v>391675.39500000002</v>
      </c>
      <c r="BC88" s="6">
        <f t="shared" si="549"/>
        <v>398540.05500000005</v>
      </c>
      <c r="BD88" s="6">
        <f t="shared" si="549"/>
        <v>408334.95299999998</v>
      </c>
      <c r="BE88" s="6">
        <f t="shared" si="549"/>
        <v>418419.39699999994</v>
      </c>
      <c r="BF88" s="6">
        <f t="shared" si="549"/>
        <v>427835.33699999994</v>
      </c>
      <c r="BG88" s="6">
        <f t="shared" si="549"/>
        <v>429209.8029999999</v>
      </c>
      <c r="BH88" s="6">
        <f t="shared" si="549"/>
        <v>426951.69400000002</v>
      </c>
      <c r="BI88" s="6">
        <f t="shared" si="549"/>
        <v>423544.88200000004</v>
      </c>
      <c r="BQ88" s="6"/>
    </row>
    <row r="89" spans="2:87" ht="13.5" customHeight="1">
      <c r="B89" s="1" t="s">
        <v>315</v>
      </c>
      <c r="C89" s="6">
        <f t="shared" ref="C89:S89" si="550">C16</f>
        <v>10312.068999999989</v>
      </c>
      <c r="D89" s="6">
        <f t="shared" si="550"/>
        <v>14120.810999999987</v>
      </c>
      <c r="E89" s="6">
        <f t="shared" si="550"/>
        <v>18083.603000000017</v>
      </c>
      <c r="F89" s="6">
        <f t="shared" si="550"/>
        <v>17472.145000000019</v>
      </c>
      <c r="G89" s="6">
        <f t="shared" si="550"/>
        <v>18508.920000000013</v>
      </c>
      <c r="H89" s="6">
        <f t="shared" si="550"/>
        <v>18508.919999999984</v>
      </c>
      <c r="I89" s="6">
        <f t="shared" si="550"/>
        <v>20418.653999999951</v>
      </c>
      <c r="J89" s="6">
        <f t="shared" si="550"/>
        <v>20418.653999999951</v>
      </c>
      <c r="K89" s="6">
        <f t="shared" si="550"/>
        <v>25408.027000000002</v>
      </c>
      <c r="L89" s="6">
        <f t="shared" si="550"/>
        <v>34126.428000000014</v>
      </c>
      <c r="M89" s="6">
        <f t="shared" si="550"/>
        <v>32580.458000000013</v>
      </c>
      <c r="N89" s="6">
        <f t="shared" si="550"/>
        <v>53696.122999999992</v>
      </c>
      <c r="O89" s="6">
        <f t="shared" si="550"/>
        <v>53696.122999999992</v>
      </c>
      <c r="P89" s="6">
        <f t="shared" si="550"/>
        <v>35455.014999999985</v>
      </c>
      <c r="Q89" s="6">
        <f t="shared" si="550"/>
        <v>33148.879999999976</v>
      </c>
      <c r="R89" s="6">
        <f t="shared" si="550"/>
        <v>34146.119000000006</v>
      </c>
      <c r="S89" s="6">
        <f t="shared" si="550"/>
        <v>35309.405000000028</v>
      </c>
      <c r="U89" s="31"/>
      <c r="V89" s="31"/>
      <c r="W89" s="31"/>
      <c r="X89" s="6">
        <f>E89</f>
        <v>18083.603000000017</v>
      </c>
      <c r="Y89" s="6">
        <f t="shared" ref="Y89:AF89" si="551">SUM(V16:Y16)</f>
        <v>17785.165000000001</v>
      </c>
      <c r="Z89" s="6">
        <f t="shared" si="551"/>
        <v>17521.037000000011</v>
      </c>
      <c r="AA89" s="6">
        <f t="shared" si="551"/>
        <v>16560.118000000013</v>
      </c>
      <c r="AB89" s="6">
        <f t="shared" si="551"/>
        <v>17472.145000000022</v>
      </c>
      <c r="AC89" s="6">
        <f t="shared" si="551"/>
        <v>18032.669000000027</v>
      </c>
      <c r="AD89" s="6">
        <f t="shared" si="551"/>
        <v>16127.926000000018</v>
      </c>
      <c r="AE89" s="6">
        <f t="shared" si="551"/>
        <v>16726.256000000012</v>
      </c>
      <c r="AF89" s="6">
        <f t="shared" si="551"/>
        <v>18508.919999999995</v>
      </c>
      <c r="AG89" s="6">
        <f>AG16+G16-BK16</f>
        <v>18961.672000000013</v>
      </c>
      <c r="AH89" s="6">
        <f>AH16+G16-BL16+AG16-BK16</f>
        <v>20554.277000000009</v>
      </c>
      <c r="AI89" s="6">
        <f>AI16+G16-BM16+AH16-BL16+AG16-BK16</f>
        <v>20473.08100000002</v>
      </c>
      <c r="AJ89" s="6">
        <f>SUM(AG16:AJ16)</f>
        <v>20418.653999999984</v>
      </c>
      <c r="AK89" s="6">
        <f>SUM(AH16:AK16)</f>
        <v>17825.689999999995</v>
      </c>
      <c r="AL89" s="6">
        <f>+I16+AL16+AK16-AG16-BO16</f>
        <v>20389.334999999966</v>
      </c>
      <c r="AM89" s="49">
        <f>+I16+AL16+AK16-AG16-BO16+AM16-BP16</f>
        <v>22923.952999999976</v>
      </c>
      <c r="AN89" s="6">
        <f t="shared" ref="AN89:BI89" si="552">SUM(AK16:AN16)</f>
        <v>25408.027000000016</v>
      </c>
      <c r="AO89" s="6">
        <f t="shared" si="552"/>
        <v>32172.621000000006</v>
      </c>
      <c r="AP89" s="6">
        <f t="shared" si="552"/>
        <v>32354.989999999991</v>
      </c>
      <c r="AQ89" s="6">
        <f t="shared" si="552"/>
        <v>32759.926999999981</v>
      </c>
      <c r="AR89" s="6">
        <f t="shared" si="552"/>
        <v>32580.458000000021</v>
      </c>
      <c r="AS89" s="6">
        <f t="shared" si="552"/>
        <v>32730.731000000029</v>
      </c>
      <c r="AT89" s="6">
        <f t="shared" si="552"/>
        <v>35877.892000000029</v>
      </c>
      <c r="AU89" s="6">
        <f t="shared" si="552"/>
        <v>38531.808000000034</v>
      </c>
      <c r="AV89" s="6">
        <f t="shared" si="552"/>
        <v>53696.122999999978</v>
      </c>
      <c r="AW89" s="6">
        <f t="shared" si="552"/>
        <v>52974.537999999964</v>
      </c>
      <c r="AX89" s="6">
        <f t="shared" si="552"/>
        <v>52126.809999999983</v>
      </c>
      <c r="AY89" s="6">
        <f t="shared" si="552"/>
        <v>50871.800999999985</v>
      </c>
      <c r="AZ89" s="6">
        <f t="shared" si="552"/>
        <v>35455.014999999999</v>
      </c>
      <c r="BA89" s="6">
        <f t="shared" si="552"/>
        <v>34109.777000000009</v>
      </c>
      <c r="BB89" s="6">
        <f t="shared" si="552"/>
        <v>33420.744000000006</v>
      </c>
      <c r="BC89" s="6">
        <f t="shared" si="552"/>
        <v>33030.594000000012</v>
      </c>
      <c r="BD89" s="6">
        <f t="shared" si="552"/>
        <v>33148.879999999954</v>
      </c>
      <c r="BE89" s="6">
        <f t="shared" si="552"/>
        <v>33021.850999999959</v>
      </c>
      <c r="BF89" s="6">
        <f t="shared" si="552"/>
        <v>32832.183999999943</v>
      </c>
      <c r="BG89" s="6">
        <f t="shared" si="552"/>
        <v>32875.75899999994</v>
      </c>
      <c r="BH89" s="6">
        <f t="shared" si="552"/>
        <v>34146.119000000013</v>
      </c>
      <c r="BI89" s="6">
        <f t="shared" si="552"/>
        <v>35309.405000000013</v>
      </c>
      <c r="BJ89" s="6"/>
      <c r="BK89" s="6"/>
      <c r="BL89" s="6"/>
      <c r="BM89" s="6"/>
      <c r="BN89" s="6"/>
      <c r="BO89" s="6"/>
      <c r="BP89" s="6"/>
      <c r="BQ89" s="6">
        <f>Y16+Z16+AA16+BQ16</f>
        <v>13051.098999999998</v>
      </c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2:87" ht="13.5" customHeight="1">
      <c r="B90" s="1" t="s">
        <v>353</v>
      </c>
      <c r="C90" s="6">
        <f t="shared" ref="C90:S90" si="553">C45</f>
        <v>16143.068999999989</v>
      </c>
      <c r="D90" s="6">
        <f t="shared" si="553"/>
        <v>21170.171999999988</v>
      </c>
      <c r="E90" s="6">
        <f t="shared" si="553"/>
        <v>26519.866000000016</v>
      </c>
      <c r="F90" s="6">
        <f t="shared" si="553"/>
        <v>26233.284000000018</v>
      </c>
      <c r="G90" s="6">
        <f t="shared" si="553"/>
        <v>28508.750000000015</v>
      </c>
      <c r="H90" s="6">
        <f t="shared" si="553"/>
        <v>28508.749999999985</v>
      </c>
      <c r="I90" s="6">
        <f t="shared" si="553"/>
        <v>34792.512999999948</v>
      </c>
      <c r="J90" s="6">
        <f t="shared" si="553"/>
        <v>34792.512999999948</v>
      </c>
      <c r="K90" s="6">
        <f t="shared" si="553"/>
        <v>41659.731</v>
      </c>
      <c r="L90" s="6">
        <f t="shared" si="553"/>
        <v>50501.025000000016</v>
      </c>
      <c r="M90" s="6">
        <f t="shared" si="553"/>
        <v>48706.946000000011</v>
      </c>
      <c r="N90" s="6">
        <f t="shared" si="553"/>
        <v>71734.297999999995</v>
      </c>
      <c r="O90" s="6">
        <f t="shared" si="553"/>
        <v>71978.282999999996</v>
      </c>
      <c r="P90" s="6">
        <f t="shared" si="553"/>
        <v>54384.128999999986</v>
      </c>
      <c r="Q90" s="6">
        <f t="shared" si="553"/>
        <v>56199.809999999976</v>
      </c>
      <c r="R90" s="6">
        <f t="shared" si="553"/>
        <v>58983.677000000011</v>
      </c>
      <c r="S90" s="6">
        <f t="shared" si="553"/>
        <v>60100.29000000003</v>
      </c>
      <c r="U90" s="6"/>
      <c r="V90" s="6"/>
      <c r="W90" s="6"/>
      <c r="X90" s="6">
        <f>E90</f>
        <v>26519.866000000016</v>
      </c>
      <c r="Y90" s="6">
        <f t="shared" ref="Y90:AF90" si="554">SUM(V45:Y45)</f>
        <v>26612.719000000001</v>
      </c>
      <c r="Z90" s="6">
        <f t="shared" si="554"/>
        <v>26484.434000000008</v>
      </c>
      <c r="AA90" s="6">
        <f t="shared" si="554"/>
        <v>25522.595000000012</v>
      </c>
      <c r="AB90" s="6">
        <f t="shared" si="554"/>
        <v>26233.284000000021</v>
      </c>
      <c r="AC90" s="6">
        <f t="shared" si="554"/>
        <v>26852.685000000027</v>
      </c>
      <c r="AD90" s="6">
        <f t="shared" si="554"/>
        <v>25432.567000000017</v>
      </c>
      <c r="AE90" s="6">
        <f t="shared" si="554"/>
        <v>26395.582000000013</v>
      </c>
      <c r="AF90" s="6">
        <f t="shared" si="554"/>
        <v>28508.749999999996</v>
      </c>
      <c r="AG90" s="6">
        <f>+AG45+G45-BK45</f>
        <v>30048.184000000012</v>
      </c>
      <c r="AH90" s="6">
        <f>+AH45+G45-BL45+AG45-BK45</f>
        <v>32460.792000000005</v>
      </c>
      <c r="AI90" s="6">
        <f>+AI45+G45-BM45+AH45-BL45+AG45-BK45</f>
        <v>33709.81400000002</v>
      </c>
      <c r="AJ90" s="6">
        <f>SUM(AG45:AJ45)</f>
        <v>34792.512999999992</v>
      </c>
      <c r="AK90" s="6">
        <f>SUM(AH45:AK45)</f>
        <v>32324.527999999998</v>
      </c>
      <c r="AL90" s="6">
        <f>+I45+AL45+AK45-AG45-BO45</f>
        <v>35803.276999999965</v>
      </c>
      <c r="AM90" s="49">
        <f>+I45+AL45+AK45-AG45-BO45+AM45-BP45</f>
        <v>38495.527999999977</v>
      </c>
      <c r="AN90" s="6">
        <f t="shared" ref="AN90:BI90" si="555">SUM(AK45:AN45)</f>
        <v>41659.731000000014</v>
      </c>
      <c r="AO90" s="6">
        <f t="shared" si="555"/>
        <v>48700.864000000016</v>
      </c>
      <c r="AP90" s="6">
        <f t="shared" si="555"/>
        <v>48552.76999999999</v>
      </c>
      <c r="AQ90" s="6">
        <f t="shared" si="555"/>
        <v>49019.27899999998</v>
      </c>
      <c r="AR90" s="6">
        <f t="shared" si="555"/>
        <v>48706.946000000018</v>
      </c>
      <c r="AS90" s="6">
        <f t="shared" si="555"/>
        <v>49365.003000000026</v>
      </c>
      <c r="AT90" s="6">
        <f t="shared" si="555"/>
        <v>52922.671000000031</v>
      </c>
      <c r="AU90" s="6">
        <f t="shared" si="555"/>
        <v>56156.956000000035</v>
      </c>
      <c r="AV90" s="6">
        <f t="shared" si="555"/>
        <v>69881.737999999983</v>
      </c>
      <c r="AW90" s="6">
        <f t="shared" si="555"/>
        <v>69407.893999999971</v>
      </c>
      <c r="AX90" s="6">
        <f t="shared" si="555"/>
        <v>68767.033999999985</v>
      </c>
      <c r="AY90" s="6">
        <f t="shared" si="555"/>
        <v>67505.045999999988</v>
      </c>
      <c r="AZ90" s="6">
        <f t="shared" si="555"/>
        <v>52506.514999999999</v>
      </c>
      <c r="BA90" s="6">
        <f t="shared" si="555"/>
        <v>51544.324000000008</v>
      </c>
      <c r="BB90" s="6">
        <f t="shared" si="555"/>
        <v>51797.859000000011</v>
      </c>
      <c r="BC90" s="6">
        <f t="shared" si="555"/>
        <v>52900.83400000001</v>
      </c>
      <c r="BD90" s="6">
        <f t="shared" si="555"/>
        <v>56199.809999999954</v>
      </c>
      <c r="BE90" s="6">
        <f t="shared" si="555"/>
        <v>57236.132999999958</v>
      </c>
      <c r="BF90" s="6">
        <f t="shared" si="555"/>
        <v>57754.444999999934</v>
      </c>
      <c r="BG90" s="6">
        <f t="shared" si="555"/>
        <v>57871.728999999934</v>
      </c>
      <c r="BH90" s="6">
        <f t="shared" si="555"/>
        <v>58983.677000000011</v>
      </c>
      <c r="BI90" s="6">
        <f t="shared" si="555"/>
        <v>60100.290000000015</v>
      </c>
      <c r="BJ90" s="6"/>
      <c r="BK90" s="6"/>
      <c r="BL90" s="6"/>
      <c r="BM90" s="6"/>
      <c r="BN90" s="6"/>
      <c r="BO90" s="6"/>
      <c r="BP90" s="6"/>
      <c r="BQ90" s="6">
        <f>Y45+Z45+AA45+BQ45</f>
        <v>19455.435999999998</v>
      </c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2:87" s="5" customFormat="1" ht="13.5" customHeight="1">
      <c r="B91" s="1" t="s">
        <v>354</v>
      </c>
      <c r="C91" s="6">
        <f t="shared" ref="C91:S91" si="556">C50</f>
        <v>18420</v>
      </c>
      <c r="D91" s="6">
        <f t="shared" si="556"/>
        <v>23369</v>
      </c>
      <c r="E91" s="6">
        <f t="shared" si="556"/>
        <v>29298</v>
      </c>
      <c r="F91" s="6">
        <f t="shared" si="556"/>
        <v>27288</v>
      </c>
      <c r="G91" s="6">
        <f t="shared" si="556"/>
        <v>31705</v>
      </c>
      <c r="H91" s="6">
        <f t="shared" si="556"/>
        <v>31700</v>
      </c>
      <c r="I91" s="6">
        <f t="shared" si="556"/>
        <v>33426</v>
      </c>
      <c r="J91" s="6">
        <f t="shared" si="556"/>
        <v>37873</v>
      </c>
      <c r="K91" s="6">
        <f t="shared" si="556"/>
        <v>45193</v>
      </c>
      <c r="L91" s="6">
        <f t="shared" si="556"/>
        <v>49178</v>
      </c>
      <c r="M91" s="6">
        <f t="shared" si="556"/>
        <v>47372</v>
      </c>
      <c r="N91" s="6">
        <f t="shared" si="556"/>
        <v>53445</v>
      </c>
      <c r="O91" s="6">
        <f t="shared" si="556"/>
        <v>53445</v>
      </c>
      <c r="P91" s="6">
        <f t="shared" si="556"/>
        <v>54942</v>
      </c>
      <c r="Q91" s="6">
        <f t="shared" si="556"/>
        <v>55474</v>
      </c>
      <c r="R91" s="6">
        <f t="shared" si="556"/>
        <v>59456</v>
      </c>
      <c r="S91" s="6">
        <f t="shared" si="556"/>
        <v>60675</v>
      </c>
      <c r="U91" s="31"/>
      <c r="V91" s="31"/>
      <c r="W91" s="31"/>
      <c r="X91" s="6">
        <f>E91</f>
        <v>29298</v>
      </c>
      <c r="Y91" s="6">
        <f t="shared" ref="Y91:AF91" si="557">SUM(V50:Y50)</f>
        <v>29309</v>
      </c>
      <c r="Z91" s="6">
        <f t="shared" si="557"/>
        <v>29317</v>
      </c>
      <c r="AA91" s="6">
        <f t="shared" si="557"/>
        <v>28399</v>
      </c>
      <c r="AB91" s="6">
        <f t="shared" si="557"/>
        <v>27288</v>
      </c>
      <c r="AC91" s="6">
        <f t="shared" si="557"/>
        <v>27996</v>
      </c>
      <c r="AD91" s="6">
        <f t="shared" si="557"/>
        <v>28580</v>
      </c>
      <c r="AE91" s="6">
        <f t="shared" si="557"/>
        <v>29779</v>
      </c>
      <c r="AF91" s="6">
        <f t="shared" si="557"/>
        <v>31705</v>
      </c>
      <c r="AG91" s="6">
        <f>+AG50+G50-BK50</f>
        <v>32133</v>
      </c>
      <c r="AH91" s="6">
        <f>+AH50+G50-BL50+AG50-BK50</f>
        <v>32379</v>
      </c>
      <c r="AI91" s="6">
        <f>+AI50+G50-BM50+AH50-BL50+AG50-BK50</f>
        <v>33213</v>
      </c>
      <c r="AJ91" s="6">
        <f>SUM(AG50:AJ50)</f>
        <v>33426</v>
      </c>
      <c r="AK91" s="242"/>
      <c r="AL91" s="242"/>
      <c r="AM91" s="242"/>
      <c r="AN91" s="242"/>
      <c r="AO91" s="242"/>
      <c r="AP91" s="242"/>
      <c r="AQ91" s="242"/>
      <c r="AR91" s="242"/>
      <c r="AS91" s="6">
        <f t="shared" ref="AS91:BI91" si="558">SUM(AP50:AS50)</f>
        <v>11897</v>
      </c>
      <c r="AT91" s="6">
        <f t="shared" si="558"/>
        <v>24889</v>
      </c>
      <c r="AU91" s="6">
        <f t="shared" si="558"/>
        <v>39394</v>
      </c>
      <c r="AV91" s="6">
        <f t="shared" si="558"/>
        <v>53445</v>
      </c>
      <c r="AW91" s="6">
        <f t="shared" si="558"/>
        <v>54405</v>
      </c>
      <c r="AX91" s="6">
        <f t="shared" si="558"/>
        <v>55415</v>
      </c>
      <c r="AY91" s="6">
        <f t="shared" si="558"/>
        <v>55377</v>
      </c>
      <c r="AZ91" s="6">
        <f t="shared" si="558"/>
        <v>54942</v>
      </c>
      <c r="BA91" s="6">
        <f t="shared" si="558"/>
        <v>53957</v>
      </c>
      <c r="BB91" s="6">
        <f t="shared" si="558"/>
        <v>53908</v>
      </c>
      <c r="BC91" s="6">
        <f t="shared" si="558"/>
        <v>55081</v>
      </c>
      <c r="BD91" s="6">
        <f t="shared" si="558"/>
        <v>55474</v>
      </c>
      <c r="BE91" s="6">
        <f t="shared" si="558"/>
        <v>56419</v>
      </c>
      <c r="BF91" s="6">
        <f t="shared" si="558"/>
        <v>57363</v>
      </c>
      <c r="BG91" s="6">
        <f t="shared" si="558"/>
        <v>57499</v>
      </c>
      <c r="BH91" s="6">
        <f t="shared" si="558"/>
        <v>59456</v>
      </c>
      <c r="BI91" s="6">
        <f t="shared" si="558"/>
        <v>60675</v>
      </c>
      <c r="BJ91" s="6"/>
      <c r="BK91" s="6"/>
      <c r="BL91" s="6"/>
      <c r="BM91" s="6"/>
      <c r="BN91" s="6"/>
      <c r="BO91" s="6"/>
      <c r="BP91" s="6"/>
      <c r="BQ91" s="6" t="e">
        <f>Y50+Z50+AA50+BQ50</f>
        <v>#REF!</v>
      </c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2:87" s="5" customFormat="1" ht="13.5" customHeight="1">
      <c r="B92" s="1" t="s">
        <v>355</v>
      </c>
      <c r="C92" s="6">
        <f t="shared" ref="C92:S92" si="559">C54</f>
        <v>21905</v>
      </c>
      <c r="D92" s="6">
        <f t="shared" si="559"/>
        <v>27505</v>
      </c>
      <c r="E92" s="6">
        <f t="shared" si="559"/>
        <v>34159</v>
      </c>
      <c r="F92" s="6">
        <f t="shared" si="559"/>
        <v>33041.976000000002</v>
      </c>
      <c r="G92" s="6">
        <f t="shared" si="559"/>
        <v>37935.847000000002</v>
      </c>
      <c r="H92" s="6">
        <f t="shared" si="559"/>
        <v>37930.847000000002</v>
      </c>
      <c r="I92" s="6">
        <f t="shared" si="559"/>
        <v>37873</v>
      </c>
      <c r="J92" s="6">
        <f t="shared" si="559"/>
        <v>37873</v>
      </c>
      <c r="K92" s="6">
        <f t="shared" si="559"/>
        <v>45193</v>
      </c>
      <c r="L92" s="6">
        <f t="shared" si="559"/>
        <v>49178</v>
      </c>
      <c r="M92" s="6">
        <f t="shared" si="559"/>
        <v>47372</v>
      </c>
      <c r="N92" s="6">
        <f t="shared" si="559"/>
        <v>53445</v>
      </c>
      <c r="O92" s="6">
        <f t="shared" si="559"/>
        <v>53445</v>
      </c>
      <c r="P92" s="6">
        <f t="shared" si="559"/>
        <v>54942</v>
      </c>
      <c r="Q92" s="6">
        <f t="shared" si="559"/>
        <v>55474</v>
      </c>
      <c r="R92" s="6">
        <f t="shared" si="559"/>
        <v>59456</v>
      </c>
      <c r="S92" s="6">
        <f t="shared" si="559"/>
        <v>60675</v>
      </c>
      <c r="U92" s="6"/>
      <c r="V92" s="6"/>
      <c r="W92" s="6"/>
      <c r="X92" s="6">
        <f>E54</f>
        <v>34159</v>
      </c>
      <c r="Y92" s="6">
        <f t="shared" ref="Y92:AF92" si="560">SUM(V54:Y54)</f>
        <v>34393.243999999999</v>
      </c>
      <c r="Z92" s="6">
        <f t="shared" si="560"/>
        <v>34624.487999999998</v>
      </c>
      <c r="AA92" s="6">
        <f t="shared" si="560"/>
        <v>33929.731999999996</v>
      </c>
      <c r="AB92" s="6">
        <f t="shared" si="560"/>
        <v>33041.976000000002</v>
      </c>
      <c r="AC92" s="6">
        <f t="shared" si="560"/>
        <v>33869.193750000006</v>
      </c>
      <c r="AD92" s="6">
        <f t="shared" si="560"/>
        <v>34572.411500000002</v>
      </c>
      <c r="AE92" s="6">
        <f t="shared" si="560"/>
        <v>35890.629250000005</v>
      </c>
      <c r="AF92" s="6">
        <f t="shared" si="560"/>
        <v>37935.847000000002</v>
      </c>
      <c r="AG92" s="6">
        <f>+AG54+G54-BK54</f>
        <v>37858.135249999999</v>
      </c>
      <c r="AH92" s="6">
        <f>+AH54+G54-BL54+AG54-BK54</f>
        <v>37613.423499999997</v>
      </c>
      <c r="AI92" s="6">
        <f>+AI54+G54-BM54+AH54-BL54+AG54-BK54</f>
        <v>38007.711749999995</v>
      </c>
      <c r="AJ92" s="6">
        <f>SUM(AG54:AJ54)</f>
        <v>37873</v>
      </c>
      <c r="AK92" s="6">
        <f>SUM(AH54:AK54)</f>
        <v>38787</v>
      </c>
      <c r="AL92" s="6">
        <f>+I54+AL54+AK54-AG54-BO54</f>
        <v>41357</v>
      </c>
      <c r="AM92" s="6">
        <f>+I54+AL54+AK54-AG54-BO54+AM54-BP54</f>
        <v>43197</v>
      </c>
      <c r="AN92" s="6">
        <f t="shared" ref="AN92:BI92" si="561">SUM(AK54:AN54)</f>
        <v>45193</v>
      </c>
      <c r="AO92" s="6">
        <f t="shared" si="561"/>
        <v>46947</v>
      </c>
      <c r="AP92" s="6">
        <f t="shared" si="561"/>
        <v>47628</v>
      </c>
      <c r="AQ92" s="6">
        <f t="shared" si="561"/>
        <v>48481</v>
      </c>
      <c r="AR92" s="6">
        <f t="shared" si="561"/>
        <v>47372</v>
      </c>
      <c r="AS92" s="6">
        <f t="shared" si="561"/>
        <v>48616</v>
      </c>
      <c r="AT92" s="6">
        <f t="shared" si="561"/>
        <v>49552</v>
      </c>
      <c r="AU92" s="6">
        <f t="shared" si="561"/>
        <v>51094</v>
      </c>
      <c r="AV92" s="6">
        <f t="shared" si="561"/>
        <v>53445</v>
      </c>
      <c r="AW92" s="6">
        <f t="shared" si="561"/>
        <v>54405</v>
      </c>
      <c r="AX92" s="6">
        <f t="shared" si="561"/>
        <v>55415</v>
      </c>
      <c r="AY92" s="6">
        <f t="shared" si="561"/>
        <v>55377</v>
      </c>
      <c r="AZ92" s="6">
        <f t="shared" si="561"/>
        <v>54942</v>
      </c>
      <c r="BA92" s="6">
        <f t="shared" si="561"/>
        <v>53957</v>
      </c>
      <c r="BB92" s="6">
        <f t="shared" si="561"/>
        <v>53908</v>
      </c>
      <c r="BC92" s="6">
        <f t="shared" si="561"/>
        <v>55081</v>
      </c>
      <c r="BD92" s="6">
        <f t="shared" si="561"/>
        <v>55474</v>
      </c>
      <c r="BE92" s="6">
        <f t="shared" si="561"/>
        <v>56419</v>
      </c>
      <c r="BF92" s="6">
        <f t="shared" si="561"/>
        <v>57363</v>
      </c>
      <c r="BG92" s="6">
        <f t="shared" si="561"/>
        <v>57499</v>
      </c>
      <c r="BH92" s="6">
        <f t="shared" si="561"/>
        <v>59456</v>
      </c>
      <c r="BI92" s="6">
        <f t="shared" si="561"/>
        <v>60675</v>
      </c>
      <c r="BJ92" s="6"/>
      <c r="BK92" s="6"/>
      <c r="BL92" s="6"/>
      <c r="BM92" s="6"/>
      <c r="BN92" s="6"/>
      <c r="BO92" s="6"/>
      <c r="BP92" s="6"/>
      <c r="BQ92" s="6">
        <f>Y54+Z54+AA54+BQ54</f>
        <v>24095.482000000004</v>
      </c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2:87" s="5" customFormat="1" ht="13.5" customHeight="1">
      <c r="B93" s="1" t="s">
        <v>356</v>
      </c>
      <c r="C93" s="6">
        <f t="shared" ref="C93:S93" si="562">C53</f>
        <v>3485</v>
      </c>
      <c r="D93" s="6">
        <f t="shared" si="562"/>
        <v>4136</v>
      </c>
      <c r="E93" s="6">
        <f t="shared" si="562"/>
        <v>4861</v>
      </c>
      <c r="F93" s="6">
        <f t="shared" si="562"/>
        <v>5753.9759999999997</v>
      </c>
      <c r="G93" s="6">
        <f t="shared" si="562"/>
        <v>6230.8469999999998</v>
      </c>
      <c r="H93" s="6">
        <f t="shared" si="562"/>
        <v>6230.8469999999998</v>
      </c>
      <c r="I93" s="6">
        <f t="shared" si="562"/>
        <v>4447</v>
      </c>
      <c r="J93" s="6">
        <f t="shared" si="562"/>
        <v>0</v>
      </c>
      <c r="K93" s="6">
        <f t="shared" si="562"/>
        <v>0</v>
      </c>
      <c r="L93" s="6">
        <f t="shared" si="562"/>
        <v>0</v>
      </c>
      <c r="M93" s="6">
        <f t="shared" si="562"/>
        <v>0</v>
      </c>
      <c r="N93" s="6">
        <f t="shared" si="562"/>
        <v>0</v>
      </c>
      <c r="O93" s="6">
        <f t="shared" si="562"/>
        <v>0</v>
      </c>
      <c r="P93" s="6">
        <f t="shared" si="562"/>
        <v>0</v>
      </c>
      <c r="Q93" s="6">
        <f t="shared" si="562"/>
        <v>0</v>
      </c>
      <c r="R93" s="6">
        <f t="shared" si="562"/>
        <v>0</v>
      </c>
      <c r="S93" s="6">
        <f t="shared" si="562"/>
        <v>0</v>
      </c>
      <c r="U93" s="6"/>
      <c r="V93" s="6"/>
      <c r="W93" s="6"/>
      <c r="X93" s="6">
        <f>E53</f>
        <v>4861</v>
      </c>
      <c r="Y93" s="6">
        <f t="shared" ref="Y93:AF93" si="563">SUM(V53:Y53)</f>
        <v>5084.2439999999997</v>
      </c>
      <c r="Z93" s="6">
        <f t="shared" si="563"/>
        <v>5307.4879999999994</v>
      </c>
      <c r="AA93" s="6">
        <f t="shared" si="563"/>
        <v>5530.7319999999991</v>
      </c>
      <c r="AB93" s="6">
        <f t="shared" si="563"/>
        <v>5753.9759999999997</v>
      </c>
      <c r="AC93" s="6">
        <f t="shared" si="563"/>
        <v>5873.1937500000004</v>
      </c>
      <c r="AD93" s="6">
        <f t="shared" si="563"/>
        <v>5992.4115000000002</v>
      </c>
      <c r="AE93" s="6">
        <f t="shared" si="563"/>
        <v>6111.62925</v>
      </c>
      <c r="AF93" s="6">
        <f t="shared" si="563"/>
        <v>6230.8469999999998</v>
      </c>
      <c r="AG93" s="6">
        <f>+AG53+G53-BK53</f>
        <v>5725.1352499999994</v>
      </c>
      <c r="AH93" s="6">
        <f>+AH53+G53-BL53+AG53-BK53</f>
        <v>5234.423499999999</v>
      </c>
      <c r="AI93" s="6">
        <f>+AI53+G53-BM53+AH53-BL53+AG53-BK53</f>
        <v>4794.7117499999986</v>
      </c>
      <c r="AJ93" s="6">
        <f>SUM(AG53:AJ53)</f>
        <v>4447</v>
      </c>
      <c r="AK93" s="242"/>
      <c r="AL93" s="242"/>
      <c r="AM93" s="242"/>
      <c r="AN93" s="242"/>
      <c r="AO93" s="242"/>
      <c r="AP93" s="242"/>
      <c r="AQ93" s="242"/>
      <c r="AR93" s="242"/>
      <c r="AS93" s="6">
        <f t="shared" ref="AS93:BH93" si="564">AS53</f>
        <v>0</v>
      </c>
      <c r="AT93" s="6">
        <f t="shared" si="564"/>
        <v>0</v>
      </c>
      <c r="AU93" s="6">
        <f t="shared" si="564"/>
        <v>0</v>
      </c>
      <c r="AV93" s="6">
        <f t="shared" si="564"/>
        <v>0</v>
      </c>
      <c r="AW93" s="6">
        <f t="shared" si="564"/>
        <v>0</v>
      </c>
      <c r="AX93" s="6">
        <f t="shared" si="564"/>
        <v>0</v>
      </c>
      <c r="AY93" s="6">
        <f t="shared" si="564"/>
        <v>0</v>
      </c>
      <c r="AZ93" s="6">
        <f t="shared" si="564"/>
        <v>0</v>
      </c>
      <c r="BA93" s="6">
        <f t="shared" si="564"/>
        <v>0</v>
      </c>
      <c r="BB93" s="6">
        <f t="shared" si="564"/>
        <v>0</v>
      </c>
      <c r="BC93" s="6">
        <f t="shared" si="564"/>
        <v>0</v>
      </c>
      <c r="BD93" s="6">
        <f t="shared" si="564"/>
        <v>0</v>
      </c>
      <c r="BE93" s="6">
        <f t="shared" si="564"/>
        <v>0</v>
      </c>
      <c r="BF93" s="6">
        <f t="shared" si="564"/>
        <v>0</v>
      </c>
      <c r="BG93" s="6">
        <f t="shared" si="564"/>
        <v>0</v>
      </c>
      <c r="BH93" s="6">
        <f t="shared" si="564"/>
        <v>0</v>
      </c>
      <c r="BI93" s="6">
        <f t="shared" ref="BI93" si="565">BI53</f>
        <v>0</v>
      </c>
      <c r="BJ93" s="6"/>
      <c r="BK93" s="6"/>
      <c r="BL93" s="6"/>
      <c r="BM93" s="6"/>
      <c r="BN93" s="6"/>
      <c r="BO93" s="6"/>
      <c r="BP93" s="6"/>
      <c r="BQ93" s="6">
        <f>Y22+Z22+AA22+BQ22</f>
        <v>4927.6069999999982</v>
      </c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2:87" ht="13.5" customHeight="1">
      <c r="B94" s="1" t="s">
        <v>330</v>
      </c>
      <c r="C94" s="6">
        <f t="shared" ref="C94:S94" si="566">-C63</f>
        <v>2872.116</v>
      </c>
      <c r="D94" s="6">
        <f t="shared" si="566"/>
        <v>3899.0320000000002</v>
      </c>
      <c r="E94" s="6">
        <f t="shared" si="566"/>
        <v>4347.8119999999999</v>
      </c>
      <c r="F94" s="6">
        <f t="shared" si="566"/>
        <v>4428.8440000000001</v>
      </c>
      <c r="G94" s="6">
        <f t="shared" si="566"/>
        <v>7027.4740000000002</v>
      </c>
      <c r="H94" s="6">
        <f t="shared" si="566"/>
        <v>7027.3019999999997</v>
      </c>
      <c r="I94" s="6">
        <f t="shared" si="566"/>
        <v>6284.6440000000002</v>
      </c>
      <c r="J94" s="6">
        <f t="shared" si="566"/>
        <v>6255.9380000000001</v>
      </c>
      <c r="K94" s="6">
        <f t="shared" si="566"/>
        <v>7032.0259999999998</v>
      </c>
      <c r="L94" s="6">
        <f t="shared" si="566"/>
        <v>7267.0590000000002</v>
      </c>
      <c r="M94" s="6">
        <f t="shared" si="566"/>
        <v>7267.0590000000002</v>
      </c>
      <c r="N94" s="6">
        <f t="shared" si="566"/>
        <v>6408.0129999999999</v>
      </c>
      <c r="O94" s="6">
        <f t="shared" si="566"/>
        <v>6408.0129999999999</v>
      </c>
      <c r="P94" s="6">
        <f t="shared" si="566"/>
        <v>7896.6170000000002</v>
      </c>
      <c r="Q94" s="6">
        <f t="shared" si="566"/>
        <v>9012.0499999999993</v>
      </c>
      <c r="R94" s="6">
        <f t="shared" si="566"/>
        <v>11932.909</v>
      </c>
      <c r="S94" s="6">
        <f t="shared" si="566"/>
        <v>12088.803</v>
      </c>
      <c r="U94" s="31"/>
      <c r="V94" s="31"/>
      <c r="W94" s="31"/>
      <c r="X94" s="6">
        <f>E94</f>
        <v>4347.8119999999999</v>
      </c>
      <c r="Y94" s="6">
        <f t="shared" ref="Y94:AF94" si="567">-SUM(V63:Y63)</f>
        <v>4664.6530000000002</v>
      </c>
      <c r="Z94" s="6">
        <f t="shared" si="567"/>
        <v>4592.4960000000001</v>
      </c>
      <c r="AA94" s="6">
        <f t="shared" si="567"/>
        <v>4656.8119999999999</v>
      </c>
      <c r="AB94" s="6">
        <f t="shared" si="567"/>
        <v>4428.8440000000001</v>
      </c>
      <c r="AC94" s="6">
        <f t="shared" si="567"/>
        <v>4658.3619999999992</v>
      </c>
      <c r="AD94" s="6">
        <f t="shared" si="567"/>
        <v>5407.6299999999992</v>
      </c>
      <c r="AE94" s="6">
        <f t="shared" si="567"/>
        <v>5942.1130000000003</v>
      </c>
      <c r="AF94" s="6">
        <f t="shared" si="567"/>
        <v>7027.4740000000002</v>
      </c>
      <c r="AG94" s="6">
        <f>-(+AG63+G63-BK63)</f>
        <v>6946.2360000000008</v>
      </c>
      <c r="AH94" s="6">
        <f>-(+AH63+G63-BL63+AG63-BK63)</f>
        <v>6920.0250000000015</v>
      </c>
      <c r="AI94" s="6">
        <f>-(+AI63+G63-BM63+AH63-BL63+AG63-BK63)</f>
        <v>6300.7849999999999</v>
      </c>
      <c r="AJ94" s="6">
        <f>-SUM(AG63:AJ63)</f>
        <v>6284.6440000000002</v>
      </c>
      <c r="AK94" s="6">
        <f>-SUM(AH63:AK63)</f>
        <v>6304.33</v>
      </c>
      <c r="AL94" s="6">
        <f>-(+I63+AL63+AK63-AG63-BO63)</f>
        <v>6359.3649999999998</v>
      </c>
      <c r="AM94" s="6">
        <f>-(+I63+AL63+AK63-AG63-BO63+AM63-BP63)</f>
        <v>7009.9360000000006</v>
      </c>
      <c r="AN94" s="6">
        <f t="shared" ref="AN94:BI94" si="568">-SUM(AK63:AN63)</f>
        <v>7032.0259999999998</v>
      </c>
      <c r="AO94" s="6">
        <f t="shared" si="568"/>
        <v>7289.6190000000006</v>
      </c>
      <c r="AP94" s="6">
        <f t="shared" si="568"/>
        <v>7347.4000000000005</v>
      </c>
      <c r="AQ94" s="6">
        <f t="shared" si="568"/>
        <v>7297.6020000000008</v>
      </c>
      <c r="AR94" s="6">
        <f t="shared" si="568"/>
        <v>7267.0590000000011</v>
      </c>
      <c r="AS94" s="6">
        <f t="shared" si="568"/>
        <v>7286.7160000000003</v>
      </c>
      <c r="AT94" s="6">
        <f t="shared" si="568"/>
        <v>6441.2250000000004</v>
      </c>
      <c r="AU94" s="6">
        <f t="shared" si="568"/>
        <v>6846.139000000001</v>
      </c>
      <c r="AV94" s="6">
        <f t="shared" si="568"/>
        <v>6408.0129999999999</v>
      </c>
      <c r="AW94" s="6">
        <f t="shared" si="568"/>
        <v>6217.3050000000003</v>
      </c>
      <c r="AX94" s="6">
        <f t="shared" si="568"/>
        <v>7775.07</v>
      </c>
      <c r="AY94" s="6">
        <f t="shared" si="568"/>
        <v>7210.4609999999993</v>
      </c>
      <c r="AZ94" s="6">
        <f t="shared" si="568"/>
        <v>7896.6170000000002</v>
      </c>
      <c r="BA94" s="6">
        <f t="shared" si="568"/>
        <v>7806.3010000000004</v>
      </c>
      <c r="BB94" s="6">
        <f t="shared" si="568"/>
        <v>7463.6480000000001</v>
      </c>
      <c r="BC94" s="6">
        <f t="shared" si="568"/>
        <v>9345.2999999999993</v>
      </c>
      <c r="BD94" s="6">
        <f t="shared" si="568"/>
        <v>9012.0499999999993</v>
      </c>
      <c r="BE94" s="6">
        <f t="shared" si="568"/>
        <v>10924.888999999999</v>
      </c>
      <c r="BF94" s="6">
        <f t="shared" si="568"/>
        <v>10871.55</v>
      </c>
      <c r="BG94" s="6">
        <f t="shared" si="568"/>
        <v>10703.421</v>
      </c>
      <c r="BH94" s="6">
        <f t="shared" si="568"/>
        <v>11932.909</v>
      </c>
      <c r="BI94" s="6">
        <f t="shared" si="568"/>
        <v>12088.803</v>
      </c>
      <c r="BJ94" s="6"/>
      <c r="BK94" s="6"/>
      <c r="BL94" s="6"/>
      <c r="BM94" s="6"/>
      <c r="BN94" s="6"/>
      <c r="BO94" s="6"/>
      <c r="BP94" s="6"/>
      <c r="BQ94" s="6" t="e">
        <f>-(Y63+Z63+AA63+BQ63)</f>
        <v>#REF!</v>
      </c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2:87" ht="13.5" customHeight="1">
      <c r="B95" s="1" t="s">
        <v>357</v>
      </c>
      <c r="C95" s="6">
        <f t="shared" ref="C95:S95" si="569">C24</f>
        <v>4031.335999999988</v>
      </c>
      <c r="D95" s="6">
        <f t="shared" si="569"/>
        <v>5915.2599999999875</v>
      </c>
      <c r="E95" s="6">
        <f t="shared" si="569"/>
        <v>6768.3030000000163</v>
      </c>
      <c r="F95" s="6">
        <f t="shared" si="569"/>
        <v>5669.4380000000183</v>
      </c>
      <c r="G95" s="6">
        <f t="shared" si="569"/>
        <v>6810.617000000012</v>
      </c>
      <c r="H95" s="6">
        <f t="shared" si="569"/>
        <v>6810.6169999999829</v>
      </c>
      <c r="I95" s="6">
        <f t="shared" si="569"/>
        <v>7375.4119999999493</v>
      </c>
      <c r="J95" s="6">
        <f t="shared" si="569"/>
        <v>7375.4119999999493</v>
      </c>
      <c r="K95" s="6">
        <f t="shared" si="569"/>
        <v>10550.721</v>
      </c>
      <c r="L95" s="6">
        <f t="shared" si="569"/>
        <v>17382.527000000016</v>
      </c>
      <c r="M95" s="6">
        <f t="shared" si="569"/>
        <v>17382.527000000013</v>
      </c>
      <c r="N95" s="6">
        <f t="shared" si="569"/>
        <v>48484.661999999982</v>
      </c>
      <c r="O95" s="6">
        <f t="shared" si="569"/>
        <v>48484.661999999982</v>
      </c>
      <c r="P95" s="6">
        <f t="shared" si="569"/>
        <v>16922.447999999986</v>
      </c>
      <c r="Q95" s="6">
        <f t="shared" si="569"/>
        <v>14043.231999999978</v>
      </c>
      <c r="R95" s="6">
        <f t="shared" si="569"/>
        <v>12945.942000000005</v>
      </c>
      <c r="S95" s="6">
        <f t="shared" si="569"/>
        <v>13531.062000000024</v>
      </c>
      <c r="U95" s="31"/>
      <c r="V95" s="31"/>
      <c r="W95" s="31"/>
      <c r="X95" s="6">
        <f>E95</f>
        <v>6768.3030000000163</v>
      </c>
      <c r="Y95" s="6">
        <f t="shared" ref="Y95:AF95" si="570">SUM(V24:Y24)</f>
        <v>6370.1769999999988</v>
      </c>
      <c r="Z95" s="6">
        <f t="shared" si="570"/>
        <v>6032.6310000000112</v>
      </c>
      <c r="AA95" s="6">
        <f t="shared" si="570"/>
        <v>5223.6730000000125</v>
      </c>
      <c r="AB95" s="6">
        <f t="shared" si="570"/>
        <v>5669.4380000000201</v>
      </c>
      <c r="AC95" s="6">
        <f t="shared" si="570"/>
        <v>5962.1490000000249</v>
      </c>
      <c r="AD95" s="6">
        <f t="shared" si="570"/>
        <v>4699.3580000000156</v>
      </c>
      <c r="AE95" s="6">
        <f t="shared" si="570"/>
        <v>4801.2350000000106</v>
      </c>
      <c r="AF95" s="6">
        <f t="shared" si="570"/>
        <v>6810.6169999999947</v>
      </c>
      <c r="AG95" s="6">
        <f>+AG24+G24-BK24</f>
        <v>6832.8170000000118</v>
      </c>
      <c r="AH95" s="6">
        <f>+AH24+G24-BL24+AG24-BK24</f>
        <v>7849.2200000000066</v>
      </c>
      <c r="AI95" s="6">
        <f>+AI24+G24-BM24+AH24-BL24+AG24-BK24</f>
        <v>7968.4510000000173</v>
      </c>
      <c r="AJ95" s="6">
        <f>SUM(AG24:AJ24)</f>
        <v>7375.4119999999839</v>
      </c>
      <c r="AK95" s="6">
        <f>SUM(AH24:AK24)</f>
        <v>6083.0129999999945</v>
      </c>
      <c r="AL95" s="6">
        <f>+I24+AL24+AK24-AG24-BO24</f>
        <v>7449.8099999999613</v>
      </c>
      <c r="AM95" s="6">
        <f>+I24+AL24+AK24-AG24-BO24+AM24-BP24</f>
        <v>9147.8059999999714</v>
      </c>
      <c r="AN95" s="6">
        <f t="shared" ref="AN95:BI95" si="571">SUM(AK24:AN24)</f>
        <v>10550.721000000016</v>
      </c>
      <c r="AO95" s="6">
        <f t="shared" si="571"/>
        <v>14622.933000000008</v>
      </c>
      <c r="AP95" s="6">
        <f t="shared" si="571"/>
        <v>15109.714999999993</v>
      </c>
      <c r="AQ95" s="6">
        <f t="shared" si="571"/>
        <v>15584.382999999983</v>
      </c>
      <c r="AR95" s="6">
        <f t="shared" si="571"/>
        <v>17382.527000000024</v>
      </c>
      <c r="AS95" s="6">
        <f t="shared" si="571"/>
        <v>17859.560000000027</v>
      </c>
      <c r="AT95" s="6">
        <f t="shared" si="571"/>
        <v>21020.097000000031</v>
      </c>
      <c r="AU95" s="6">
        <f t="shared" si="571"/>
        <v>23143.660000000033</v>
      </c>
      <c r="AV95" s="6">
        <f t="shared" si="571"/>
        <v>48484.661999999982</v>
      </c>
      <c r="AW95" s="6">
        <f t="shared" si="571"/>
        <v>48085.713999999964</v>
      </c>
      <c r="AX95" s="6">
        <f t="shared" si="571"/>
        <v>45878.572999999982</v>
      </c>
      <c r="AY95" s="6">
        <f t="shared" si="571"/>
        <v>43938.988999999987</v>
      </c>
      <c r="AZ95" s="6">
        <f t="shared" si="571"/>
        <v>16922.448</v>
      </c>
      <c r="BA95" s="6">
        <f t="shared" si="571"/>
        <v>15236.660000000007</v>
      </c>
      <c r="BB95" s="6">
        <f t="shared" si="571"/>
        <v>14586.728000000003</v>
      </c>
      <c r="BC95" s="6">
        <f t="shared" si="571"/>
        <v>14167.744000000008</v>
      </c>
      <c r="BD95" s="6">
        <f t="shared" si="571"/>
        <v>14043.231999999953</v>
      </c>
      <c r="BE95" s="6">
        <f t="shared" si="571"/>
        <v>13499.712999999958</v>
      </c>
      <c r="BF95" s="6">
        <f t="shared" si="571"/>
        <v>13107.384999999944</v>
      </c>
      <c r="BG95" s="6">
        <f t="shared" si="571"/>
        <v>12827.425999999941</v>
      </c>
      <c r="BH95" s="6">
        <f t="shared" si="571"/>
        <v>12945.942000000017</v>
      </c>
      <c r="BI95" s="6">
        <f t="shared" si="571"/>
        <v>13531.062000000016</v>
      </c>
      <c r="BJ95" s="6"/>
      <c r="BK95" s="6"/>
      <c r="BL95" s="6"/>
      <c r="BM95" s="6"/>
      <c r="BN95" s="6"/>
      <c r="BO95" s="6"/>
      <c r="BP95" s="6"/>
      <c r="BQ95" s="6" t="e">
        <f>Y69+Z69+AA69+BQ69</f>
        <v>#REF!</v>
      </c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2:87" ht="13.5" customHeight="1">
      <c r="B96" s="1" t="s">
        <v>332</v>
      </c>
      <c r="C96" s="6">
        <f t="shared" ref="C96:S96" si="572">-C65</f>
        <v>6828.6819999999998</v>
      </c>
      <c r="D96" s="6">
        <f t="shared" si="572"/>
        <v>9604.3209999999999</v>
      </c>
      <c r="E96" s="6">
        <f t="shared" si="572"/>
        <v>13152.5</v>
      </c>
      <c r="F96" s="6">
        <f t="shared" si="572"/>
        <v>13572.669</v>
      </c>
      <c r="G96" s="6">
        <f t="shared" si="572"/>
        <v>15067</v>
      </c>
      <c r="H96" s="6">
        <f t="shared" si="572"/>
        <v>14468.138999999999</v>
      </c>
      <c r="I96" s="6">
        <f t="shared" si="572"/>
        <v>12646.904999999999</v>
      </c>
      <c r="J96" s="6">
        <f t="shared" si="572"/>
        <v>12646.904999999999</v>
      </c>
      <c r="K96" s="6">
        <f t="shared" si="572"/>
        <v>12673.447999999999</v>
      </c>
      <c r="L96" s="6">
        <f t="shared" si="572"/>
        <v>20938.866999999998</v>
      </c>
      <c r="M96" s="6">
        <f t="shared" si="572"/>
        <v>20633.923999999999</v>
      </c>
      <c r="N96" s="6">
        <f t="shared" si="572"/>
        <v>29425.809000000001</v>
      </c>
      <c r="O96" s="6">
        <f t="shared" si="572"/>
        <v>29416.812999999998</v>
      </c>
      <c r="P96" s="6">
        <f t="shared" si="572"/>
        <v>35143.652999999998</v>
      </c>
      <c r="Q96" s="6">
        <f t="shared" si="572"/>
        <v>28771.732</v>
      </c>
      <c r="R96" s="6">
        <f t="shared" si="572"/>
        <v>22244.428999999996</v>
      </c>
      <c r="S96" s="6">
        <f t="shared" si="572"/>
        <v>18683.446999999996</v>
      </c>
      <c r="U96" s="31"/>
      <c r="V96" s="31"/>
      <c r="W96" s="31"/>
      <c r="X96" s="6">
        <f>E96</f>
        <v>13152.5</v>
      </c>
      <c r="Y96" s="6">
        <f t="shared" ref="Y96:AF96" si="573">-SUM(V65:Y65)</f>
        <v>14138.53</v>
      </c>
      <c r="Z96" s="6">
        <f t="shared" si="573"/>
        <v>13610.663999999999</v>
      </c>
      <c r="AA96" s="6">
        <f t="shared" si="573"/>
        <v>13528.718000000001</v>
      </c>
      <c r="AB96" s="6">
        <f t="shared" si="573"/>
        <v>13572.669</v>
      </c>
      <c r="AC96" s="6">
        <f t="shared" si="573"/>
        <v>14182.770999999999</v>
      </c>
      <c r="AD96" s="6">
        <f t="shared" si="573"/>
        <v>15174.249</v>
      </c>
      <c r="AE96" s="6">
        <f t="shared" si="573"/>
        <v>15629.847</v>
      </c>
      <c r="AF96" s="6">
        <f t="shared" si="573"/>
        <v>15067</v>
      </c>
      <c r="AG96" s="6">
        <f>-(+AG65+G65-BK65)</f>
        <v>13487.846</v>
      </c>
      <c r="AH96" s="6">
        <f>-(+AH65+G65-BL65+AG65-BK65)</f>
        <v>13578.439000000004</v>
      </c>
      <c r="AI96" s="6">
        <f>-(+AI65+G65-BM65+AH65-BL65+AG65-BK65)</f>
        <v>13267.724999999997</v>
      </c>
      <c r="AJ96" s="6">
        <f>-SUM(AG65:AJ65)</f>
        <v>12646.904999999999</v>
      </c>
      <c r="AK96" s="6">
        <f>-SUM(AH65:AK65)</f>
        <v>13066.385</v>
      </c>
      <c r="AL96" s="6">
        <f>-(+I65+AL65+AK65-AG65-BO65)</f>
        <v>12119.390000000001</v>
      </c>
      <c r="AM96" s="6">
        <f>-(+I65+AL65+AK65-AG65-BO65+AM65-BP65)</f>
        <v>11844.560000000001</v>
      </c>
      <c r="AN96" s="6">
        <f t="shared" ref="AN96:BI96" si="574">-SUM(AK65:AN65)</f>
        <v>12673.447999999999</v>
      </c>
      <c r="AO96" s="6">
        <f t="shared" si="574"/>
        <v>12904.576999999997</v>
      </c>
      <c r="AP96" s="6">
        <f t="shared" si="574"/>
        <v>14806.530999999997</v>
      </c>
      <c r="AQ96" s="6">
        <f t="shared" si="574"/>
        <v>16666.322999999997</v>
      </c>
      <c r="AR96" s="6">
        <f t="shared" si="574"/>
        <v>20633.923999999999</v>
      </c>
      <c r="AS96" s="6">
        <f t="shared" si="574"/>
        <v>21876.116999999998</v>
      </c>
      <c r="AT96" s="6">
        <f t="shared" si="574"/>
        <v>23667.703999999998</v>
      </c>
      <c r="AU96" s="6">
        <f t="shared" si="574"/>
        <v>26282.565999999999</v>
      </c>
      <c r="AV96" s="6">
        <f t="shared" si="574"/>
        <v>29425.809000000001</v>
      </c>
      <c r="AW96" s="6">
        <f t="shared" si="574"/>
        <v>30859.160000000003</v>
      </c>
      <c r="AX96" s="6">
        <f t="shared" si="574"/>
        <v>32074.847000000002</v>
      </c>
      <c r="AY96" s="6">
        <f t="shared" si="574"/>
        <v>33764.909</v>
      </c>
      <c r="AZ96" s="6">
        <f t="shared" si="574"/>
        <v>35143.652999999998</v>
      </c>
      <c r="BA96" s="6">
        <f t="shared" si="574"/>
        <v>35355.657999999996</v>
      </c>
      <c r="BB96" s="6">
        <f t="shared" si="574"/>
        <v>34141.370000000003</v>
      </c>
      <c r="BC96" s="6">
        <f t="shared" si="574"/>
        <v>32210.578000000001</v>
      </c>
      <c r="BD96" s="6">
        <f t="shared" si="574"/>
        <v>28771.732</v>
      </c>
      <c r="BE96" s="6">
        <f t="shared" si="574"/>
        <v>28500.764999999999</v>
      </c>
      <c r="BF96" s="6">
        <f t="shared" si="574"/>
        <v>26509.443000000003</v>
      </c>
      <c r="BG96" s="6">
        <f t="shared" si="574"/>
        <v>24002.786</v>
      </c>
      <c r="BH96" s="6">
        <f t="shared" si="574"/>
        <v>22244.428999999996</v>
      </c>
      <c r="BI96" s="6">
        <f t="shared" si="574"/>
        <v>18683.446999999996</v>
      </c>
      <c r="BQ96" s="6"/>
    </row>
    <row r="97" spans="1:254" ht="13.5" customHeight="1">
      <c r="B97" s="1" t="s">
        <v>337</v>
      </c>
      <c r="C97" s="6">
        <f t="shared" ref="C97:S97" si="575">C70</f>
        <v>-18715.557000000001</v>
      </c>
      <c r="D97" s="6">
        <f t="shared" si="575"/>
        <v>5556.8330000000024</v>
      </c>
      <c r="E97" s="6">
        <f t="shared" si="575"/>
        <v>922.58699999999953</v>
      </c>
      <c r="F97" s="6">
        <f t="shared" si="575"/>
        <v>-3494.0410000000038</v>
      </c>
      <c r="G97" s="6">
        <f t="shared" si="575"/>
        <v>1684.6830000000052</v>
      </c>
      <c r="H97" s="6">
        <f t="shared" si="575"/>
        <v>-171.77399999999898</v>
      </c>
      <c r="I97" s="6">
        <f t="shared" si="575"/>
        <v>17418.690000000002</v>
      </c>
      <c r="J97" s="6">
        <f t="shared" si="575"/>
        <v>17533.316000000003</v>
      </c>
      <c r="K97" s="6">
        <f t="shared" si="575"/>
        <v>17817.888000000003</v>
      </c>
      <c r="L97" s="6">
        <f t="shared" si="575"/>
        <v>5582.108000000002</v>
      </c>
      <c r="M97" s="6">
        <f t="shared" si="575"/>
        <v>3272.8670000000025</v>
      </c>
      <c r="N97" s="6">
        <f t="shared" si="575"/>
        <v>26470.794999999998</v>
      </c>
      <c r="O97" s="6">
        <f t="shared" si="575"/>
        <v>23111.336000000003</v>
      </c>
      <c r="P97" s="6">
        <f t="shared" si="575"/>
        <v>-19674.722999999994</v>
      </c>
      <c r="Q97" s="6">
        <f t="shared" si="575"/>
        <v>-8077.5109999999931</v>
      </c>
      <c r="R97" s="6">
        <f t="shared" si="575"/>
        <v>-2117.1879999999996</v>
      </c>
      <c r="S97" s="6">
        <f t="shared" si="575"/>
        <v>6175.9850000000069</v>
      </c>
      <c r="U97" s="31"/>
      <c r="V97" s="31"/>
      <c r="W97" s="31"/>
      <c r="X97" s="6">
        <f>E97</f>
        <v>922.58699999999953</v>
      </c>
      <c r="Y97" s="6">
        <f t="shared" ref="Y97:AF97" si="576">SUM(V70:Y70)</f>
        <v>-17.170000000000812</v>
      </c>
      <c r="Z97" s="6">
        <f t="shared" si="576"/>
        <v>2264.6689999999994</v>
      </c>
      <c r="AA97" s="6">
        <f t="shared" si="576"/>
        <v>4941.5869999999995</v>
      </c>
      <c r="AB97" s="6">
        <f t="shared" si="576"/>
        <v>-3494.0410000000052</v>
      </c>
      <c r="AC97" s="6">
        <f t="shared" si="576"/>
        <v>-5718.3070000000043</v>
      </c>
      <c r="AD97" s="6">
        <f t="shared" si="576"/>
        <v>-10323.275000000005</v>
      </c>
      <c r="AE97" s="6">
        <f t="shared" si="576"/>
        <v>-9532.7840000000069</v>
      </c>
      <c r="AF97" s="6">
        <f t="shared" si="576"/>
        <v>1684.6830000000027</v>
      </c>
      <c r="AG97" s="6">
        <f>+AG70+G70-BK70</f>
        <v>5277.9200000000037</v>
      </c>
      <c r="AH97" s="6">
        <f>+AH70+G70-BL70+AG70-BK70</f>
        <v>12812.026000000005</v>
      </c>
      <c r="AI97" s="6">
        <f>+AI70+G70-BM70+AH70-BL70+AG70-BK70</f>
        <v>16896.52900000001</v>
      </c>
      <c r="AJ97" s="6">
        <f>SUM(AG70:AJ70)</f>
        <v>17418.690000000002</v>
      </c>
      <c r="AK97" s="6">
        <f>SUM(AH70:AK70)</f>
        <v>18454.623000000003</v>
      </c>
      <c r="AL97" s="6">
        <f>+I70+AL70+AK70-AG70-BO70</f>
        <v>15735.633999999998</v>
      </c>
      <c r="AM97" s="6">
        <f>+I70+AL70+AK70-AG70-BO70+AM70-BP70</f>
        <v>15267.710999999999</v>
      </c>
      <c r="AN97" s="6">
        <f t="shared" ref="AN97:BI97" si="577">SUM(AK70:AN70)</f>
        <v>17817.887999999999</v>
      </c>
      <c r="AO97" s="6">
        <f t="shared" si="577"/>
        <v>18315.024000000001</v>
      </c>
      <c r="AP97" s="6">
        <f t="shared" si="577"/>
        <v>18054.006000000005</v>
      </c>
      <c r="AQ97" s="6">
        <f t="shared" si="577"/>
        <v>11739.900000000001</v>
      </c>
      <c r="AR97" s="6">
        <f t="shared" si="577"/>
        <v>3272.8669999999979</v>
      </c>
      <c r="AS97" s="6">
        <f t="shared" si="577"/>
        <v>2188.5339999999992</v>
      </c>
      <c r="AT97" s="6">
        <f t="shared" si="577"/>
        <v>5420.6720000000023</v>
      </c>
      <c r="AU97" s="6">
        <f t="shared" si="577"/>
        <v>805.39800000000196</v>
      </c>
      <c r="AV97" s="6">
        <f t="shared" si="577"/>
        <v>26470.795000000006</v>
      </c>
      <c r="AW97" s="6">
        <f t="shared" si="577"/>
        <v>15894.498000000003</v>
      </c>
      <c r="AX97" s="6">
        <f t="shared" si="577"/>
        <v>5038.8940000000039</v>
      </c>
      <c r="AY97" s="6">
        <f t="shared" si="577"/>
        <v>9277.2970000000041</v>
      </c>
      <c r="AZ97" s="6">
        <f t="shared" si="577"/>
        <v>-19674.723000000002</v>
      </c>
      <c r="BA97" s="6">
        <f t="shared" si="577"/>
        <v>-13647.640000000003</v>
      </c>
      <c r="BB97" s="6">
        <f t="shared" si="577"/>
        <v>-11778.842000000004</v>
      </c>
      <c r="BC97" s="6">
        <f t="shared" si="577"/>
        <v>-11159.485000000001</v>
      </c>
      <c r="BD97" s="6">
        <f t="shared" si="577"/>
        <v>-8077.5109999999995</v>
      </c>
      <c r="BE97" s="6">
        <f t="shared" si="577"/>
        <v>-3685.0920000000006</v>
      </c>
      <c r="BF97" s="6">
        <f t="shared" si="577"/>
        <v>-6152.3869999999988</v>
      </c>
      <c r="BG97" s="6">
        <f t="shared" si="577"/>
        <v>376.44500000000153</v>
      </c>
      <c r="BH97" s="6">
        <f t="shared" si="577"/>
        <v>-2117.1879999999951</v>
      </c>
      <c r="BI97" s="6">
        <f t="shared" si="577"/>
        <v>6175.985000000006</v>
      </c>
      <c r="BJ97" s="6"/>
      <c r="BK97" s="6"/>
      <c r="BL97" s="6"/>
      <c r="BM97" s="6"/>
      <c r="BN97" s="6"/>
      <c r="BO97" s="6"/>
      <c r="BP97" s="6"/>
      <c r="BQ97" s="6" t="e">
        <f>Y70+Z70+AA70+BQ70</f>
        <v>#REF!</v>
      </c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254" ht="13.5" customHeight="1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U98" s="6"/>
      <c r="Y98" s="6"/>
      <c r="Z98" s="6"/>
      <c r="AD98" s="6"/>
      <c r="BJ98" s="6"/>
      <c r="BK98" s="6"/>
      <c r="BL98" s="6"/>
      <c r="BM98" s="6"/>
      <c r="BN98" s="6"/>
      <c r="BO98" s="6"/>
      <c r="BP98" s="6"/>
      <c r="BQ98" s="6">
        <f>Y27+Z27+AA27+BQ27</f>
        <v>0</v>
      </c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254" ht="13.5" customHeight="1">
      <c r="B99" s="16" t="s">
        <v>358</v>
      </c>
      <c r="C99" s="38">
        <f t="shared" ref="C99:R99" si="578">C3</f>
        <v>41975</v>
      </c>
      <c r="D99" s="38">
        <f t="shared" si="578"/>
        <v>42341</v>
      </c>
      <c r="E99" s="38">
        <f t="shared" si="578"/>
        <v>42708</v>
      </c>
      <c r="F99" s="38">
        <f t="shared" si="578"/>
        <v>43074</v>
      </c>
      <c r="G99" s="38">
        <f t="shared" si="578"/>
        <v>43439</v>
      </c>
      <c r="H99" s="38">
        <f t="shared" si="578"/>
        <v>43439</v>
      </c>
      <c r="I99" s="38">
        <f t="shared" si="578"/>
        <v>43804</v>
      </c>
      <c r="J99" s="38">
        <f t="shared" si="578"/>
        <v>43804</v>
      </c>
      <c r="K99" s="38">
        <f t="shared" si="578"/>
        <v>44170</v>
      </c>
      <c r="L99" s="38">
        <f t="shared" si="578"/>
        <v>44535</v>
      </c>
      <c r="M99" s="38">
        <f t="shared" si="578"/>
        <v>44535</v>
      </c>
      <c r="N99" s="38">
        <f t="shared" si="578"/>
        <v>44900</v>
      </c>
      <c r="O99" s="38">
        <f t="shared" si="578"/>
        <v>44900</v>
      </c>
      <c r="P99" s="38">
        <f t="shared" si="578"/>
        <v>45265</v>
      </c>
      <c r="Q99" s="38">
        <f t="shared" si="578"/>
        <v>45631</v>
      </c>
      <c r="R99" s="38">
        <f t="shared" si="578"/>
        <v>45996</v>
      </c>
      <c r="S99" s="197" t="s">
        <v>277</v>
      </c>
      <c r="U99" s="38">
        <f t="shared" ref="U99:BH99" si="579">U3</f>
        <v>42437</v>
      </c>
      <c r="V99" s="38">
        <f t="shared" si="579"/>
        <v>42527</v>
      </c>
      <c r="W99" s="38">
        <f t="shared" si="579"/>
        <v>42622</v>
      </c>
      <c r="X99" s="38">
        <f t="shared" si="579"/>
        <v>42714</v>
      </c>
      <c r="Y99" s="38">
        <f t="shared" si="579"/>
        <v>42801</v>
      </c>
      <c r="Z99" s="38">
        <f t="shared" si="579"/>
        <v>42892</v>
      </c>
      <c r="AA99" s="38">
        <f t="shared" si="579"/>
        <v>42987</v>
      </c>
      <c r="AB99" s="38">
        <f t="shared" si="579"/>
        <v>43100</v>
      </c>
      <c r="AC99" s="38">
        <f t="shared" si="579"/>
        <v>43190</v>
      </c>
      <c r="AD99" s="38">
        <f t="shared" si="579"/>
        <v>43281</v>
      </c>
      <c r="AE99" s="38">
        <f t="shared" si="579"/>
        <v>43373</v>
      </c>
      <c r="AF99" s="38">
        <f t="shared" si="579"/>
        <v>43465</v>
      </c>
      <c r="AG99" s="38">
        <f t="shared" si="579"/>
        <v>43555</v>
      </c>
      <c r="AH99" s="38">
        <f t="shared" si="579"/>
        <v>43646</v>
      </c>
      <c r="AI99" s="38">
        <f t="shared" si="579"/>
        <v>43738</v>
      </c>
      <c r="AJ99" s="38">
        <f t="shared" si="579"/>
        <v>43830</v>
      </c>
      <c r="AK99" s="38">
        <f t="shared" si="579"/>
        <v>43921</v>
      </c>
      <c r="AL99" s="38">
        <f t="shared" si="579"/>
        <v>44012</v>
      </c>
      <c r="AM99" s="38">
        <f t="shared" si="579"/>
        <v>44104</v>
      </c>
      <c r="AN99" s="38">
        <f t="shared" si="579"/>
        <v>44196</v>
      </c>
      <c r="AO99" s="38">
        <f t="shared" si="579"/>
        <v>44286</v>
      </c>
      <c r="AP99" s="38">
        <f t="shared" si="579"/>
        <v>44377</v>
      </c>
      <c r="AQ99" s="38">
        <f t="shared" si="579"/>
        <v>44469</v>
      </c>
      <c r="AR99" s="38">
        <f t="shared" si="579"/>
        <v>44561</v>
      </c>
      <c r="AS99" s="38">
        <f t="shared" si="579"/>
        <v>44651</v>
      </c>
      <c r="AT99" s="38">
        <f t="shared" si="579"/>
        <v>44742</v>
      </c>
      <c r="AU99" s="38">
        <f t="shared" si="579"/>
        <v>44834</v>
      </c>
      <c r="AV99" s="38">
        <f t="shared" si="579"/>
        <v>44926</v>
      </c>
      <c r="AW99" s="38">
        <f t="shared" si="579"/>
        <v>45016</v>
      </c>
      <c r="AX99" s="38">
        <f t="shared" si="579"/>
        <v>45107</v>
      </c>
      <c r="AY99" s="38">
        <f t="shared" si="579"/>
        <v>45199</v>
      </c>
      <c r="AZ99" s="38">
        <f t="shared" si="579"/>
        <v>45291</v>
      </c>
      <c r="BA99" s="197">
        <f t="shared" si="579"/>
        <v>45382</v>
      </c>
      <c r="BB99" s="197">
        <f t="shared" si="579"/>
        <v>45473</v>
      </c>
      <c r="BC99" s="197">
        <f t="shared" si="579"/>
        <v>45565</v>
      </c>
      <c r="BD99" s="197">
        <f t="shared" si="579"/>
        <v>45657</v>
      </c>
      <c r="BE99" s="197">
        <f t="shared" si="579"/>
        <v>45747</v>
      </c>
      <c r="BF99" s="197">
        <f t="shared" si="579"/>
        <v>45838</v>
      </c>
      <c r="BG99" s="197">
        <f t="shared" si="579"/>
        <v>45930</v>
      </c>
      <c r="BH99" s="197">
        <f t="shared" si="579"/>
        <v>46022</v>
      </c>
      <c r="BI99" s="197">
        <f t="shared" ref="BI99" si="580">BI3</f>
        <v>46112</v>
      </c>
      <c r="BJ99" s="6"/>
      <c r="BK99" s="6"/>
      <c r="BL99" s="6"/>
      <c r="BM99" s="6"/>
      <c r="BN99" s="6"/>
      <c r="BO99" s="6"/>
      <c r="BP99" s="6"/>
      <c r="BQ99" s="6" t="e">
        <f>-(Y68+Z68+AA68+BQ68)</f>
        <v>#REF!</v>
      </c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254" ht="13.5" customHeight="1"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BJ100" s="6"/>
      <c r="BK100" s="6"/>
      <c r="BL100" s="6"/>
      <c r="BM100" s="6"/>
      <c r="BN100" s="6"/>
      <c r="BO100" s="6"/>
      <c r="BP100" s="6"/>
      <c r="BQ100" s="6" t="e">
        <f>Y74+Z74+AA74+BQ74</f>
        <v>#REF!</v>
      </c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254" s="5" customFormat="1" ht="13.5" customHeight="1">
      <c r="B101" s="1" t="s">
        <v>359</v>
      </c>
      <c r="C101" s="4">
        <v>52475</v>
      </c>
      <c r="D101" s="4">
        <v>58073</v>
      </c>
      <c r="E101" s="97">
        <v>74584</v>
      </c>
      <c r="F101" s="97">
        <v>82972.096000000005</v>
      </c>
      <c r="G101" s="97">
        <v>87243.346000000005</v>
      </c>
      <c r="H101" s="97">
        <v>87243.346000000005</v>
      </c>
      <c r="I101" s="97">
        <f>84341.275+25549.95</f>
        <v>109891.22499999999</v>
      </c>
      <c r="J101" s="97">
        <f>84341.275+25549.95</f>
        <v>109891.22499999999</v>
      </c>
      <c r="K101" s="97">
        <f>91248.247+29162.994</f>
        <v>120411.24100000001</v>
      </c>
      <c r="L101" s="97">
        <f>103891.161+30753.653</f>
        <v>134644.81399999998</v>
      </c>
      <c r="M101" s="97">
        <f>103891.161+30753.653</f>
        <v>134644.81399999998</v>
      </c>
      <c r="N101" s="97">
        <f>113504.69+28477.38</f>
        <v>141982.07</v>
      </c>
      <c r="O101" s="97">
        <f>113504.69+28477.38</f>
        <v>141982.07</v>
      </c>
      <c r="P101" s="97">
        <f>129155.915+25848.244</f>
        <v>155004.15899999999</v>
      </c>
      <c r="Q101" s="97">
        <f>155376.404+34219.66</f>
        <v>189596.06400000001</v>
      </c>
      <c r="R101" s="97">
        <f>157422.53+32757.423</f>
        <v>190179.95300000001</v>
      </c>
      <c r="S101" s="6">
        <f>BI101</f>
        <v>188947.927</v>
      </c>
      <c r="U101" s="4">
        <v>58994</v>
      </c>
      <c r="V101" s="4">
        <v>64337</v>
      </c>
      <c r="W101" s="4">
        <v>70237</v>
      </c>
      <c r="X101" s="6">
        <f>+E101</f>
        <v>74584</v>
      </c>
      <c r="Y101" s="4">
        <v>72119</v>
      </c>
      <c r="Z101" s="4">
        <v>69683</v>
      </c>
      <c r="AA101" s="4">
        <v>71975.976999999999</v>
      </c>
      <c r="AB101" s="6">
        <f t="shared" ref="AB101:AB106" si="581">+F101</f>
        <v>82972.096000000005</v>
      </c>
      <c r="AC101" s="4">
        <v>80474.770999999993</v>
      </c>
      <c r="AD101" s="4">
        <v>84802.331000000006</v>
      </c>
      <c r="AE101" s="4">
        <v>82808.433000000005</v>
      </c>
      <c r="AF101" s="6">
        <f>G101</f>
        <v>87243.346000000005</v>
      </c>
      <c r="AG101" s="4">
        <f>86154.493+21773.524</f>
        <v>107928.01700000001</v>
      </c>
      <c r="AH101" s="4">
        <f>87456.593+21376.707</f>
        <v>108833.29999999999</v>
      </c>
      <c r="AI101" s="4">
        <f>88034.956+21677.323</f>
        <v>109712.27900000001</v>
      </c>
      <c r="AJ101" s="114">
        <f>I101</f>
        <v>109891.22499999999</v>
      </c>
      <c r="AK101" s="4">
        <f>95348.558+30379.454</f>
        <v>125728.012</v>
      </c>
      <c r="AL101" s="4">
        <f>95300.098+29804.86</f>
        <v>125104.958</v>
      </c>
      <c r="AM101" s="4">
        <f>94716.576+30395.116</f>
        <v>125111.69200000001</v>
      </c>
      <c r="AN101" s="114">
        <f>K101</f>
        <v>120411.24100000001</v>
      </c>
      <c r="AO101" s="4">
        <f>93000.275+29618.587</f>
        <v>122618.86199999999</v>
      </c>
      <c r="AP101" s="4">
        <f>93895.627+28475.5</f>
        <v>122371.12699999999</v>
      </c>
      <c r="AQ101" s="4">
        <f>96666.352+29115.648</f>
        <v>125782</v>
      </c>
      <c r="AR101" s="114">
        <f>M101</f>
        <v>134644.81399999998</v>
      </c>
      <c r="AS101" s="4">
        <f>(101993983000+29817152000)/1000000</f>
        <v>131811.13500000001</v>
      </c>
      <c r="AT101" s="4">
        <f>103806.309+29754.642</f>
        <v>133560.951</v>
      </c>
      <c r="AU101" s="4">
        <f>107650.791+29921.331</f>
        <v>137572.122</v>
      </c>
      <c r="AV101" s="114">
        <f>N101</f>
        <v>141982.07</v>
      </c>
      <c r="AW101" s="4">
        <f>(112345107000+26923735000)/1000000</f>
        <v>139268.842</v>
      </c>
      <c r="AX101" s="4">
        <f>113505.26+25744.65</f>
        <v>139249.91</v>
      </c>
      <c r="AY101" s="97">
        <f>121085.046+26423.699</f>
        <v>147508.745</v>
      </c>
      <c r="AZ101" s="114">
        <f>P101</f>
        <v>155004.15899999999</v>
      </c>
      <c r="BA101" s="97">
        <f>130455.126+25931.195</f>
        <v>156386.321</v>
      </c>
      <c r="BB101" s="97">
        <f>140310.661+28943.817</f>
        <v>169254.478</v>
      </c>
      <c r="BC101" s="97">
        <f>149801.387+31942.939</f>
        <v>181744.326</v>
      </c>
      <c r="BD101" s="6">
        <f>Q101</f>
        <v>189596.06400000001</v>
      </c>
      <c r="BE101" s="97">
        <f>158326.081+34774.613</f>
        <v>193100.69400000002</v>
      </c>
      <c r="BF101" s="97">
        <f>155260.316+34101.548</f>
        <v>189361.864</v>
      </c>
      <c r="BG101" s="97">
        <f>153241.267+34579.747</f>
        <v>187821.014</v>
      </c>
      <c r="BH101" s="6">
        <f>R101</f>
        <v>190179.95300000001</v>
      </c>
      <c r="BI101" s="97">
        <f>156615.057+32332.87</f>
        <v>188947.927</v>
      </c>
      <c r="BJ101" s="1"/>
      <c r="BK101" s="1"/>
      <c r="BL101" s="1"/>
      <c r="BM101" s="1"/>
      <c r="BN101" s="1"/>
      <c r="BO101" s="1"/>
      <c r="BP101" s="1"/>
      <c r="BQ101" s="6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</row>
    <row r="102" spans="1:254" s="5" customFormat="1" ht="13.5" customHeight="1">
      <c r="B102" s="1" t="s">
        <v>360</v>
      </c>
      <c r="C102" s="33">
        <v>23459.243999999999</v>
      </c>
      <c r="D102" s="33">
        <v>25931.845000000001</v>
      </c>
      <c r="E102" s="97">
        <v>30916.530999999999</v>
      </c>
      <c r="F102" s="97">
        <v>30638.123</v>
      </c>
      <c r="G102" s="97">
        <v>25884.776000000002</v>
      </c>
      <c r="H102" s="97">
        <v>25884.776000000002</v>
      </c>
      <c r="I102" s="97">
        <v>30426.071</v>
      </c>
      <c r="J102" s="97">
        <v>30426.071</v>
      </c>
      <c r="K102" s="97">
        <v>33832.523999999998</v>
      </c>
      <c r="L102" s="268">
        <v>30711.626</v>
      </c>
      <c r="M102" s="268">
        <v>30711.626</v>
      </c>
      <c r="N102" s="268">
        <v>9381.9979999999996</v>
      </c>
      <c r="O102" s="97">
        <v>9381.9979999999996</v>
      </c>
      <c r="P102" s="97">
        <v>7217.5839999999998</v>
      </c>
      <c r="Q102" s="97">
        <v>6634.44</v>
      </c>
      <c r="R102" s="97">
        <v>6507.223</v>
      </c>
      <c r="S102" s="6">
        <f>BI102</f>
        <v>7538.652</v>
      </c>
      <c r="U102" s="33">
        <v>26398.352999999999</v>
      </c>
      <c r="V102" s="33">
        <v>28153.537</v>
      </c>
      <c r="W102" s="33">
        <v>28736.124</v>
      </c>
      <c r="X102" s="6">
        <f>+E102</f>
        <v>30916.530999999999</v>
      </c>
      <c r="Y102" s="33">
        <v>29022.778999999999</v>
      </c>
      <c r="Z102" s="33">
        <v>28071.599999999999</v>
      </c>
      <c r="AA102" s="33">
        <v>28463.319</v>
      </c>
      <c r="AB102" s="6">
        <f t="shared" si="581"/>
        <v>30638.123</v>
      </c>
      <c r="AC102" s="33">
        <v>29151.958999999999</v>
      </c>
      <c r="AD102" s="33">
        <v>30991.654999999999</v>
      </c>
      <c r="AE102" s="33">
        <v>29825.789000000001</v>
      </c>
      <c r="AF102" s="6">
        <f>G102</f>
        <v>25884.776000000002</v>
      </c>
      <c r="AG102" s="33">
        <v>25727.625</v>
      </c>
      <c r="AH102" s="33">
        <v>27014.374</v>
      </c>
      <c r="AI102" s="33">
        <v>28337.518</v>
      </c>
      <c r="AJ102" s="114">
        <f>I102</f>
        <v>30426.071</v>
      </c>
      <c r="AK102" s="33">
        <v>38005.120999999999</v>
      </c>
      <c r="AL102" s="33">
        <v>40013.531999999999</v>
      </c>
      <c r="AM102" s="33">
        <v>38906.790999999997</v>
      </c>
      <c r="AN102" s="114">
        <f>K102</f>
        <v>33832.523999999998</v>
      </c>
      <c r="AO102" s="33">
        <v>31405.273000000001</v>
      </c>
      <c r="AP102" s="33">
        <v>32292.145</v>
      </c>
      <c r="AQ102" s="33">
        <v>31570.82</v>
      </c>
      <c r="AR102" s="114">
        <f>M102</f>
        <v>30711.626</v>
      </c>
      <c r="AS102" s="33">
        <v>27304.741000000002</v>
      </c>
      <c r="AT102" s="33">
        <v>24126.416000000001</v>
      </c>
      <c r="AU102" s="33">
        <v>23202.455999999998</v>
      </c>
      <c r="AV102" s="114">
        <f>N102</f>
        <v>9381.9979999999996</v>
      </c>
      <c r="AW102" s="33">
        <v>10012.130999999999</v>
      </c>
      <c r="AX102" s="33">
        <v>9669.8070000000007</v>
      </c>
      <c r="AY102" s="97">
        <v>7695.0780000000004</v>
      </c>
      <c r="AZ102" s="114">
        <f>P102</f>
        <v>7217.5839999999998</v>
      </c>
      <c r="BA102" s="97">
        <v>7194.1149999999998</v>
      </c>
      <c r="BB102" s="97">
        <v>6011.473</v>
      </c>
      <c r="BC102" s="97">
        <v>6637.3729999999996</v>
      </c>
      <c r="BD102" s="6">
        <f t="shared" ref="BD102:BD105" si="582">Q102</f>
        <v>6634.44</v>
      </c>
      <c r="BE102" s="97">
        <v>7475.076</v>
      </c>
      <c r="BF102" s="97">
        <v>7524.9229999999998</v>
      </c>
      <c r="BG102" s="97">
        <v>9272.15</v>
      </c>
      <c r="BH102" s="6">
        <f t="shared" ref="BH102:BH105" si="583">R102</f>
        <v>6507.223</v>
      </c>
      <c r="BI102" s="97">
        <v>7538.652</v>
      </c>
      <c r="BJ102" s="33"/>
      <c r="BK102" s="6"/>
      <c r="BL102" s="6"/>
      <c r="BM102" s="6"/>
      <c r="BN102" s="6"/>
      <c r="BO102" s="6"/>
      <c r="BP102" s="6"/>
      <c r="BQ102" s="33"/>
      <c r="BR102" s="6"/>
      <c r="BS102" s="6"/>
      <c r="BT102" s="33"/>
      <c r="BU102" s="33"/>
      <c r="BV102" s="6"/>
      <c r="BW102" s="6"/>
      <c r="BX102" s="6"/>
      <c r="BY102" s="33"/>
      <c r="BZ102" s="33"/>
      <c r="CA102" s="6"/>
      <c r="CB102" s="6"/>
      <c r="CC102" s="33"/>
      <c r="CD102" s="33"/>
      <c r="CE102" s="6"/>
      <c r="CF102" s="6"/>
      <c r="CG102" s="33"/>
      <c r="CH102" s="33"/>
      <c r="CI102" s="6"/>
      <c r="IT102" s="22"/>
    </row>
    <row r="103" spans="1:254" s="5" customFormat="1" ht="13.5" customHeight="1">
      <c r="B103" s="7" t="s">
        <v>361</v>
      </c>
      <c r="C103" s="4">
        <v>4978</v>
      </c>
      <c r="D103" s="4">
        <v>5509</v>
      </c>
      <c r="E103" s="97">
        <v>7428</v>
      </c>
      <c r="F103" s="97">
        <v>8367.7800000000007</v>
      </c>
      <c r="G103" s="97">
        <v>9340.0840000000007</v>
      </c>
      <c r="H103" s="97">
        <v>9340.0840000000007</v>
      </c>
      <c r="I103" s="97">
        <v>9818.9879999999994</v>
      </c>
      <c r="J103" s="97">
        <v>9818.9879999999994</v>
      </c>
      <c r="K103" s="97">
        <v>10893.291999999999</v>
      </c>
      <c r="L103" s="268">
        <v>13710.484</v>
      </c>
      <c r="M103" s="268">
        <v>13710.484</v>
      </c>
      <c r="N103" s="268">
        <v>16988.7</v>
      </c>
      <c r="O103" s="97">
        <v>16988.7</v>
      </c>
      <c r="P103" s="97">
        <v>16119.88</v>
      </c>
      <c r="Q103" s="97">
        <v>18832.232</v>
      </c>
      <c r="R103" s="97">
        <v>17150.839</v>
      </c>
      <c r="S103" s="6">
        <f>BI103</f>
        <v>16887.253000000001</v>
      </c>
      <c r="U103" s="4">
        <v>5294</v>
      </c>
      <c r="V103" s="4">
        <v>6487</v>
      </c>
      <c r="W103" s="4">
        <v>6888</v>
      </c>
      <c r="X103" s="6">
        <f>+E103</f>
        <v>7428</v>
      </c>
      <c r="Y103" s="4">
        <v>6783</v>
      </c>
      <c r="Z103" s="4">
        <v>7071</v>
      </c>
      <c r="AA103" s="4">
        <v>7031</v>
      </c>
      <c r="AB103" s="6">
        <f t="shared" si="581"/>
        <v>8367.7800000000007</v>
      </c>
      <c r="AC103" s="4">
        <v>7986.4549999999999</v>
      </c>
      <c r="AD103" s="4">
        <v>9113.5339999999997</v>
      </c>
      <c r="AE103" s="4">
        <v>8726.3230000000003</v>
      </c>
      <c r="AF103" s="6">
        <f>G103</f>
        <v>9340.0840000000007</v>
      </c>
      <c r="AG103" s="4">
        <v>8989.7459999999992</v>
      </c>
      <c r="AH103" s="4">
        <v>9408.0349999999999</v>
      </c>
      <c r="AI103" s="4">
        <v>9372.6509999999998</v>
      </c>
      <c r="AJ103" s="114">
        <f>I103</f>
        <v>9818.9879999999994</v>
      </c>
      <c r="AK103" s="4">
        <v>10800.43</v>
      </c>
      <c r="AL103" s="4">
        <v>11940.789000000001</v>
      </c>
      <c r="AM103" s="4">
        <v>11789.929</v>
      </c>
      <c r="AN103" s="114">
        <f>K103</f>
        <v>10893.291999999999</v>
      </c>
      <c r="AO103" s="4">
        <v>11160.251</v>
      </c>
      <c r="AP103" s="4">
        <v>12079.307000000001</v>
      </c>
      <c r="AQ103" s="4">
        <v>13088.964</v>
      </c>
      <c r="AR103" s="114">
        <f>M103</f>
        <v>13710.484</v>
      </c>
      <c r="AS103" s="4">
        <v>13740.987999999999</v>
      </c>
      <c r="AT103" s="4">
        <v>15469.391</v>
      </c>
      <c r="AU103" s="4">
        <v>16103.047</v>
      </c>
      <c r="AV103" s="114">
        <f>N103</f>
        <v>16988.7</v>
      </c>
      <c r="AW103" s="4">
        <v>17018.827000000001</v>
      </c>
      <c r="AX103" s="4">
        <v>17660.508999999998</v>
      </c>
      <c r="AY103" s="97">
        <v>16996.530999999999</v>
      </c>
      <c r="AZ103" s="114">
        <f>P103</f>
        <v>16119.88</v>
      </c>
      <c r="BA103" s="97">
        <v>16152.886</v>
      </c>
      <c r="BB103" s="97">
        <v>18185.403999999999</v>
      </c>
      <c r="BC103" s="97">
        <v>18785.210999999999</v>
      </c>
      <c r="BD103" s="6">
        <f t="shared" si="582"/>
        <v>18832.232</v>
      </c>
      <c r="BE103" s="97">
        <v>17762.602999999999</v>
      </c>
      <c r="BF103" s="97">
        <v>18466.575000000001</v>
      </c>
      <c r="BG103" s="97">
        <v>17038.937999999998</v>
      </c>
      <c r="BH103" s="6">
        <f t="shared" si="583"/>
        <v>17150.839</v>
      </c>
      <c r="BI103" s="97">
        <v>16887.253000000001</v>
      </c>
      <c r="BJ103" s="4"/>
      <c r="BK103" s="6"/>
      <c r="BL103" s="6"/>
      <c r="BM103" s="6"/>
      <c r="BN103" s="6"/>
      <c r="BO103" s="6"/>
      <c r="BP103" s="6"/>
      <c r="BQ103" s="4"/>
      <c r="BR103" s="6"/>
      <c r="BS103" s="6"/>
      <c r="BT103" s="4"/>
      <c r="BU103" s="4"/>
      <c r="BV103" s="6"/>
      <c r="BW103" s="6"/>
      <c r="BX103" s="6"/>
      <c r="BY103" s="4"/>
      <c r="BZ103" s="4"/>
      <c r="CA103" s="6"/>
      <c r="CB103" s="6"/>
      <c r="CC103" s="4"/>
      <c r="CD103" s="4"/>
      <c r="CE103" s="6"/>
      <c r="CF103" s="6"/>
      <c r="CG103" s="4"/>
      <c r="CH103" s="4"/>
      <c r="CI103" s="6"/>
    </row>
    <row r="104" spans="1:254" s="5" customFormat="1" ht="13.5" customHeight="1">
      <c r="B104" s="7" t="s">
        <v>362</v>
      </c>
      <c r="C104" s="4">
        <v>19028</v>
      </c>
      <c r="D104" s="4">
        <v>19036</v>
      </c>
      <c r="E104" s="97">
        <v>24058</v>
      </c>
      <c r="F104" s="97">
        <v>19874.886999999999</v>
      </c>
      <c r="G104" s="97">
        <v>21470.787</v>
      </c>
      <c r="H104" s="97">
        <v>21470.787</v>
      </c>
      <c r="I104" s="97">
        <v>19339.350999999999</v>
      </c>
      <c r="J104" s="97">
        <v>19339.350999999999</v>
      </c>
      <c r="K104" s="97">
        <v>20745.436000000002</v>
      </c>
      <c r="L104" s="268">
        <v>23727.861000000001</v>
      </c>
      <c r="M104" s="268">
        <v>23727.861000000001</v>
      </c>
      <c r="N104" s="268">
        <v>24863.827000000001</v>
      </c>
      <c r="O104" s="97">
        <v>24863.827000000001</v>
      </c>
      <c r="P104" s="97">
        <v>24013.341</v>
      </c>
      <c r="Q104" s="97">
        <v>26630.785</v>
      </c>
      <c r="R104" s="97">
        <v>27707.241999999998</v>
      </c>
      <c r="S104" s="6">
        <f>BI104</f>
        <v>27988.344000000001</v>
      </c>
      <c r="U104" s="4">
        <v>20177</v>
      </c>
      <c r="V104" s="4">
        <v>22420</v>
      </c>
      <c r="W104" s="4">
        <v>23249</v>
      </c>
      <c r="X104" s="6">
        <f>+E104</f>
        <v>24058</v>
      </c>
      <c r="Y104" s="4">
        <v>22956</v>
      </c>
      <c r="Z104" s="4">
        <v>21989</v>
      </c>
      <c r="AA104" s="4">
        <v>23166</v>
      </c>
      <c r="AB104" s="6">
        <f t="shared" si="581"/>
        <v>19874.886999999999</v>
      </c>
      <c r="AC104" s="4">
        <v>21312.663</v>
      </c>
      <c r="AD104" s="4">
        <v>22651.885999999999</v>
      </c>
      <c r="AE104" s="4">
        <v>22815.821</v>
      </c>
      <c r="AF104" s="6">
        <f>G104</f>
        <v>21470.787</v>
      </c>
      <c r="AG104" s="4">
        <v>23024.263999999999</v>
      </c>
      <c r="AH104" s="4">
        <v>21599.633000000002</v>
      </c>
      <c r="AI104" s="4">
        <v>21861.246999999999</v>
      </c>
      <c r="AJ104" s="114">
        <f>I104</f>
        <v>19339.350999999999</v>
      </c>
      <c r="AK104" s="4">
        <v>25592.905999999999</v>
      </c>
      <c r="AL104" s="4">
        <v>21952.731</v>
      </c>
      <c r="AM104" s="4">
        <v>22716.937999999998</v>
      </c>
      <c r="AN104" s="114">
        <f>K104</f>
        <v>20745.436000000002</v>
      </c>
      <c r="AO104" s="4">
        <v>21684.861000000001</v>
      </c>
      <c r="AP104" s="4">
        <v>21393.197</v>
      </c>
      <c r="AQ104" s="4">
        <v>23446.813999999998</v>
      </c>
      <c r="AR104" s="114">
        <f>M104</f>
        <v>23727.861000000001</v>
      </c>
      <c r="AS104" s="4">
        <v>24480.521000000001</v>
      </c>
      <c r="AT104" s="4">
        <v>25163.56</v>
      </c>
      <c r="AU104" s="4">
        <v>26324.429</v>
      </c>
      <c r="AV104" s="114">
        <f>N104</f>
        <v>24863.827000000001</v>
      </c>
      <c r="AW104" s="4">
        <v>26100.929</v>
      </c>
      <c r="AX104" s="4">
        <v>25733.991000000002</v>
      </c>
      <c r="AY104" s="97">
        <v>25616.163</v>
      </c>
      <c r="AZ104" s="114">
        <f>P104</f>
        <v>24013.341</v>
      </c>
      <c r="BA104" s="97">
        <v>24981.780999999999</v>
      </c>
      <c r="BB104" s="97">
        <v>26640.994999999999</v>
      </c>
      <c r="BC104" s="97">
        <v>28126.017</v>
      </c>
      <c r="BD104" s="6">
        <f t="shared" si="582"/>
        <v>26630.785</v>
      </c>
      <c r="BE104" s="97">
        <v>27987.866999999998</v>
      </c>
      <c r="BF104" s="97">
        <v>29736.53</v>
      </c>
      <c r="BG104" s="97">
        <v>29005.289000000001</v>
      </c>
      <c r="BH104" s="6">
        <f t="shared" si="583"/>
        <v>27707.241999999998</v>
      </c>
      <c r="BI104" s="97">
        <v>27988.344000000001</v>
      </c>
      <c r="BJ104" s="4"/>
      <c r="BK104" s="6"/>
      <c r="BL104" s="6"/>
      <c r="BM104" s="6"/>
      <c r="BN104" s="6"/>
      <c r="BO104" s="6"/>
      <c r="BP104" s="6"/>
      <c r="BQ104" s="4"/>
      <c r="BR104" s="6"/>
      <c r="BS104" s="6"/>
      <c r="BT104" s="4"/>
      <c r="BU104" s="4"/>
      <c r="BV104" s="6"/>
      <c r="BW104" s="6"/>
      <c r="BX104" s="6"/>
      <c r="BY104" s="4"/>
      <c r="BZ104" s="4"/>
      <c r="CA104" s="6"/>
      <c r="CB104" s="6"/>
      <c r="CC104" s="4"/>
      <c r="CD104" s="4"/>
      <c r="CE104" s="6"/>
      <c r="CF104" s="6"/>
      <c r="CG104" s="4"/>
      <c r="CH104" s="4"/>
      <c r="CI104" s="6"/>
    </row>
    <row r="105" spans="1:254" s="5" customFormat="1" ht="13.5" customHeight="1">
      <c r="B105" s="7" t="s">
        <v>363</v>
      </c>
      <c r="C105" s="4">
        <v>12656</v>
      </c>
      <c r="D105" s="4">
        <v>13547</v>
      </c>
      <c r="E105" s="97">
        <v>17505</v>
      </c>
      <c r="F105" s="97">
        <v>20630.849999999999</v>
      </c>
      <c r="G105" s="97">
        <v>21982.554</v>
      </c>
      <c r="H105" s="97">
        <v>21982.554</v>
      </c>
      <c r="I105" s="97">
        <v>24169.378000000001</v>
      </c>
      <c r="J105" s="97">
        <v>24169.378000000001</v>
      </c>
      <c r="K105" s="97">
        <v>28012.891</v>
      </c>
      <c r="L105" s="268">
        <v>37278.417999999998</v>
      </c>
      <c r="M105" s="268">
        <v>37278.417999999998</v>
      </c>
      <c r="N105" s="268">
        <v>45297.711000000003</v>
      </c>
      <c r="O105" s="97">
        <v>45297.711000000003</v>
      </c>
      <c r="P105" s="97">
        <v>41820.576000000001</v>
      </c>
      <c r="Q105" s="97">
        <v>42074.296999999999</v>
      </c>
      <c r="R105" s="97">
        <v>40228.245000000003</v>
      </c>
      <c r="S105" s="6">
        <f>BI105</f>
        <v>37899.544999999998</v>
      </c>
      <c r="U105" s="4">
        <v>12213</v>
      </c>
      <c r="V105" s="4">
        <v>13648</v>
      </c>
      <c r="W105" s="4">
        <v>14787</v>
      </c>
      <c r="X105" s="6">
        <f>+E105</f>
        <v>17505</v>
      </c>
      <c r="Y105" s="4">
        <v>14735</v>
      </c>
      <c r="Z105" s="4">
        <v>14801</v>
      </c>
      <c r="AA105" s="4">
        <v>15671</v>
      </c>
      <c r="AB105" s="6">
        <f t="shared" si="581"/>
        <v>20630.849999999999</v>
      </c>
      <c r="AC105" s="4">
        <v>17450.749</v>
      </c>
      <c r="AD105" s="4">
        <v>18332.691999999999</v>
      </c>
      <c r="AE105" s="4">
        <v>17594</v>
      </c>
      <c r="AF105" s="6">
        <f>G105</f>
        <v>21982.554</v>
      </c>
      <c r="AG105" s="4">
        <v>19274.553</v>
      </c>
      <c r="AH105" s="4">
        <v>20665.370999999999</v>
      </c>
      <c r="AI105" s="4">
        <v>21371.460999999999</v>
      </c>
      <c r="AJ105" s="114">
        <f>I105</f>
        <v>24169.378000000001</v>
      </c>
      <c r="AK105" s="4">
        <v>26681.440999999999</v>
      </c>
      <c r="AL105" s="4">
        <v>25384.503000000001</v>
      </c>
      <c r="AM105" s="4">
        <v>25334.58</v>
      </c>
      <c r="AN105" s="114">
        <f>K105</f>
        <v>28012.891</v>
      </c>
      <c r="AO105" s="4">
        <v>26947.513999999999</v>
      </c>
      <c r="AP105" s="4">
        <v>27788.888999999999</v>
      </c>
      <c r="AQ105" s="4">
        <v>29775.721000000001</v>
      </c>
      <c r="AR105" s="114">
        <f>M105</f>
        <v>37278.417999999998</v>
      </c>
      <c r="AS105" s="4">
        <v>34180.144999999997</v>
      </c>
      <c r="AT105" s="4">
        <v>37468.262000000002</v>
      </c>
      <c r="AU105" s="4">
        <v>39786.326000000001</v>
      </c>
      <c r="AV105" s="114">
        <f>N105</f>
        <v>45297.711000000003</v>
      </c>
      <c r="AW105" s="4">
        <v>40146.531000000003</v>
      </c>
      <c r="AX105" s="4">
        <v>37576.555</v>
      </c>
      <c r="AY105" s="97">
        <v>37842.85</v>
      </c>
      <c r="AZ105" s="114">
        <f>P105</f>
        <v>41820.576000000001</v>
      </c>
      <c r="BA105" s="97">
        <v>35141.61</v>
      </c>
      <c r="BB105" s="97">
        <v>37594.351999999999</v>
      </c>
      <c r="BC105" s="97">
        <v>38571.002999999997</v>
      </c>
      <c r="BD105" s="6">
        <f t="shared" si="582"/>
        <v>42074.296999999999</v>
      </c>
      <c r="BE105" s="97">
        <v>39165.557999999997</v>
      </c>
      <c r="BF105" s="97">
        <v>38201.08</v>
      </c>
      <c r="BG105" s="97">
        <v>37021.127999999997</v>
      </c>
      <c r="BH105" s="6">
        <f t="shared" si="583"/>
        <v>40228.245000000003</v>
      </c>
      <c r="BI105" s="97">
        <v>37899.544999999998</v>
      </c>
      <c r="BJ105" s="4"/>
      <c r="BK105" s="6"/>
      <c r="BL105" s="6"/>
      <c r="BM105" s="6"/>
      <c r="BN105" s="6"/>
      <c r="BO105" s="6"/>
      <c r="BP105" s="6"/>
      <c r="BQ105" s="4"/>
      <c r="BR105" s="6"/>
      <c r="BS105" s="6"/>
      <c r="BT105" s="4"/>
      <c r="BU105" s="4"/>
      <c r="BV105" s="6"/>
      <c r="BW105" s="6"/>
      <c r="BX105" s="6"/>
      <c r="BY105" s="4"/>
      <c r="BZ105" s="4"/>
      <c r="CA105" s="6"/>
      <c r="CB105" s="6"/>
      <c r="CC105" s="4"/>
      <c r="CD105" s="4"/>
      <c r="CE105" s="6"/>
      <c r="CF105" s="6"/>
      <c r="CG105" s="4"/>
      <c r="CH105" s="4"/>
      <c r="CI105" s="6"/>
    </row>
    <row r="106" spans="1:254" s="5" customFormat="1" ht="13.5" customHeight="1">
      <c r="B106" s="5" t="s">
        <v>364</v>
      </c>
      <c r="C106" s="8">
        <f t="shared" ref="C106:I106" si="584">C103+C104-C105</f>
        <v>11350</v>
      </c>
      <c r="D106" s="8">
        <f t="shared" si="584"/>
        <v>10998</v>
      </c>
      <c r="E106" s="8">
        <f t="shared" si="584"/>
        <v>13981</v>
      </c>
      <c r="F106" s="8">
        <f t="shared" si="584"/>
        <v>7611.8170000000027</v>
      </c>
      <c r="G106" s="8">
        <f t="shared" si="584"/>
        <v>8828.3169999999991</v>
      </c>
      <c r="H106" s="8">
        <f t="shared" si="584"/>
        <v>8828.3169999999991</v>
      </c>
      <c r="I106" s="8">
        <f t="shared" si="584"/>
        <v>4988.9609999999993</v>
      </c>
      <c r="J106" s="8">
        <f t="shared" ref="J106:N106" si="585">J103+J104-J105</f>
        <v>4988.9609999999993</v>
      </c>
      <c r="K106" s="8">
        <f t="shared" si="585"/>
        <v>3625.8370000000032</v>
      </c>
      <c r="L106" s="8">
        <f t="shared" si="585"/>
        <v>159.92700000000332</v>
      </c>
      <c r="M106" s="8">
        <f t="shared" si="585"/>
        <v>159.92700000000332</v>
      </c>
      <c r="N106" s="8">
        <f t="shared" si="585"/>
        <v>-3445.1840000000011</v>
      </c>
      <c r="O106" s="8">
        <f t="shared" ref="O106" si="586">O103+O104-O105</f>
        <v>-3445.1840000000011</v>
      </c>
      <c r="P106" s="8">
        <f t="shared" ref="P106:R106" si="587">P103+P104-P105</f>
        <v>-1687.3550000000032</v>
      </c>
      <c r="Q106" s="8">
        <f t="shared" si="587"/>
        <v>3388.7200000000012</v>
      </c>
      <c r="R106" s="8">
        <f t="shared" si="587"/>
        <v>4629.8359999999957</v>
      </c>
      <c r="S106" s="8">
        <f>S103+S104-S105</f>
        <v>6976.0520000000033</v>
      </c>
      <c r="U106" s="8">
        <f t="shared" ref="U106:AA106" si="588">U103+U104-U105</f>
        <v>13258</v>
      </c>
      <c r="V106" s="8">
        <f t="shared" si="588"/>
        <v>15259</v>
      </c>
      <c r="W106" s="8">
        <f t="shared" si="588"/>
        <v>15350</v>
      </c>
      <c r="X106" s="8">
        <f t="shared" si="588"/>
        <v>13981</v>
      </c>
      <c r="Y106" s="8">
        <f t="shared" si="588"/>
        <v>15004</v>
      </c>
      <c r="Z106" s="8">
        <f t="shared" si="588"/>
        <v>14259</v>
      </c>
      <c r="AA106" s="8">
        <f t="shared" si="588"/>
        <v>14526</v>
      </c>
      <c r="AB106" s="8">
        <f t="shared" si="581"/>
        <v>7611.8170000000027</v>
      </c>
      <c r="AC106" s="8">
        <f t="shared" ref="AC106:AH106" si="589">AC103+AC104-AC105</f>
        <v>11848.369000000002</v>
      </c>
      <c r="AD106" s="8">
        <f t="shared" si="589"/>
        <v>13432.727999999999</v>
      </c>
      <c r="AE106" s="8">
        <f t="shared" si="589"/>
        <v>13948.144</v>
      </c>
      <c r="AF106" s="8">
        <f t="shared" si="589"/>
        <v>8828.3169999999991</v>
      </c>
      <c r="AG106" s="8">
        <f t="shared" si="589"/>
        <v>12739.456999999999</v>
      </c>
      <c r="AH106" s="8">
        <f t="shared" si="589"/>
        <v>10342.297000000002</v>
      </c>
      <c r="AI106" s="8">
        <f t="shared" ref="AI106:AN106" si="590">AI103+AI104-AI105</f>
        <v>9862.4370000000017</v>
      </c>
      <c r="AJ106" s="8">
        <f t="shared" si="590"/>
        <v>4988.9609999999993</v>
      </c>
      <c r="AK106" s="8">
        <f t="shared" si="590"/>
        <v>9711.8949999999968</v>
      </c>
      <c r="AL106" s="8">
        <f t="shared" si="590"/>
        <v>8509.0170000000035</v>
      </c>
      <c r="AM106" s="8">
        <f t="shared" si="590"/>
        <v>9172.2869999999966</v>
      </c>
      <c r="AN106" s="8">
        <f t="shared" si="590"/>
        <v>3625.8370000000032</v>
      </c>
      <c r="AO106" s="8">
        <f>AO103+AO104-AO105</f>
        <v>5897.5980000000018</v>
      </c>
      <c r="AP106" s="8">
        <f>AP103+AP104-AP105</f>
        <v>5683.6150000000016</v>
      </c>
      <c r="AQ106" s="8">
        <f>AQ103+AQ104-AQ105</f>
        <v>6760.0569999999971</v>
      </c>
      <c r="AR106" s="8">
        <f t="shared" ref="AR106" si="591">AR103+AR104-AR105</f>
        <v>159.92700000000332</v>
      </c>
      <c r="AS106" s="8">
        <f>AS103+AS104-AS105</f>
        <v>4041.3640000000014</v>
      </c>
      <c r="AT106" s="8">
        <f>AT103+AT104-AT105</f>
        <v>3164.6889999999985</v>
      </c>
      <c r="AU106" s="8">
        <f>AU103+AU104-AU105</f>
        <v>2641.1500000000015</v>
      </c>
      <c r="AV106" s="8">
        <f t="shared" ref="AV106" si="592">AV103+AV104-AV105</f>
        <v>-3445.1840000000011</v>
      </c>
      <c r="AW106" s="8">
        <f>AW103+AW104-AW105</f>
        <v>2973.2249999999985</v>
      </c>
      <c r="AX106" s="8">
        <f>AX103+AX104-AX105</f>
        <v>5817.9449999999997</v>
      </c>
      <c r="AY106" s="8">
        <f>AY103+AY104-AY105</f>
        <v>4769.8440000000046</v>
      </c>
      <c r="AZ106" s="8">
        <f t="shared" ref="AZ106:BA106" si="593">AZ103+AZ104-AZ105</f>
        <v>-1687.3550000000032</v>
      </c>
      <c r="BA106" s="8">
        <f t="shared" si="593"/>
        <v>5993.0570000000007</v>
      </c>
      <c r="BB106" s="8">
        <f>BB103+BB104-BB105</f>
        <v>7232.0469999999987</v>
      </c>
      <c r="BC106" s="8">
        <f>BC103+BC104-BC105</f>
        <v>8340.2250000000058</v>
      </c>
      <c r="BD106" s="8">
        <f t="shared" ref="BD106:BE106" si="594">BD103+BD104-BD105</f>
        <v>3388.7200000000012</v>
      </c>
      <c r="BE106" s="8">
        <f t="shared" si="594"/>
        <v>6584.9120000000039</v>
      </c>
      <c r="BF106" s="8">
        <f>BF103+BF104-BF105</f>
        <v>10002.024999999994</v>
      </c>
      <c r="BG106" s="8">
        <f>BG103+BG104-BG105</f>
        <v>9023.099000000002</v>
      </c>
      <c r="BH106" s="8">
        <f>BH103+BH104-BH105</f>
        <v>4629.8359999999957</v>
      </c>
      <c r="BI106" s="8">
        <f t="shared" ref="BI106" si="595">BI103+BI104-BI105</f>
        <v>6976.0520000000033</v>
      </c>
      <c r="BJ106" s="8"/>
      <c r="BK106" s="8"/>
      <c r="BL106" s="8"/>
      <c r="BM106" s="8"/>
      <c r="BN106" s="8"/>
      <c r="BO106" s="8"/>
      <c r="BP106" s="8"/>
      <c r="BQ106" s="23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</row>
    <row r="107" spans="1:254" ht="13.5" customHeight="1">
      <c r="B107" s="128" t="s">
        <v>365</v>
      </c>
      <c r="C107" s="129">
        <f t="shared" ref="C107:G107" si="596">C106/C88</f>
        <v>6.0678103197147969E-2</v>
      </c>
      <c r="D107" s="129">
        <f t="shared" si="596"/>
        <v>5.0176485682832374E-2</v>
      </c>
      <c r="E107" s="129">
        <f t="shared" si="596"/>
        <v>5.5449131420549157E-2</v>
      </c>
      <c r="F107" s="129">
        <f t="shared" si="596"/>
        <v>2.8453752037195773E-2</v>
      </c>
      <c r="G107" s="129">
        <f t="shared" si="596"/>
        <v>3.0625595097116803E-2</v>
      </c>
      <c r="H107" s="129">
        <f t="shared" ref="H107:N107" si="597">H106/H88</f>
        <v>3.0514072527548654E-2</v>
      </c>
      <c r="I107" s="129">
        <f t="shared" si="597"/>
        <v>1.7089824218805061E-2</v>
      </c>
      <c r="J107" s="129">
        <f t="shared" si="597"/>
        <v>1.7089824218805061E-2</v>
      </c>
      <c r="K107" s="129">
        <f t="shared" si="597"/>
        <v>1.095251783983622E-2</v>
      </c>
      <c r="L107" s="129">
        <f t="shared" si="597"/>
        <v>4.5839139408401552E-4</v>
      </c>
      <c r="M107" s="129">
        <f t="shared" si="597"/>
        <v>4.7205041353313819E-4</v>
      </c>
      <c r="N107" s="129">
        <f t="shared" si="597"/>
        <v>-8.6409070046958129E-3</v>
      </c>
      <c r="O107" s="129">
        <f t="shared" ref="O107" si="598">O106/O88</f>
        <v>-8.6409070046958129E-3</v>
      </c>
      <c r="P107" s="129">
        <f>P106/P88</f>
        <v>-4.219661025344915E-3</v>
      </c>
      <c r="Q107" s="129">
        <f>Q106/Q88</f>
        <v>8.2988732047143687E-3</v>
      </c>
      <c r="R107" s="129">
        <f>R106/R88</f>
        <v>1.0843934021257204E-2</v>
      </c>
      <c r="S107" s="129">
        <f t="shared" ref="S107" si="599">S106/S88</f>
        <v>1.6470632267019114E-2</v>
      </c>
      <c r="U107" s="129"/>
      <c r="V107" s="129"/>
      <c r="W107" s="129"/>
      <c r="X107" s="129">
        <f t="shared" ref="X107:AC107" si="600">X106/X88</f>
        <v>5.5449131420549157E-2</v>
      </c>
      <c r="Y107" s="129">
        <f t="shared" si="600"/>
        <v>5.7454564071823797E-2</v>
      </c>
      <c r="Z107" s="129">
        <f t="shared" si="600"/>
        <v>5.3762871440916474E-2</v>
      </c>
      <c r="AA107" s="129">
        <f t="shared" si="600"/>
        <v>5.4722954513335378E-2</v>
      </c>
      <c r="AB107" s="129">
        <f t="shared" si="600"/>
        <v>2.8453752037195773E-2</v>
      </c>
      <c r="AC107" s="129">
        <f t="shared" si="600"/>
        <v>4.4113288615661606E-2</v>
      </c>
      <c r="AD107" s="129">
        <f t="shared" ref="AD107:AJ107" si="601">AD106/AD88</f>
        <v>4.8688421786077442E-2</v>
      </c>
      <c r="AE107" s="129">
        <f t="shared" si="601"/>
        <v>4.930551331576765E-2</v>
      </c>
      <c r="AF107" s="129">
        <f t="shared" si="601"/>
        <v>3.0625595097116803E-2</v>
      </c>
      <c r="AG107" s="129">
        <f t="shared" si="601"/>
        <v>4.3824878956046337E-2</v>
      </c>
      <c r="AH107" s="129">
        <f t="shared" si="601"/>
        <v>3.5636000772419671E-2</v>
      </c>
      <c r="AI107" s="129">
        <f t="shared" si="601"/>
        <v>3.3713207580140715E-2</v>
      </c>
      <c r="AJ107" s="129">
        <f t="shared" si="601"/>
        <v>1.7089824218805061E-2</v>
      </c>
      <c r="AK107" s="129">
        <f t="shared" ref="AK107:AP107" si="602">AK106/AK88</f>
        <v>3.2726786733891823E-2</v>
      </c>
      <c r="AL107" s="129">
        <f t="shared" si="602"/>
        <v>2.7353699661336873E-2</v>
      </c>
      <c r="AM107" s="129">
        <f t="shared" si="602"/>
        <v>2.8483312024826523E-2</v>
      </c>
      <c r="AN107" s="129">
        <f t="shared" si="602"/>
        <v>1.0952517839836218E-2</v>
      </c>
      <c r="AO107" s="129">
        <f t="shared" si="602"/>
        <v>1.7563727754527341E-2</v>
      </c>
      <c r="AP107" s="129">
        <f t="shared" si="602"/>
        <v>1.7059695826090019E-2</v>
      </c>
      <c r="AQ107" s="129">
        <f t="shared" ref="AQ107:AT107" si="603">AQ106/AQ88</f>
        <v>2.014667087847747E-2</v>
      </c>
      <c r="AR107" s="129">
        <f t="shared" si="603"/>
        <v>4.7205041353313819E-4</v>
      </c>
      <c r="AS107" s="129">
        <f t="shared" si="603"/>
        <v>1.1449385797477297E-2</v>
      </c>
      <c r="AT107" s="129">
        <f t="shared" si="603"/>
        <v>8.6556290688668113E-3</v>
      </c>
      <c r="AU107" s="129">
        <f t="shared" ref="AU107:AX107" si="604">AU106/AU88</f>
        <v>6.94562272846856E-3</v>
      </c>
      <c r="AV107" s="129">
        <f t="shared" si="604"/>
        <v>-8.6409070046958129E-3</v>
      </c>
      <c r="AW107" s="129">
        <f t="shared" si="604"/>
        <v>7.3421829056720591E-3</v>
      </c>
      <c r="AX107" s="129">
        <f t="shared" si="604"/>
        <v>1.4228880331588385E-2</v>
      </c>
      <c r="AY107" s="129">
        <f t="shared" ref="AY107:AZ107" si="605">AY106/AY88</f>
        <v>1.1770317324067804E-2</v>
      </c>
      <c r="AZ107" s="129">
        <f t="shared" si="605"/>
        <v>-4.219661025344915E-3</v>
      </c>
      <c r="BA107" s="129">
        <f>BA106/BA88</f>
        <v>1.5212544049580005E-2</v>
      </c>
      <c r="BB107" s="129">
        <f t="shared" ref="BB107:BD107" si="606">BB106/BB88</f>
        <v>1.8464389370182414E-2</v>
      </c>
      <c r="BC107" s="129">
        <f t="shared" si="606"/>
        <v>2.0926942964365286E-2</v>
      </c>
      <c r="BD107" s="129">
        <f t="shared" si="606"/>
        <v>8.2988732047143687E-3</v>
      </c>
      <c r="BE107" s="129">
        <f>BE106/BE88</f>
        <v>1.5737587805949648E-2</v>
      </c>
      <c r="BF107" s="129">
        <f t="shared" ref="BF107:BH107" si="607">BF106/BF88</f>
        <v>2.337821151037834E-2</v>
      </c>
      <c r="BG107" s="129">
        <f t="shared" si="607"/>
        <v>2.1022583680363898E-2</v>
      </c>
      <c r="BH107" s="129">
        <f t="shared" si="607"/>
        <v>1.0843934021257204E-2</v>
      </c>
      <c r="BI107" s="129">
        <f>BI106/BI88</f>
        <v>1.6470632267019114E-2</v>
      </c>
      <c r="BJ107" s="223"/>
      <c r="BK107" s="223"/>
      <c r="BL107" s="223"/>
      <c r="BM107" s="223"/>
      <c r="BN107" s="223"/>
      <c r="BO107" s="223"/>
      <c r="BP107" s="223"/>
      <c r="BQ107" s="129"/>
      <c r="BR107" s="223"/>
      <c r="BS107" s="223"/>
      <c r="BV107" s="223"/>
      <c r="BW107" s="223"/>
      <c r="BX107" s="223"/>
      <c r="CA107" s="223"/>
      <c r="CB107" s="223"/>
      <c r="CE107" s="223"/>
      <c r="CF107" s="223"/>
      <c r="CI107" s="223"/>
    </row>
    <row r="108" spans="1:254" ht="13.5" customHeight="1"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BA108" s="31"/>
      <c r="BE108" s="31"/>
      <c r="BI108" s="31"/>
      <c r="BQ108" s="4"/>
    </row>
    <row r="109" spans="1:254" ht="13.5" customHeight="1">
      <c r="A109" s="20"/>
      <c r="B109" s="356" t="s">
        <v>366</v>
      </c>
      <c r="C109" s="356">
        <f t="shared" ref="C109:S109" si="608">(C103/-C9)*365</f>
        <v>20.57768646585367</v>
      </c>
      <c r="D109" s="356">
        <f t="shared" si="608"/>
        <v>19.63247839539866</v>
      </c>
      <c r="E109" s="356">
        <f t="shared" si="608"/>
        <v>23.372891666411778</v>
      </c>
      <c r="F109" s="356">
        <f t="shared" si="608"/>
        <v>24.480339962434847</v>
      </c>
      <c r="G109" s="356">
        <f t="shared" si="608"/>
        <v>25.128629549159839</v>
      </c>
      <c r="H109" s="356">
        <f t="shared" si="608"/>
        <v>25.128272630291459</v>
      </c>
      <c r="I109" s="356">
        <f t="shared" si="608"/>
        <v>25.935982113667869</v>
      </c>
      <c r="J109" s="356">
        <f t="shared" si="608"/>
        <v>25.935982113667869</v>
      </c>
      <c r="K109" s="356">
        <f t="shared" si="608"/>
        <v>26.054011348641996</v>
      </c>
      <c r="L109" s="356">
        <f t="shared" si="608"/>
        <v>30.593491062970728</v>
      </c>
      <c r="M109" s="356">
        <f t="shared" si="608"/>
        <v>31.732646065825659</v>
      </c>
      <c r="N109" s="356">
        <f t="shared" si="608"/>
        <v>32.074825734402303</v>
      </c>
      <c r="O109" s="356">
        <f t="shared" si="608"/>
        <v>32.074825734402303</v>
      </c>
      <c r="P109" s="356">
        <f t="shared" si="608"/>
        <v>30.271094543385452</v>
      </c>
      <c r="Q109" s="356">
        <f t="shared" si="608"/>
        <v>35.540480007107924</v>
      </c>
      <c r="R109" s="356">
        <f t="shared" si="608"/>
        <v>30.76729017707547</v>
      </c>
      <c r="S109" s="356">
        <f t="shared" si="608"/>
        <v>30.53455573360225</v>
      </c>
      <c r="T109" s="357"/>
      <c r="U109" s="356">
        <f t="shared" ref="U109:BH109" si="609">(U103/-U9)*(365/4)</f>
        <v>18.272771587319642</v>
      </c>
      <c r="V109" s="356">
        <f t="shared" si="609"/>
        <v>21.214152436303291</v>
      </c>
      <c r="W109" s="356">
        <f t="shared" si="609"/>
        <v>21.029363117743188</v>
      </c>
      <c r="X109" s="356">
        <f t="shared" si="609"/>
        <v>21.334581880847647</v>
      </c>
      <c r="Y109" s="356">
        <f t="shared" si="609"/>
        <v>20.216819003266835</v>
      </c>
      <c r="Z109" s="356">
        <f t="shared" si="609"/>
        <v>21.5749958010549</v>
      </c>
      <c r="AA109" s="356">
        <f t="shared" si="609"/>
        <v>20.87232995067415</v>
      </c>
      <c r="AB109" s="356">
        <f t="shared" si="609"/>
        <v>22.79088717229255</v>
      </c>
      <c r="AC109" s="356">
        <f t="shared" si="609"/>
        <v>23.061148310440661</v>
      </c>
      <c r="AD109" s="356">
        <f t="shared" si="609"/>
        <v>24.652692098892153</v>
      </c>
      <c r="AE109" s="356">
        <f t="shared" si="609"/>
        <v>23.389686014860327</v>
      </c>
      <c r="AF109" s="356">
        <f t="shared" si="609"/>
        <v>23.486073395596172</v>
      </c>
      <c r="AG109" s="356">
        <f t="shared" si="609"/>
        <v>24.959701648078301</v>
      </c>
      <c r="AH109" s="356">
        <f t="shared" si="609"/>
        <v>25.24605961139245</v>
      </c>
      <c r="AI109" s="356">
        <f t="shared" si="609"/>
        <v>24.157106440394056</v>
      </c>
      <c r="AJ109" s="356">
        <f t="shared" si="609"/>
        <v>24.950998742929865</v>
      </c>
      <c r="AK109" s="356">
        <f t="shared" si="609"/>
        <v>28.515384080999798</v>
      </c>
      <c r="AL109" s="356">
        <f t="shared" si="609"/>
        <v>27.624444746115795</v>
      </c>
      <c r="AM109" s="356">
        <f t="shared" si="609"/>
        <v>27.160788779529629</v>
      </c>
      <c r="AN109" s="356">
        <f t="shared" si="609"/>
        <v>25.49179732560663</v>
      </c>
      <c r="AO109" s="356">
        <f t="shared" si="609"/>
        <v>27.830806487669157</v>
      </c>
      <c r="AP109" s="356">
        <f t="shared" si="609"/>
        <v>28.43768056757261</v>
      </c>
      <c r="AQ109" s="356">
        <f t="shared" si="609"/>
        <v>28.80579218885298</v>
      </c>
      <c r="AR109" s="356">
        <f t="shared" si="609"/>
        <v>30.597235310592787</v>
      </c>
      <c r="AS109" s="356">
        <f t="shared" si="609"/>
        <v>27.802801129677896</v>
      </c>
      <c r="AT109" s="356">
        <f t="shared" si="609"/>
        <v>30.200552092458004</v>
      </c>
      <c r="AU109" s="356">
        <f t="shared" si="609"/>
        <v>29.269804909205824</v>
      </c>
      <c r="AV109" s="356">
        <f t="shared" si="609"/>
        <v>30.227819968556588</v>
      </c>
      <c r="AW109" s="356">
        <f t="shared" si="609"/>
        <v>32.05548540736293</v>
      </c>
      <c r="AX109" s="356">
        <f t="shared" si="609"/>
        <v>32.733175143373053</v>
      </c>
      <c r="AY109" s="356">
        <f t="shared" si="609"/>
        <v>32.330950678717478</v>
      </c>
      <c r="AZ109" s="356">
        <f t="shared" si="609"/>
        <v>30.191721682121734</v>
      </c>
      <c r="BA109" s="356">
        <f t="shared" si="609"/>
        <v>32.798146035210543</v>
      </c>
      <c r="BB109" s="356">
        <f t="shared" si="609"/>
        <v>35.475398067182709</v>
      </c>
      <c r="BC109" s="356">
        <f t="shared" si="609"/>
        <v>34.451300544001377</v>
      </c>
      <c r="BD109" s="356">
        <f t="shared" si="609"/>
        <v>33.088799726962328</v>
      </c>
      <c r="BE109" s="356">
        <f t="shared" si="609"/>
        <v>32.902085853212142</v>
      </c>
      <c r="BF109" s="356">
        <f t="shared" si="609"/>
        <v>33.18565949270581</v>
      </c>
      <c r="BG109" s="356">
        <f t="shared" si="609"/>
        <v>30.34956275966924</v>
      </c>
      <c r="BH109" s="356">
        <f t="shared" si="609"/>
        <v>29.98388833107861</v>
      </c>
      <c r="BI109" s="356">
        <f t="shared" ref="BI109" si="610">(BI103/-BI9)*(365/4)</f>
        <v>32.330735465028511</v>
      </c>
      <c r="BJ109" s="20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</row>
    <row r="110" spans="1:254" ht="13.5" customHeight="1">
      <c r="A110" s="20"/>
      <c r="B110" s="356" t="s">
        <v>367</v>
      </c>
      <c r="C110" s="356">
        <f t="shared" ref="C110:S110" si="611">(C104/C7)*365</f>
        <v>37.129759990034891</v>
      </c>
      <c r="D110" s="356">
        <f t="shared" si="611"/>
        <v>31.699695147509992</v>
      </c>
      <c r="E110" s="356">
        <f t="shared" si="611"/>
        <v>34.826425102366329</v>
      </c>
      <c r="F110" s="356">
        <f t="shared" si="611"/>
        <v>27.117443030991055</v>
      </c>
      <c r="G110" s="356">
        <f t="shared" si="611"/>
        <v>27.186133508077511</v>
      </c>
      <c r="H110" s="356">
        <f t="shared" si="611"/>
        <v>27.087135677804199</v>
      </c>
      <c r="I110" s="356">
        <f t="shared" si="611"/>
        <v>24.180331299434243</v>
      </c>
      <c r="J110" s="356">
        <f t="shared" si="611"/>
        <v>24.180331299434243</v>
      </c>
      <c r="K110" s="356">
        <f t="shared" si="611"/>
        <v>22.872894349109139</v>
      </c>
      <c r="L110" s="356">
        <f t="shared" si="611"/>
        <v>24.823677415845069</v>
      </c>
      <c r="M110" s="356">
        <f t="shared" si="611"/>
        <v>25.563366461053512</v>
      </c>
      <c r="N110" s="356">
        <f t="shared" si="611"/>
        <v>22.761860081802123</v>
      </c>
      <c r="O110" s="356">
        <f t="shared" si="611"/>
        <v>22.761860081802123</v>
      </c>
      <c r="P110" s="356">
        <f t="shared" si="611"/>
        <v>21.918788917386184</v>
      </c>
      <c r="Q110" s="356">
        <f t="shared" si="611"/>
        <v>23.804566456009464</v>
      </c>
      <c r="R110" s="356">
        <f t="shared" si="611"/>
        <v>23.686856082599359</v>
      </c>
      <c r="S110" s="356">
        <f t="shared" si="611"/>
        <v>24.11962933363931</v>
      </c>
      <c r="T110" s="357"/>
      <c r="U110" s="356">
        <f t="shared" ref="U110:BH110" si="612">(U104/U7)*(365/4)</f>
        <v>32.258174585400873</v>
      </c>
      <c r="V110" s="356">
        <f t="shared" si="612"/>
        <v>33.516230853136889</v>
      </c>
      <c r="W110" s="356">
        <f t="shared" si="612"/>
        <v>32.555993653467162</v>
      </c>
      <c r="X110" s="356">
        <f t="shared" si="612"/>
        <v>31.879630480231469</v>
      </c>
      <c r="Y110" s="356">
        <f t="shared" si="612"/>
        <v>31.699999738196002</v>
      </c>
      <c r="Z110" s="356">
        <f t="shared" si="612"/>
        <v>30.814866378641959</v>
      </c>
      <c r="AA110" s="356">
        <f t="shared" si="612"/>
        <v>32.32765640929005</v>
      </c>
      <c r="AB110" s="356">
        <f t="shared" si="612"/>
        <v>25.568230258255149</v>
      </c>
      <c r="AC110" s="356">
        <f t="shared" si="612"/>
        <v>28.959954178692421</v>
      </c>
      <c r="AD110" s="356">
        <f t="shared" si="612"/>
        <v>28.542959932801057</v>
      </c>
      <c r="AE110" s="356">
        <f t="shared" si="612"/>
        <v>28.759980394197001</v>
      </c>
      <c r="AF110" s="356">
        <f t="shared" si="612"/>
        <v>25.676052863874087</v>
      </c>
      <c r="AG110" s="356">
        <f t="shared" si="612"/>
        <v>30.197913985585785</v>
      </c>
      <c r="AH110" s="356">
        <f t="shared" si="612"/>
        <v>27.25183651255627</v>
      </c>
      <c r="AI110" s="356">
        <f t="shared" si="612"/>
        <v>26.610207942432357</v>
      </c>
      <c r="AJ110" s="356">
        <f t="shared" si="612"/>
        <v>23.509693072224209</v>
      </c>
      <c r="AK110" s="356">
        <f t="shared" si="612"/>
        <v>31.387425890492786</v>
      </c>
      <c r="AL110" s="356">
        <f t="shared" si="612"/>
        <v>23.182015484906824</v>
      </c>
      <c r="AM110" s="356">
        <f t="shared" si="612"/>
        <v>24.159820179949882</v>
      </c>
      <c r="AN110" s="356">
        <f t="shared" si="612"/>
        <v>22.419891320044258</v>
      </c>
      <c r="AO110" s="356">
        <f t="shared" si="612"/>
        <v>25.004228666351167</v>
      </c>
      <c r="AP110" s="356">
        <f t="shared" si="612"/>
        <v>23.298207280453667</v>
      </c>
      <c r="AQ110" s="356">
        <f t="shared" si="612"/>
        <v>24.262547708959531</v>
      </c>
      <c r="AR110" s="356">
        <f t="shared" si="612"/>
        <v>24.692574587709203</v>
      </c>
      <c r="AS110" s="356">
        <f t="shared" si="612"/>
        <v>23.937335763828113</v>
      </c>
      <c r="AT110" s="356">
        <f t="shared" si="612"/>
        <v>23.810745390057715</v>
      </c>
      <c r="AU110" s="356">
        <f t="shared" si="612"/>
        <v>23.361979917718436</v>
      </c>
      <c r="AV110" s="356">
        <f t="shared" si="612"/>
        <v>21.377749937908799</v>
      </c>
      <c r="AW110" s="356">
        <f t="shared" si="612"/>
        <v>23.921048302371336</v>
      </c>
      <c r="AX110" s="356">
        <f t="shared" si="612"/>
        <v>23.396602001001494</v>
      </c>
      <c r="AY110" s="356">
        <f t="shared" si="612"/>
        <v>23.567603378651643</v>
      </c>
      <c r="AZ110" s="356">
        <f t="shared" si="612"/>
        <v>21.745603211722333</v>
      </c>
      <c r="BA110" s="356">
        <f t="shared" si="612"/>
        <v>24.343874382464094</v>
      </c>
      <c r="BB110" s="356">
        <f t="shared" si="612"/>
        <v>24.784130211215722</v>
      </c>
      <c r="BC110" s="356">
        <f t="shared" si="612"/>
        <v>24.201671307310171</v>
      </c>
      <c r="BD110" s="356">
        <f t="shared" si="612"/>
        <v>21.979373025420735</v>
      </c>
      <c r="BE110" s="356">
        <f t="shared" si="612"/>
        <v>24.621635332634217</v>
      </c>
      <c r="BF110" s="356">
        <f t="shared" si="612"/>
        <v>25.240879333173645</v>
      </c>
      <c r="BG110" s="356">
        <f t="shared" si="612"/>
        <v>24.638916105575881</v>
      </c>
      <c r="BH110" s="356">
        <f t="shared" si="612"/>
        <v>23.344605888943658</v>
      </c>
      <c r="BI110" s="356">
        <f t="shared" ref="BI110" si="613">(BI104/BI7)*(365/4)</f>
        <v>25.458216852112564</v>
      </c>
      <c r="BJ110" s="20"/>
      <c r="BQ110" s="4"/>
    </row>
    <row r="111" spans="1:254" ht="13.5" customHeight="1">
      <c r="A111" s="20"/>
      <c r="B111" s="356" t="s">
        <v>368</v>
      </c>
      <c r="C111" s="356">
        <f t="shared" ref="C111:S111" si="614">(C105/-C9)*365</f>
        <v>52.316432284420259</v>
      </c>
      <c r="D111" s="356">
        <f t="shared" si="614"/>
        <v>48.277579383275672</v>
      </c>
      <c r="E111" s="356">
        <f t="shared" si="614"/>
        <v>55.081107784132769</v>
      </c>
      <c r="F111" s="356">
        <f t="shared" si="614"/>
        <v>60.356536825059798</v>
      </c>
      <c r="G111" s="356">
        <f t="shared" si="614"/>
        <v>59.14202227842938</v>
      </c>
      <c r="H111" s="356">
        <f t="shared" si="614"/>
        <v>59.141182244410636</v>
      </c>
      <c r="I111" s="356">
        <f t="shared" si="614"/>
        <v>63.841258947101039</v>
      </c>
      <c r="J111" s="356">
        <f t="shared" si="614"/>
        <v>63.841258947101039</v>
      </c>
      <c r="K111" s="356">
        <f t="shared" si="614"/>
        <v>66.999781151764893</v>
      </c>
      <c r="L111" s="356">
        <f t="shared" si="614"/>
        <v>83.182836428289988</v>
      </c>
      <c r="M111" s="356">
        <f t="shared" si="614"/>
        <v>86.280166643854756</v>
      </c>
      <c r="N111" s="356">
        <f t="shared" si="614"/>
        <v>85.52250534133384</v>
      </c>
      <c r="O111" s="356">
        <f t="shared" si="614"/>
        <v>85.52250534133384</v>
      </c>
      <c r="P111" s="356">
        <f t="shared" si="614"/>
        <v>78.533749007736816</v>
      </c>
      <c r="Q111" s="356">
        <f t="shared" si="614"/>
        <v>79.403265175451381</v>
      </c>
      <c r="R111" s="356">
        <f t="shared" si="614"/>
        <v>72.166387150476169</v>
      </c>
      <c r="S111" s="356">
        <f t="shared" si="614"/>
        <v>68.527768789907185</v>
      </c>
      <c r="T111" s="357"/>
      <c r="U111" s="356">
        <f t="shared" ref="U111:BH111" si="615">(U105/-U9)*(365/4)</f>
        <v>42.154393539088552</v>
      </c>
      <c r="V111" s="356">
        <f t="shared" si="615"/>
        <v>44.632457599917892</v>
      </c>
      <c r="W111" s="356">
        <f t="shared" si="615"/>
        <v>45.145353139092414</v>
      </c>
      <c r="X111" s="356">
        <f t="shared" si="615"/>
        <v>50.277578867021823</v>
      </c>
      <c r="Y111" s="356">
        <f t="shared" si="615"/>
        <v>43.917857587076043</v>
      </c>
      <c r="Z111" s="356">
        <f t="shared" si="615"/>
        <v>45.160728730223951</v>
      </c>
      <c r="AA111" s="356">
        <f t="shared" si="615"/>
        <v>46.521160952498164</v>
      </c>
      <c r="AB111" s="356">
        <f t="shared" si="615"/>
        <v>56.19117312100601</v>
      </c>
      <c r="AC111" s="356">
        <f t="shared" si="615"/>
        <v>50.389604751704482</v>
      </c>
      <c r="AD111" s="356">
        <f t="shared" si="615"/>
        <v>49.591103870334315</v>
      </c>
      <c r="AE111" s="356">
        <f t="shared" si="615"/>
        <v>47.158251619319216</v>
      </c>
      <c r="AF111" s="356">
        <f t="shared" si="615"/>
        <v>55.27614919380342</v>
      </c>
      <c r="AG111" s="356">
        <f t="shared" si="615"/>
        <v>53.515092893622651</v>
      </c>
      <c r="AH111" s="356">
        <f t="shared" si="615"/>
        <v>55.454639375548759</v>
      </c>
      <c r="AI111" s="356">
        <f t="shared" si="615"/>
        <v>55.082885105156514</v>
      </c>
      <c r="AJ111" s="356">
        <f t="shared" si="615"/>
        <v>61.416728495380248</v>
      </c>
      <c r="AK111" s="356">
        <f t="shared" si="615"/>
        <v>70.444559887850318</v>
      </c>
      <c r="AL111" s="356">
        <f t="shared" si="615"/>
        <v>58.725834660599951</v>
      </c>
      <c r="AM111" s="356">
        <f t="shared" si="615"/>
        <v>58.363979647213803</v>
      </c>
      <c r="AN111" s="356">
        <f t="shared" si="615"/>
        <v>65.554006986713489</v>
      </c>
      <c r="AO111" s="356">
        <f t="shared" si="615"/>
        <v>67.200195359204315</v>
      </c>
      <c r="AP111" s="356">
        <f t="shared" si="615"/>
        <v>65.42192765774827</v>
      </c>
      <c r="AQ111" s="356">
        <f t="shared" si="615"/>
        <v>65.529497323032274</v>
      </c>
      <c r="AR111" s="356">
        <f t="shared" si="615"/>
        <v>83.193016931615077</v>
      </c>
      <c r="AS111" s="356">
        <f t="shared" si="615"/>
        <v>69.158329373299367</v>
      </c>
      <c r="AT111" s="356">
        <f t="shared" si="615"/>
        <v>73.148464496428133</v>
      </c>
      <c r="AU111" s="356">
        <f t="shared" si="615"/>
        <v>72.317866306548282</v>
      </c>
      <c r="AV111" s="356">
        <f t="shared" si="615"/>
        <v>80.59775339465088</v>
      </c>
      <c r="AW111" s="356">
        <f t="shared" si="615"/>
        <v>75.61722900331165</v>
      </c>
      <c r="AX111" s="356">
        <f t="shared" si="615"/>
        <v>69.646914259356322</v>
      </c>
      <c r="AY111" s="356">
        <f t="shared" si="615"/>
        <v>71.985001933165279</v>
      </c>
      <c r="AZ111" s="356">
        <f t="shared" si="615"/>
        <v>78.327828195868705</v>
      </c>
      <c r="BA111" s="356">
        <f t="shared" si="615"/>
        <v>71.354410394056828</v>
      </c>
      <c r="BB111" s="356">
        <f t="shared" si="615"/>
        <v>73.337639476020783</v>
      </c>
      <c r="BC111" s="356">
        <f t="shared" si="615"/>
        <v>70.737625286007102</v>
      </c>
      <c r="BD111" s="356">
        <f t="shared" si="615"/>
        <v>73.925809064253869</v>
      </c>
      <c r="BE111" s="356">
        <f t="shared" si="615"/>
        <v>72.547281037861381</v>
      </c>
      <c r="BF111" s="356">
        <f t="shared" si="615"/>
        <v>68.649873251191096</v>
      </c>
      <c r="BG111" s="356">
        <f t="shared" si="615"/>
        <v>65.941612538865286</v>
      </c>
      <c r="BH111" s="356">
        <f t="shared" si="615"/>
        <v>70.328874630289036</v>
      </c>
      <c r="BI111" s="356">
        <f t="shared" ref="BI111" si="616">(BI105/-BI9)*(365/4)</f>
        <v>72.558879981246449</v>
      </c>
      <c r="BJ111" s="20"/>
      <c r="BQ111" s="4"/>
    </row>
    <row r="112" spans="1:254" ht="13.5" customHeight="1"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BA112" s="31"/>
      <c r="BE112" s="31"/>
      <c r="BI112" s="31"/>
      <c r="BQ112" s="4"/>
    </row>
    <row r="113" spans="2:87" ht="13.5" customHeight="1">
      <c r="B113" s="5" t="s">
        <v>369</v>
      </c>
      <c r="C113" s="31"/>
      <c r="D113" s="31"/>
      <c r="E113" s="31"/>
      <c r="F113" s="31"/>
      <c r="G113" s="31"/>
      <c r="H113" s="31"/>
      <c r="I113" s="97"/>
      <c r="J113" s="97"/>
      <c r="K113" s="97"/>
      <c r="L113" s="97"/>
      <c r="M113" s="97"/>
      <c r="N113" s="97"/>
      <c r="O113" s="97"/>
      <c r="P113" s="97"/>
      <c r="Q113" s="97"/>
      <c r="BQ113" s="4"/>
    </row>
    <row r="114" spans="2:87" ht="13.5" customHeight="1">
      <c r="B114" s="1" t="s">
        <v>370</v>
      </c>
      <c r="C114" s="4">
        <v>1789</v>
      </c>
      <c r="D114" s="4">
        <v>8282</v>
      </c>
      <c r="E114" s="97">
        <v>2150</v>
      </c>
      <c r="F114" s="97">
        <v>2766.35</v>
      </c>
      <c r="G114" s="97">
        <v>1152.704</v>
      </c>
      <c r="H114" s="97">
        <f>2032.04-879.336</f>
        <v>1152.704</v>
      </c>
      <c r="I114" s="97">
        <f>6081.634-673.516</f>
        <v>5408.1180000000004</v>
      </c>
      <c r="J114" s="97">
        <f>6081.634-673.516</f>
        <v>5408.1180000000004</v>
      </c>
      <c r="K114" s="97">
        <f>2181.538-1581.535</f>
        <v>600.00299999999993</v>
      </c>
      <c r="L114" s="97">
        <f>11186.617-561.365</f>
        <v>10625.252</v>
      </c>
      <c r="M114" s="97">
        <f>11186.617-561.365</f>
        <v>10625.252</v>
      </c>
      <c r="N114" s="97">
        <f>7893.518-1458.208</f>
        <v>6435.3099999999995</v>
      </c>
      <c r="O114" s="97">
        <f>7893.518-1458.208</f>
        <v>6435.3099999999995</v>
      </c>
      <c r="P114" s="97">
        <f>15095.952-2163.979</f>
        <v>12931.973</v>
      </c>
      <c r="Q114" s="97">
        <f>5373.101-510.914</f>
        <v>4862.1869999999999</v>
      </c>
      <c r="R114" s="97">
        <f>14223.599-1588.268</f>
        <v>12635.331</v>
      </c>
      <c r="S114" s="6">
        <f>BI114</f>
        <v>5213.4670000000006</v>
      </c>
      <c r="U114" s="4">
        <v>8381</v>
      </c>
      <c r="V114" s="4">
        <v>2717</v>
      </c>
      <c r="W114" s="4">
        <v>2918</v>
      </c>
      <c r="X114" s="6">
        <f>+E114</f>
        <v>2150</v>
      </c>
      <c r="Y114" s="4">
        <v>2930</v>
      </c>
      <c r="Z114" s="4">
        <v>2454</v>
      </c>
      <c r="AA114" s="4">
        <v>7380</v>
      </c>
      <c r="AB114" s="6">
        <f>+F114</f>
        <v>2766.35</v>
      </c>
      <c r="AC114" s="4">
        <v>2967.8159999999998</v>
      </c>
      <c r="AD114" s="4">
        <v>2255.645</v>
      </c>
      <c r="AE114" s="4">
        <v>1667.9010000000001</v>
      </c>
      <c r="AF114" s="6">
        <f>G114</f>
        <v>1152.704</v>
      </c>
      <c r="AG114" s="4">
        <f>2339.895</f>
        <v>2339.895</v>
      </c>
      <c r="AH114" s="4">
        <f>19320.186-823.97</f>
        <v>18496.216</v>
      </c>
      <c r="AI114" s="4">
        <f>19187.277-890.758</f>
        <v>18296.518999999997</v>
      </c>
      <c r="AJ114" s="114">
        <f>I114</f>
        <v>5408.1180000000004</v>
      </c>
      <c r="AK114" s="4">
        <f>7930.897-958.335</f>
        <v>6972.5619999999999</v>
      </c>
      <c r="AL114" s="4">
        <f>2118.582-638.352</f>
        <v>1480.23</v>
      </c>
      <c r="AM114" s="4">
        <f>1161.576-200.341</f>
        <v>961.23500000000001</v>
      </c>
      <c r="AN114" s="114">
        <f>K114</f>
        <v>600.00299999999993</v>
      </c>
      <c r="AO114" s="4">
        <f>1287.996+16426.73</f>
        <v>17714.725999999999</v>
      </c>
      <c r="AP114" s="4">
        <f>9499.423-818.122</f>
        <v>8681.3010000000013</v>
      </c>
      <c r="AQ114" s="4">
        <v>9552.527</v>
      </c>
      <c r="AR114" s="114">
        <f>M114</f>
        <v>10625.252</v>
      </c>
      <c r="AS114" s="4">
        <f>(7350615000-926806000)/1000000</f>
        <v>6423.8090000000002</v>
      </c>
      <c r="AT114" s="4">
        <f>11297.657-1190.242</f>
        <v>10107.414999999999</v>
      </c>
      <c r="AU114" s="4">
        <f>7474.669-1181.65</f>
        <v>6293.0190000000002</v>
      </c>
      <c r="AV114" s="114">
        <f>N114</f>
        <v>6435.3099999999995</v>
      </c>
      <c r="AW114" s="97">
        <f>20862.586-2598.241</f>
        <v>18264.345000000001</v>
      </c>
      <c r="AX114" s="4">
        <f>24866.152-3868.297</f>
        <v>20997.855</v>
      </c>
      <c r="AY114" s="97">
        <f>26295.215-2865.681</f>
        <v>23429.534</v>
      </c>
      <c r="AZ114" s="114">
        <f>P114</f>
        <v>12931.973</v>
      </c>
      <c r="BA114" s="97">
        <f>11704.715-2335.733</f>
        <v>9368.982</v>
      </c>
      <c r="BB114" s="4">
        <f>(3127819000-595506000)/1000000</f>
        <v>2532.3130000000001</v>
      </c>
      <c r="BC114" s="97">
        <f>5381.307-659.479</f>
        <v>4721.8279999999995</v>
      </c>
      <c r="BD114" s="114">
        <f t="shared" ref="BD114:BD115" si="617">Q114</f>
        <v>4862.1869999999999</v>
      </c>
      <c r="BE114" s="97">
        <f>3787.711-507.122</f>
        <v>3280.5889999999999</v>
      </c>
      <c r="BF114" s="97">
        <f>5005.938-1701.212</f>
        <v>3304.7260000000001</v>
      </c>
      <c r="BG114" s="97">
        <f>15364.551-2016.432</f>
        <v>13348.118999999999</v>
      </c>
      <c r="BH114" s="6">
        <f>R114</f>
        <v>12635.331</v>
      </c>
      <c r="BI114" s="97">
        <f>6335.237-1121.77</f>
        <v>5213.4670000000006</v>
      </c>
      <c r="BJ114" s="4"/>
      <c r="BK114" s="6"/>
      <c r="BL114" s="6"/>
      <c r="BM114" s="6"/>
      <c r="BN114" s="6"/>
      <c r="BO114" s="6"/>
      <c r="BP114" s="6"/>
      <c r="BQ114" s="4"/>
      <c r="BR114" s="6"/>
      <c r="BS114" s="6"/>
      <c r="BT114" s="4"/>
      <c r="BU114" s="4"/>
      <c r="BV114" s="6"/>
      <c r="BW114" s="6"/>
      <c r="BX114" s="6"/>
      <c r="BY114" s="4"/>
      <c r="BZ114" s="4"/>
      <c r="CA114" s="6"/>
      <c r="CB114" s="6"/>
      <c r="CC114" s="4"/>
      <c r="CD114" s="4"/>
      <c r="CE114" s="6"/>
      <c r="CF114" s="6"/>
      <c r="CG114" s="4"/>
      <c r="CH114" s="4"/>
      <c r="CI114" s="6"/>
    </row>
    <row r="115" spans="2:87" ht="13.5" customHeight="1">
      <c r="B115" s="1" t="s">
        <v>371</v>
      </c>
      <c r="C115" s="4">
        <v>60415</v>
      </c>
      <c r="D115" s="4">
        <v>59479</v>
      </c>
      <c r="E115" s="97">
        <v>80351</v>
      </c>
      <c r="F115" s="4">
        <f>3861.093+87685.294</f>
        <v>91546.386999999988</v>
      </c>
      <c r="G115" s="4">
        <f>89040.291-347.193</f>
        <v>88693.097999999998</v>
      </c>
      <c r="H115" s="4">
        <f>89040.291-347.193</f>
        <v>88693.097999999998</v>
      </c>
      <c r="I115" s="4">
        <f>81700.824-437.165</f>
        <v>81263.659</v>
      </c>
      <c r="J115" s="4">
        <f>81700.824-437.165</f>
        <v>81263.659</v>
      </c>
      <c r="K115" s="4">
        <f>84842.423-213.675</f>
        <v>84628.747999999992</v>
      </c>
      <c r="L115" s="4">
        <f>82296.955-67.03</f>
        <v>82229.925000000003</v>
      </c>
      <c r="M115" s="4">
        <f>82296.955-67.03</f>
        <v>82229.925000000003</v>
      </c>
      <c r="N115" s="4">
        <f>78209.183-590.019</f>
        <v>77619.164000000004</v>
      </c>
      <c r="O115" s="4">
        <f>78209.183-590.019</f>
        <v>77619.164000000004</v>
      </c>
      <c r="P115" s="4">
        <f>98891.567-1888.219</f>
        <v>97003.347999999998</v>
      </c>
      <c r="Q115" s="4">
        <f>146732.377-689.012</f>
        <v>146043.36500000002</v>
      </c>
      <c r="R115" s="4">
        <f>143342.189-2314.428</f>
        <v>141027.761</v>
      </c>
      <c r="S115" s="6">
        <f>BI115</f>
        <v>152111.67300000001</v>
      </c>
      <c r="U115" s="4">
        <v>60369</v>
      </c>
      <c r="V115" s="4">
        <v>71247</v>
      </c>
      <c r="W115" s="4">
        <v>78539</v>
      </c>
      <c r="X115" s="6">
        <f>+E115</f>
        <v>80351</v>
      </c>
      <c r="Y115" s="4">
        <v>74505</v>
      </c>
      <c r="Z115" s="4">
        <v>70488</v>
      </c>
      <c r="AA115" s="4">
        <v>68176</v>
      </c>
      <c r="AB115" s="6">
        <f>+F115</f>
        <v>91546.386999999988</v>
      </c>
      <c r="AC115" s="4">
        <v>86572.778999999995</v>
      </c>
      <c r="AD115" s="4">
        <f>2351.12+88124.727</f>
        <v>90475.846999999994</v>
      </c>
      <c r="AE115" s="4">
        <f>86325.735-58.525</f>
        <v>86267.21</v>
      </c>
      <c r="AF115" s="6">
        <f>G115</f>
        <v>88693.097999999998</v>
      </c>
      <c r="AG115" s="4">
        <f>87667.274</f>
        <v>87667.274000000005</v>
      </c>
      <c r="AH115" s="4">
        <f>71637.342-1018.91</f>
        <v>70618.432000000001</v>
      </c>
      <c r="AI115" s="4">
        <f>84180.348-524.618</f>
        <v>83655.73</v>
      </c>
      <c r="AJ115" s="114">
        <f>I115</f>
        <v>81263.659</v>
      </c>
      <c r="AK115" s="4">
        <f>114141.923-977.913</f>
        <v>113164.01</v>
      </c>
      <c r="AL115" s="4">
        <f>101783.215-70.584</f>
        <v>101712.63099999999</v>
      </c>
      <c r="AM115" s="4">
        <f>95812.235-102.003</f>
        <v>95710.232000000004</v>
      </c>
      <c r="AN115" s="114">
        <f>K115</f>
        <v>84628.747999999992</v>
      </c>
      <c r="AO115" s="4">
        <f>1071.023+69285.884</f>
        <v>70356.907000000007</v>
      </c>
      <c r="AP115" s="4">
        <f>79798.256-17.474</f>
        <v>79780.781999999992</v>
      </c>
      <c r="AQ115" s="4">
        <v>81335.553</v>
      </c>
      <c r="AR115" s="114">
        <f>M115</f>
        <v>82229.925000000003</v>
      </c>
      <c r="AS115" s="4">
        <f>(85129847000-531873000)/1000000</f>
        <v>84597.974000000002</v>
      </c>
      <c r="AT115" s="4">
        <f>83680.017-114.449</f>
        <v>83565.568000000014</v>
      </c>
      <c r="AU115" s="4">
        <f>93723.678-298.375</f>
        <v>93425.303</v>
      </c>
      <c r="AV115" s="114">
        <f>N115</f>
        <v>77619.164000000004</v>
      </c>
      <c r="AW115" s="4">
        <f>75916.537-1641.824</f>
        <v>74274.713000000003</v>
      </c>
      <c r="AX115" s="4">
        <f>80711.487-1229.328</f>
        <v>79482.159</v>
      </c>
      <c r="AY115" s="4">
        <f>84759.692-907.507</f>
        <v>83852.184999999998</v>
      </c>
      <c r="AZ115" s="114">
        <f>P115</f>
        <v>97003.347999999998</v>
      </c>
      <c r="BA115" s="4">
        <f>121248.413-2225.964</f>
        <v>119022.44899999999</v>
      </c>
      <c r="BB115" s="4">
        <f>(134108217000-1145212000)/1000000</f>
        <v>132963.005</v>
      </c>
      <c r="BC115" s="4">
        <f>141946.124-1032.442</f>
        <v>140913.682</v>
      </c>
      <c r="BD115" s="114">
        <f t="shared" si="617"/>
        <v>146043.36500000002</v>
      </c>
      <c r="BE115" s="4">
        <f>158897.689-939.859</f>
        <v>157957.83000000002</v>
      </c>
      <c r="BF115" s="4">
        <f>155949.418-2319.031</f>
        <v>153630.38700000002</v>
      </c>
      <c r="BG115" s="4">
        <f>145669.956-2329.951</f>
        <v>143340.005</v>
      </c>
      <c r="BH115" s="6">
        <f>R115</f>
        <v>141027.761</v>
      </c>
      <c r="BI115" s="4">
        <f>154130.696-2019.023</f>
        <v>152111.67300000001</v>
      </c>
      <c r="BJ115" s="4"/>
      <c r="BK115" s="6"/>
      <c r="BL115" s="6"/>
      <c r="BM115" s="6"/>
      <c r="BN115" s="6"/>
      <c r="BO115" s="6"/>
      <c r="BP115" s="6"/>
      <c r="BQ115" s="4"/>
      <c r="BR115" s="6"/>
      <c r="BS115" s="6"/>
      <c r="BT115" s="4"/>
      <c r="BU115" s="4"/>
      <c r="BV115" s="6"/>
      <c r="BW115" s="6"/>
      <c r="BX115" s="6"/>
      <c r="BY115" s="4"/>
      <c r="BZ115" s="4"/>
      <c r="CA115" s="6"/>
      <c r="CB115" s="6"/>
      <c r="CC115" s="4"/>
      <c r="CD115" s="4"/>
      <c r="CE115" s="6"/>
      <c r="CF115" s="6"/>
      <c r="CG115" s="4"/>
      <c r="CH115" s="4"/>
      <c r="CI115" s="6"/>
    </row>
    <row r="116" spans="2:87" ht="13.5" customHeight="1">
      <c r="C116" s="4"/>
      <c r="D116" s="4"/>
      <c r="E116" s="6"/>
      <c r="F116" s="6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6"/>
      <c r="U116" s="4"/>
      <c r="V116" s="4"/>
      <c r="W116" s="4"/>
      <c r="X116" s="97"/>
      <c r="Y116" s="4"/>
      <c r="Z116" s="4"/>
      <c r="AA116" s="4"/>
      <c r="AB116" s="97"/>
      <c r="AC116" s="4"/>
      <c r="AD116" s="4"/>
      <c r="AE116" s="4"/>
      <c r="AF116" s="97"/>
      <c r="AG116" s="4"/>
      <c r="AH116" s="4"/>
      <c r="AI116" s="4"/>
      <c r="AJ116" s="4"/>
      <c r="AK116" s="4"/>
      <c r="AL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97"/>
      <c r="BL116" s="97"/>
      <c r="BM116" s="97"/>
      <c r="BN116" s="97"/>
      <c r="BO116" s="97"/>
      <c r="BP116" s="97"/>
      <c r="BQ116" s="4"/>
      <c r="BR116" s="97"/>
      <c r="BS116" s="97"/>
      <c r="BT116" s="4"/>
      <c r="BU116" s="4"/>
      <c r="BV116" s="97"/>
      <c r="BW116" s="97"/>
      <c r="BX116" s="97"/>
      <c r="BY116" s="4"/>
      <c r="BZ116" s="4"/>
      <c r="CA116" s="97"/>
      <c r="CB116" s="97"/>
      <c r="CC116" s="4"/>
      <c r="CD116" s="4"/>
      <c r="CE116" s="97"/>
      <c r="CF116" s="97"/>
      <c r="CG116" s="4"/>
      <c r="CH116" s="4"/>
      <c r="CI116" s="97"/>
    </row>
    <row r="117" spans="2:87" ht="13.5" customHeight="1">
      <c r="B117" s="5" t="s">
        <v>372</v>
      </c>
      <c r="C117" s="4"/>
      <c r="D117" s="4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U117" s="4"/>
      <c r="V117" s="4"/>
      <c r="W117" s="4"/>
      <c r="X117" s="6">
        <f>+E117</f>
        <v>0</v>
      </c>
      <c r="Y117" s="4"/>
      <c r="Z117" s="4"/>
      <c r="AA117" s="4"/>
      <c r="AB117" s="97"/>
      <c r="AC117" s="4"/>
      <c r="AD117" s="4"/>
      <c r="AE117" s="4"/>
      <c r="AF117" s="97"/>
      <c r="AG117" s="4"/>
      <c r="AH117" s="4"/>
      <c r="AI117" s="4"/>
      <c r="AJ117" s="4"/>
      <c r="AK117" s="4"/>
      <c r="AL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6"/>
      <c r="BG117" s="4"/>
      <c r="BH117" s="4"/>
      <c r="BI117" s="6"/>
      <c r="BJ117" s="4"/>
      <c r="BK117" s="97"/>
      <c r="BL117" s="97"/>
      <c r="BM117" s="97"/>
      <c r="BN117" s="97"/>
      <c r="BO117" s="97"/>
      <c r="BP117" s="97"/>
      <c r="BQ117" s="4"/>
      <c r="BR117" s="97"/>
      <c r="BS117" s="97"/>
      <c r="BT117" s="4"/>
      <c r="BU117" s="4"/>
      <c r="BV117" s="97"/>
      <c r="BW117" s="97"/>
      <c r="BX117" s="97"/>
      <c r="BY117" s="4"/>
      <c r="BZ117" s="4"/>
      <c r="CA117" s="97"/>
      <c r="CB117" s="97"/>
      <c r="CC117" s="4"/>
      <c r="CD117" s="4"/>
      <c r="CE117" s="97"/>
      <c r="CF117" s="97"/>
      <c r="CG117" s="4"/>
      <c r="CH117" s="4"/>
      <c r="CI117" s="97"/>
    </row>
    <row r="118" spans="2:87" ht="13.5" customHeight="1">
      <c r="C118" s="4"/>
      <c r="D118" s="4"/>
      <c r="E118" s="6"/>
      <c r="F118" s="6"/>
      <c r="G118" s="6"/>
      <c r="H118" s="4"/>
      <c r="I118" s="4"/>
      <c r="J118" s="4"/>
      <c r="K118" s="4"/>
      <c r="L118" s="4"/>
      <c r="M118" s="4"/>
      <c r="N118" s="4"/>
      <c r="O118" s="4"/>
      <c r="P118" s="4"/>
      <c r="Q118" s="4"/>
      <c r="BJ118" s="4"/>
      <c r="BK118" s="97"/>
      <c r="BL118" s="97"/>
      <c r="BM118" s="97"/>
      <c r="BN118" s="97"/>
      <c r="BO118" s="97"/>
      <c r="BP118" s="97"/>
      <c r="BQ118" s="4"/>
      <c r="BR118" s="97"/>
      <c r="BS118" s="97"/>
      <c r="BT118" s="4"/>
      <c r="BU118" s="4"/>
      <c r="BV118" s="97"/>
      <c r="BW118" s="97"/>
      <c r="BX118" s="97"/>
      <c r="BY118" s="4"/>
      <c r="BZ118" s="4"/>
      <c r="CA118" s="97"/>
      <c r="CB118" s="97"/>
      <c r="CC118" s="4"/>
      <c r="CD118" s="4"/>
      <c r="CE118" s="97"/>
      <c r="CF118" s="97"/>
      <c r="CG118" s="4"/>
      <c r="CH118" s="4"/>
      <c r="CI118" s="97"/>
    </row>
    <row r="119" spans="2:87" ht="13.5" customHeight="1">
      <c r="B119" s="1" t="s">
        <v>15</v>
      </c>
      <c r="C119" s="4">
        <v>7359</v>
      </c>
      <c r="D119" s="4">
        <v>8603</v>
      </c>
      <c r="E119" s="4">
        <v>10332</v>
      </c>
      <c r="F119" s="4">
        <v>9740.7520000000004</v>
      </c>
      <c r="G119" s="4">
        <v>9841.4500000000007</v>
      </c>
      <c r="H119" s="4">
        <v>9841.4500000000007</v>
      </c>
      <c r="I119" s="4">
        <v>9422.6</v>
      </c>
      <c r="J119" s="4">
        <v>9422.6</v>
      </c>
      <c r="K119" s="4">
        <v>9974.35</v>
      </c>
      <c r="L119" s="267">
        <v>10291.75</v>
      </c>
      <c r="M119" s="267">
        <v>10291.75</v>
      </c>
      <c r="N119" s="267">
        <v>9632.3459999999995</v>
      </c>
      <c r="O119" s="4">
        <v>9632.3459999999995</v>
      </c>
      <c r="P119" s="4">
        <v>8404.5159999999996</v>
      </c>
      <c r="Q119" s="4">
        <v>10083.478999999999</v>
      </c>
      <c r="R119" s="4">
        <v>8938.4330000000009</v>
      </c>
      <c r="S119" s="6">
        <f t="shared" ref="S119:S157" si="618">BI119</f>
        <v>8988.1830000000009</v>
      </c>
      <c r="U119" s="4"/>
      <c r="V119" s="4"/>
      <c r="W119" s="4"/>
      <c r="X119" s="6">
        <f t="shared" ref="X119:X125" si="619">+E119</f>
        <v>10332</v>
      </c>
      <c r="Y119" s="4"/>
      <c r="Z119" s="4"/>
      <c r="AA119" s="4">
        <v>9099</v>
      </c>
      <c r="AB119" s="6">
        <f t="shared" ref="AB119:AB125" si="620">+F119</f>
        <v>9740.7520000000004</v>
      </c>
      <c r="AC119" s="4">
        <v>9172.25</v>
      </c>
      <c r="AD119" s="4">
        <v>9931.65</v>
      </c>
      <c r="AE119" s="4">
        <v>9406</v>
      </c>
      <c r="AF119" s="6">
        <f t="shared" ref="AF119:AF125" si="621">G119</f>
        <v>9841.4500000000007</v>
      </c>
      <c r="AG119" s="4">
        <v>9689.65</v>
      </c>
      <c r="AH119" s="4">
        <v>9584.25</v>
      </c>
      <c r="AI119" s="4">
        <v>9818.15</v>
      </c>
      <c r="AJ119" s="114">
        <f t="shared" ref="AJ119:AJ125" si="622">I119</f>
        <v>9422.6</v>
      </c>
      <c r="AK119" s="4">
        <v>11756.1</v>
      </c>
      <c r="AL119" s="4">
        <v>11485.75</v>
      </c>
      <c r="AM119" s="4">
        <v>11228.65</v>
      </c>
      <c r="AN119" s="114">
        <f t="shared" ref="AN119:AN125" si="623">K119</f>
        <v>9974.35</v>
      </c>
      <c r="AO119" s="4">
        <v>10302.35</v>
      </c>
      <c r="AP119" s="4">
        <v>9901.35</v>
      </c>
      <c r="AQ119" s="4">
        <v>10153</v>
      </c>
      <c r="AR119" s="274">
        <f t="shared" ref="AR119:AR125" si="624">M119</f>
        <v>10291.75</v>
      </c>
      <c r="AS119" s="4">
        <v>9997.1</v>
      </c>
      <c r="AT119" s="4">
        <v>9942.3880000000008</v>
      </c>
      <c r="AU119" s="4">
        <v>10102.136</v>
      </c>
      <c r="AV119" s="274">
        <f t="shared" ref="AV119:AV125" si="625">N119</f>
        <v>9632.3459999999995</v>
      </c>
      <c r="AW119" s="4">
        <v>9007.3369999999995</v>
      </c>
      <c r="AX119" s="4">
        <v>8493.3189999999995</v>
      </c>
      <c r="AY119" s="4">
        <v>8765.7009999999991</v>
      </c>
      <c r="AZ119" s="274">
        <f t="shared" ref="AZ119:AZ141" si="626">P119</f>
        <v>8404.5159999999996</v>
      </c>
      <c r="BA119" s="4">
        <v>8297.3050000000003</v>
      </c>
      <c r="BB119" s="4">
        <v>9142.7070000000003</v>
      </c>
      <c r="BC119" s="4">
        <v>9765.4279999999999</v>
      </c>
      <c r="BD119" s="274">
        <f t="shared" ref="BD119:BD157" si="627">Q119</f>
        <v>10083.478999999999</v>
      </c>
      <c r="BE119" s="4">
        <v>10108.305</v>
      </c>
      <c r="BF119" s="4">
        <v>9399.1679999999997</v>
      </c>
      <c r="BG119" s="4">
        <v>9145.2939999999999</v>
      </c>
      <c r="BH119" s="6">
        <f t="shared" ref="BH119:BH157" si="628">R119</f>
        <v>8938.4330000000009</v>
      </c>
      <c r="BI119" s="4">
        <v>8988.1830000000009</v>
      </c>
      <c r="BJ119" s="4"/>
      <c r="BK119" s="6"/>
      <c r="BL119" s="6"/>
      <c r="BM119" s="6"/>
      <c r="BN119" s="6"/>
      <c r="BO119" s="6"/>
      <c r="BP119" s="6"/>
      <c r="BQ119" s="4"/>
      <c r="BR119" s="6"/>
      <c r="BS119" s="6"/>
      <c r="BV119" s="6"/>
      <c r="BW119" s="6"/>
      <c r="BX119" s="6"/>
      <c r="CA119" s="6"/>
      <c r="CB119" s="6"/>
      <c r="CE119" s="6"/>
      <c r="CF119" s="6"/>
      <c r="CI119" s="6"/>
    </row>
    <row r="120" spans="2:87" ht="13.5" customHeight="1">
      <c r="B120" s="1" t="s">
        <v>17</v>
      </c>
      <c r="C120" s="4">
        <v>11774</v>
      </c>
      <c r="D120" s="4">
        <v>13765</v>
      </c>
      <c r="E120" s="4">
        <v>16531</v>
      </c>
      <c r="F120" s="4">
        <v>15732.857</v>
      </c>
      <c r="G120" s="4">
        <v>15746.32</v>
      </c>
      <c r="H120" s="4">
        <v>15746.32</v>
      </c>
      <c r="I120" s="4">
        <v>15076.16</v>
      </c>
      <c r="J120" s="4">
        <v>15076.16</v>
      </c>
      <c r="K120" s="4">
        <v>15958.96</v>
      </c>
      <c r="L120" s="267">
        <v>16466.8</v>
      </c>
      <c r="M120" s="267">
        <v>16466.8</v>
      </c>
      <c r="N120" s="267">
        <v>15489.2</v>
      </c>
      <c r="O120" s="4">
        <v>15489.2</v>
      </c>
      <c r="P120" s="4">
        <v>6898.6629999999996</v>
      </c>
      <c r="Q120" s="4">
        <v>0</v>
      </c>
      <c r="R120" s="4">
        <v>0</v>
      </c>
      <c r="S120" s="6">
        <f t="shared" si="618"/>
        <v>0</v>
      </c>
      <c r="U120" s="4"/>
      <c r="V120" s="4"/>
      <c r="W120" s="4"/>
      <c r="X120" s="6">
        <f t="shared" si="619"/>
        <v>16531</v>
      </c>
      <c r="Y120" s="4"/>
      <c r="Z120" s="4"/>
      <c r="AA120" s="4">
        <v>14558</v>
      </c>
      <c r="AB120" s="6">
        <f t="shared" si="620"/>
        <v>15732.857</v>
      </c>
      <c r="AC120" s="4">
        <v>14675.6</v>
      </c>
      <c r="AD120" s="4">
        <v>15890.64</v>
      </c>
      <c r="AE120" s="4">
        <v>15049.6</v>
      </c>
      <c r="AF120" s="6">
        <f t="shared" si="621"/>
        <v>15746.32</v>
      </c>
      <c r="AG120" s="4">
        <v>15503.44</v>
      </c>
      <c r="AH120" s="4">
        <v>15334.8</v>
      </c>
      <c r="AI120" s="4">
        <v>15709.04</v>
      </c>
      <c r="AJ120" s="114">
        <f t="shared" si="622"/>
        <v>15076.16</v>
      </c>
      <c r="AK120" s="4">
        <v>18809.759999999998</v>
      </c>
      <c r="AL120" s="4">
        <v>18377.2</v>
      </c>
      <c r="AM120" s="4">
        <v>17965.84</v>
      </c>
      <c r="AN120" s="114">
        <f t="shared" si="623"/>
        <v>15958.96</v>
      </c>
      <c r="AO120" s="4">
        <v>16483.759999999998</v>
      </c>
      <c r="AP120" s="4">
        <v>15842.16</v>
      </c>
      <c r="AQ120" s="4">
        <v>16244.8</v>
      </c>
      <c r="AR120" s="274">
        <f t="shared" si="624"/>
        <v>16466.8</v>
      </c>
      <c r="AS120" s="4">
        <v>15995.36</v>
      </c>
      <c r="AT120" s="4">
        <v>15987.76</v>
      </c>
      <c r="AU120" s="4">
        <v>16244.64</v>
      </c>
      <c r="AV120" s="274">
        <f t="shared" si="625"/>
        <v>15489.2</v>
      </c>
      <c r="AW120" s="4">
        <v>14484.16</v>
      </c>
      <c r="AX120" s="4">
        <v>13657.6</v>
      </c>
      <c r="AY120" s="4">
        <v>14095.6</v>
      </c>
      <c r="AZ120" s="274">
        <f t="shared" si="626"/>
        <v>6898.6629999999996</v>
      </c>
      <c r="BA120" s="4">
        <v>6810.6610000000001</v>
      </c>
      <c r="BB120" s="4">
        <v>0</v>
      </c>
      <c r="BC120" s="4">
        <v>0</v>
      </c>
      <c r="BD120" s="274">
        <f t="shared" si="627"/>
        <v>0</v>
      </c>
      <c r="BE120" s="4">
        <v>0</v>
      </c>
      <c r="BF120" s="4">
        <v>0</v>
      </c>
      <c r="BG120" s="4">
        <v>0</v>
      </c>
      <c r="BH120" s="6">
        <f t="shared" si="628"/>
        <v>0</v>
      </c>
      <c r="BI120" s="4">
        <v>0</v>
      </c>
      <c r="BJ120" s="4"/>
      <c r="BK120" s="6"/>
      <c r="BL120" s="6"/>
      <c r="BM120" s="6"/>
      <c r="BN120" s="6"/>
      <c r="BO120" s="6"/>
      <c r="BP120" s="6"/>
      <c r="BQ120" s="4"/>
      <c r="BR120" s="6"/>
      <c r="BS120" s="6"/>
      <c r="BV120" s="6"/>
      <c r="BW120" s="6"/>
      <c r="BX120" s="6"/>
      <c r="CA120" s="6"/>
      <c r="CB120" s="6"/>
      <c r="CE120" s="6"/>
      <c r="CF120" s="6"/>
      <c r="CI120" s="6"/>
    </row>
    <row r="121" spans="2:87" ht="13.5" customHeight="1">
      <c r="B121" s="1" t="s">
        <v>19</v>
      </c>
      <c r="C121" s="4">
        <v>11774</v>
      </c>
      <c r="D121" s="4">
        <v>13765</v>
      </c>
      <c r="E121" s="4">
        <v>16531</v>
      </c>
      <c r="F121" s="4">
        <v>15729.612999999999</v>
      </c>
      <c r="G121" s="4">
        <v>15746.32</v>
      </c>
      <c r="H121" s="4">
        <v>15746.32</v>
      </c>
      <c r="I121" s="4">
        <v>15076.16</v>
      </c>
      <c r="J121" s="4">
        <v>15076.16</v>
      </c>
      <c r="K121" s="4">
        <v>15915.312</v>
      </c>
      <c r="L121" s="267">
        <v>4071.6619999999998</v>
      </c>
      <c r="M121" s="267">
        <v>4071.6619999999998</v>
      </c>
      <c r="N121" s="267">
        <v>0</v>
      </c>
      <c r="O121" s="4">
        <v>0</v>
      </c>
      <c r="P121" s="4">
        <v>0</v>
      </c>
      <c r="Q121" s="4">
        <v>0</v>
      </c>
      <c r="R121" s="4">
        <v>0</v>
      </c>
      <c r="S121" s="6">
        <f t="shared" si="618"/>
        <v>0</v>
      </c>
      <c r="U121" s="4"/>
      <c r="V121" s="4"/>
      <c r="W121" s="4"/>
      <c r="X121" s="6">
        <f t="shared" si="619"/>
        <v>16531</v>
      </c>
      <c r="Y121" s="4"/>
      <c r="Z121" s="4"/>
      <c r="AA121" s="4">
        <v>14558</v>
      </c>
      <c r="AB121" s="6">
        <f t="shared" si="620"/>
        <v>15729.612999999999</v>
      </c>
      <c r="AC121" s="4">
        <v>14675.6</v>
      </c>
      <c r="AD121" s="4">
        <v>15890.64</v>
      </c>
      <c r="AE121" s="4">
        <v>15049.6</v>
      </c>
      <c r="AF121" s="6">
        <f t="shared" si="621"/>
        <v>15746.32</v>
      </c>
      <c r="AG121" s="4">
        <v>15503.44</v>
      </c>
      <c r="AH121" s="4">
        <v>15334.8</v>
      </c>
      <c r="AI121" s="4">
        <v>15709.04</v>
      </c>
      <c r="AJ121" s="114">
        <f t="shared" si="622"/>
        <v>15076.16</v>
      </c>
      <c r="AK121" s="4">
        <v>18809.759999999998</v>
      </c>
      <c r="AL121" s="4">
        <v>18326.937000000002</v>
      </c>
      <c r="AM121" s="4">
        <v>17916.703000000001</v>
      </c>
      <c r="AN121" s="114">
        <f t="shared" si="623"/>
        <v>15915.312</v>
      </c>
      <c r="AO121" s="4">
        <v>16438.677</v>
      </c>
      <c r="AP121" s="4">
        <v>3917.212</v>
      </c>
      <c r="AQ121" s="4">
        <v>4016.77</v>
      </c>
      <c r="AR121" s="274">
        <f t="shared" si="624"/>
        <v>4071.6619999999998</v>
      </c>
      <c r="AS121" s="4">
        <v>0</v>
      </c>
      <c r="AT121" s="4">
        <v>0</v>
      </c>
      <c r="AU121" s="4">
        <v>0</v>
      </c>
      <c r="AV121" s="274">
        <f t="shared" si="625"/>
        <v>0</v>
      </c>
      <c r="AW121" s="4">
        <v>0</v>
      </c>
      <c r="AX121" s="4">
        <v>0</v>
      </c>
      <c r="AY121" s="4">
        <v>0</v>
      </c>
      <c r="AZ121" s="274">
        <f t="shared" si="626"/>
        <v>0</v>
      </c>
      <c r="BA121" s="4">
        <v>0</v>
      </c>
      <c r="BB121" s="4">
        <v>0</v>
      </c>
      <c r="BC121" s="4">
        <v>0</v>
      </c>
      <c r="BD121" s="274">
        <f t="shared" si="627"/>
        <v>0</v>
      </c>
      <c r="BE121" s="4">
        <v>0</v>
      </c>
      <c r="BF121" s="4">
        <v>0</v>
      </c>
      <c r="BG121" s="4">
        <v>0</v>
      </c>
      <c r="BH121" s="6">
        <f t="shared" si="628"/>
        <v>0</v>
      </c>
      <c r="BI121" s="4">
        <v>0</v>
      </c>
      <c r="BJ121" s="4"/>
      <c r="BK121" s="6"/>
      <c r="BL121" s="6"/>
      <c r="BM121" s="6"/>
      <c r="BN121" s="6"/>
      <c r="BO121" s="6"/>
      <c r="BP121" s="6"/>
      <c r="BQ121" s="4"/>
      <c r="BR121" s="6"/>
      <c r="BS121" s="6"/>
      <c r="BV121" s="6"/>
      <c r="BW121" s="6"/>
      <c r="BX121" s="6"/>
      <c r="CA121" s="6"/>
      <c r="CB121" s="6"/>
      <c r="CE121" s="6"/>
      <c r="CF121" s="6"/>
      <c r="CI121" s="6"/>
    </row>
    <row r="122" spans="2:87" ht="13.5" customHeight="1">
      <c r="B122" s="1" t="s">
        <v>21</v>
      </c>
      <c r="C122" s="4">
        <v>11774</v>
      </c>
      <c r="D122" s="4">
        <v>13765</v>
      </c>
      <c r="E122" s="4">
        <v>16531</v>
      </c>
      <c r="F122" s="4">
        <v>15770.603999999999</v>
      </c>
      <c r="G122" s="4">
        <v>15746.32</v>
      </c>
      <c r="H122" s="4">
        <v>15746.32</v>
      </c>
      <c r="I122" s="4">
        <v>3769.04</v>
      </c>
      <c r="J122" s="4">
        <v>3769.04</v>
      </c>
      <c r="K122" s="4">
        <v>0</v>
      </c>
      <c r="L122" s="267">
        <v>0</v>
      </c>
      <c r="M122" s="267">
        <v>0</v>
      </c>
      <c r="N122" s="267">
        <v>0</v>
      </c>
      <c r="O122" s="4">
        <v>0</v>
      </c>
      <c r="P122" s="4">
        <v>0</v>
      </c>
      <c r="Q122" s="4">
        <v>0</v>
      </c>
      <c r="R122" s="4">
        <v>0</v>
      </c>
      <c r="S122" s="6">
        <f t="shared" si="618"/>
        <v>0</v>
      </c>
      <c r="U122" s="4"/>
      <c r="V122" s="4"/>
      <c r="W122" s="4"/>
      <c r="X122" s="6">
        <f t="shared" si="619"/>
        <v>16531</v>
      </c>
      <c r="Y122" s="4"/>
      <c r="Z122" s="4"/>
      <c r="AA122" s="4">
        <v>14558</v>
      </c>
      <c r="AB122" s="6">
        <f t="shared" si="620"/>
        <v>15770.603999999999</v>
      </c>
      <c r="AC122" s="4">
        <v>14675.6</v>
      </c>
      <c r="AD122" s="4">
        <v>15890.64</v>
      </c>
      <c r="AE122" s="4">
        <v>15049.6</v>
      </c>
      <c r="AF122" s="6">
        <f t="shared" si="621"/>
        <v>15746.32</v>
      </c>
      <c r="AG122" s="4">
        <v>15503.44</v>
      </c>
      <c r="AH122" s="4">
        <v>15334.8</v>
      </c>
      <c r="AI122" s="4">
        <v>15709.04</v>
      </c>
      <c r="AJ122" s="114">
        <f t="shared" si="622"/>
        <v>3769.04</v>
      </c>
      <c r="AK122" s="4">
        <v>4702.4399999999996</v>
      </c>
      <c r="AL122" s="4">
        <v>0</v>
      </c>
      <c r="AM122" s="4">
        <v>0</v>
      </c>
      <c r="AN122" s="114">
        <f t="shared" si="623"/>
        <v>0</v>
      </c>
      <c r="AO122" s="4">
        <v>0</v>
      </c>
      <c r="AP122" s="4">
        <v>0</v>
      </c>
      <c r="AQ122" s="4">
        <v>0</v>
      </c>
      <c r="AR122" s="274">
        <f t="shared" si="624"/>
        <v>0</v>
      </c>
      <c r="AS122" s="4"/>
      <c r="AT122" s="4"/>
      <c r="AU122" s="4"/>
      <c r="AV122" s="274">
        <f t="shared" si="625"/>
        <v>0</v>
      </c>
      <c r="AW122" s="4"/>
      <c r="AX122" s="4"/>
      <c r="AY122" s="4"/>
      <c r="AZ122" s="274">
        <f t="shared" si="626"/>
        <v>0</v>
      </c>
      <c r="BA122" s="4">
        <v>0</v>
      </c>
      <c r="BB122" s="4">
        <v>0</v>
      </c>
      <c r="BC122" s="4">
        <v>0</v>
      </c>
      <c r="BD122" s="274">
        <f t="shared" si="627"/>
        <v>0</v>
      </c>
      <c r="BE122" s="4">
        <v>0</v>
      </c>
      <c r="BF122" s="4">
        <v>0</v>
      </c>
      <c r="BG122" s="4">
        <v>0</v>
      </c>
      <c r="BH122" s="6">
        <f t="shared" si="628"/>
        <v>0</v>
      </c>
      <c r="BI122" s="4">
        <v>0</v>
      </c>
      <c r="BJ122" s="4"/>
      <c r="BK122" s="6"/>
      <c r="BL122" s="6"/>
      <c r="BM122" s="6"/>
      <c r="BN122" s="6"/>
      <c r="BO122" s="6"/>
      <c r="BP122" s="6"/>
      <c r="BQ122" s="4"/>
      <c r="BR122" s="6"/>
      <c r="BS122" s="6"/>
      <c r="BV122" s="6"/>
      <c r="BW122" s="6"/>
      <c r="BX122" s="6"/>
      <c r="CA122" s="6"/>
      <c r="CB122" s="6"/>
      <c r="CE122" s="6"/>
      <c r="CF122" s="6"/>
      <c r="CI122" s="6"/>
    </row>
    <row r="123" spans="2:87" ht="13.5" customHeight="1">
      <c r="B123" s="1" t="s">
        <v>22</v>
      </c>
      <c r="C123" s="4">
        <v>0</v>
      </c>
      <c r="D123" s="4">
        <v>0</v>
      </c>
      <c r="E123" s="4">
        <v>3457</v>
      </c>
      <c r="F123" s="4">
        <v>2296.4769999999999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267">
        <v>0</v>
      </c>
      <c r="M123" s="267">
        <v>0</v>
      </c>
      <c r="N123" s="267">
        <v>0</v>
      </c>
      <c r="O123" s="4">
        <v>0</v>
      </c>
      <c r="P123" s="4">
        <v>0</v>
      </c>
      <c r="Q123" s="4">
        <v>0</v>
      </c>
      <c r="R123" s="4">
        <v>0</v>
      </c>
      <c r="S123" s="6">
        <f t="shared" si="618"/>
        <v>0</v>
      </c>
      <c r="U123" s="4"/>
      <c r="V123" s="4"/>
      <c r="W123" s="4"/>
      <c r="X123" s="6">
        <f t="shared" si="619"/>
        <v>3457</v>
      </c>
      <c r="Y123" s="4"/>
      <c r="Z123" s="4"/>
      <c r="AA123" s="4">
        <v>2144</v>
      </c>
      <c r="AB123" s="6">
        <f t="shared" si="620"/>
        <v>2296.4769999999999</v>
      </c>
      <c r="AC123" s="4">
        <v>0</v>
      </c>
      <c r="AD123" s="4">
        <v>0</v>
      </c>
      <c r="AE123" s="4">
        <v>0</v>
      </c>
      <c r="AF123" s="6">
        <f t="shared" si="621"/>
        <v>0</v>
      </c>
      <c r="AG123" s="4">
        <v>0</v>
      </c>
      <c r="AH123" s="4">
        <v>0</v>
      </c>
      <c r="AI123" s="4">
        <v>0</v>
      </c>
      <c r="AJ123" s="114">
        <f t="shared" si="622"/>
        <v>0</v>
      </c>
      <c r="AK123" s="4">
        <v>0</v>
      </c>
      <c r="AL123" s="4">
        <v>0</v>
      </c>
      <c r="AM123" s="4">
        <v>0</v>
      </c>
      <c r="AN123" s="114">
        <f t="shared" si="623"/>
        <v>0</v>
      </c>
      <c r="AO123" s="4">
        <v>0</v>
      </c>
      <c r="AP123" s="4">
        <v>0</v>
      </c>
      <c r="AQ123" s="4">
        <v>0</v>
      </c>
      <c r="AR123" s="274">
        <f t="shared" si="624"/>
        <v>0</v>
      </c>
      <c r="AS123" s="4"/>
      <c r="AT123" s="4"/>
      <c r="AU123" s="4"/>
      <c r="AV123" s="274">
        <f t="shared" si="625"/>
        <v>0</v>
      </c>
      <c r="AW123" s="4"/>
      <c r="AX123" s="4"/>
      <c r="AY123" s="4"/>
      <c r="AZ123" s="274">
        <f t="shared" si="626"/>
        <v>0</v>
      </c>
      <c r="BA123" s="4">
        <v>0</v>
      </c>
      <c r="BB123" s="4">
        <v>0</v>
      </c>
      <c r="BC123" s="4">
        <v>0</v>
      </c>
      <c r="BD123" s="274">
        <f t="shared" si="627"/>
        <v>0</v>
      </c>
      <c r="BE123" s="4">
        <v>0</v>
      </c>
      <c r="BF123" s="4">
        <v>0</v>
      </c>
      <c r="BG123" s="4">
        <v>0</v>
      </c>
      <c r="BH123" s="6">
        <f t="shared" si="628"/>
        <v>0</v>
      </c>
      <c r="BI123" s="4">
        <v>0</v>
      </c>
      <c r="BJ123" s="4"/>
      <c r="BK123" s="6"/>
      <c r="BL123" s="6"/>
      <c r="BM123" s="6"/>
      <c r="BN123" s="6"/>
      <c r="BO123" s="6"/>
      <c r="BP123" s="6"/>
      <c r="BQ123" s="4"/>
      <c r="BR123" s="6"/>
      <c r="BS123" s="6"/>
      <c r="BV123" s="6"/>
      <c r="BW123" s="6"/>
      <c r="BX123" s="6"/>
      <c r="CA123" s="6"/>
      <c r="CB123" s="6"/>
      <c r="CE123" s="6"/>
      <c r="CF123" s="6"/>
      <c r="CI123" s="6"/>
    </row>
    <row r="124" spans="2:87" ht="13.5" customHeight="1">
      <c r="B124" s="1" t="s">
        <v>23</v>
      </c>
      <c r="C124" s="4">
        <v>6656</v>
      </c>
      <c r="D124" s="4">
        <v>1854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  <c r="L124" s="267">
        <v>0</v>
      </c>
      <c r="M124" s="267">
        <v>0</v>
      </c>
      <c r="N124" s="267">
        <v>0</v>
      </c>
      <c r="O124" s="4">
        <v>0</v>
      </c>
      <c r="P124" s="4">
        <v>0</v>
      </c>
      <c r="Q124" s="4">
        <v>3465.268</v>
      </c>
      <c r="R124" s="4">
        <v>0</v>
      </c>
      <c r="S124" s="6">
        <f t="shared" si="618"/>
        <v>0</v>
      </c>
      <c r="U124" s="4"/>
      <c r="V124" s="4"/>
      <c r="W124" s="4"/>
      <c r="X124" s="6">
        <f t="shared" si="619"/>
        <v>0</v>
      </c>
      <c r="Y124" s="4"/>
      <c r="Z124" s="4"/>
      <c r="AA124" s="4">
        <v>1308</v>
      </c>
      <c r="AB124" s="6">
        <f t="shared" si="620"/>
        <v>0</v>
      </c>
      <c r="AC124" s="4">
        <v>2275.8200000000002</v>
      </c>
      <c r="AD124" s="4">
        <v>0</v>
      </c>
      <c r="AE124" s="4">
        <v>0</v>
      </c>
      <c r="AF124" s="6">
        <f t="shared" si="621"/>
        <v>0</v>
      </c>
      <c r="AG124" s="4">
        <v>0</v>
      </c>
      <c r="AH124" s="4">
        <v>0</v>
      </c>
      <c r="AI124" s="4">
        <v>0</v>
      </c>
      <c r="AJ124" s="114">
        <f t="shared" si="622"/>
        <v>0</v>
      </c>
      <c r="AK124" s="4">
        <v>0</v>
      </c>
      <c r="AL124" s="4">
        <v>0</v>
      </c>
      <c r="AM124" s="4">
        <v>0</v>
      </c>
      <c r="AN124" s="114">
        <f t="shared" si="623"/>
        <v>0</v>
      </c>
      <c r="AO124" s="4">
        <v>0</v>
      </c>
      <c r="AP124" s="4">
        <v>0</v>
      </c>
      <c r="AQ124" s="4">
        <v>0</v>
      </c>
      <c r="AR124" s="274">
        <f t="shared" si="624"/>
        <v>0</v>
      </c>
      <c r="AS124" s="4"/>
      <c r="AT124" s="4"/>
      <c r="AU124" s="4"/>
      <c r="AV124" s="274">
        <f t="shared" si="625"/>
        <v>0</v>
      </c>
      <c r="AW124" s="4"/>
      <c r="AX124" s="4"/>
      <c r="AY124" s="4"/>
      <c r="AZ124" s="274">
        <f t="shared" si="626"/>
        <v>0</v>
      </c>
      <c r="BA124" s="4">
        <v>0</v>
      </c>
      <c r="BB124" s="4">
        <v>0</v>
      </c>
      <c r="BC124" s="4">
        <v>0</v>
      </c>
      <c r="BD124" s="274">
        <f t="shared" si="627"/>
        <v>3465.268</v>
      </c>
      <c r="BE124" s="4">
        <v>0</v>
      </c>
      <c r="BF124" s="4">
        <v>0</v>
      </c>
      <c r="BG124" s="4">
        <v>3676.5</v>
      </c>
      <c r="BH124" s="6">
        <f t="shared" si="628"/>
        <v>0</v>
      </c>
      <c r="BI124" s="4">
        <v>0</v>
      </c>
      <c r="BJ124" s="4"/>
      <c r="BK124" s="6"/>
      <c r="BL124" s="6"/>
      <c r="BM124" s="6"/>
      <c r="BN124" s="6"/>
      <c r="BO124" s="6"/>
      <c r="BP124" s="6"/>
      <c r="BQ124" s="4"/>
      <c r="BR124" s="6"/>
      <c r="BS124" s="6"/>
      <c r="BV124" s="6"/>
      <c r="BW124" s="6"/>
      <c r="BX124" s="6"/>
      <c r="CA124" s="6"/>
      <c r="CB124" s="6"/>
      <c r="CE124" s="6"/>
      <c r="CF124" s="6"/>
      <c r="CI124" s="6"/>
    </row>
    <row r="125" spans="2:87" ht="13.5" customHeight="1">
      <c r="B125" s="1" t="s">
        <v>26</v>
      </c>
      <c r="C125" s="4">
        <v>0</v>
      </c>
      <c r="D125" s="4">
        <v>0</v>
      </c>
      <c r="E125" s="4">
        <v>8000</v>
      </c>
      <c r="F125" s="4">
        <v>7979</v>
      </c>
      <c r="G125" s="4">
        <v>7829.6819999999998</v>
      </c>
      <c r="H125" s="4">
        <v>7829.6819999999998</v>
      </c>
      <c r="I125" s="4">
        <v>7706.3379999999997</v>
      </c>
      <c r="J125" s="4">
        <v>7706.3379999999997</v>
      </c>
      <c r="K125" s="4">
        <v>7706.3379999999997</v>
      </c>
      <c r="L125" s="267">
        <v>7706.3389999999999</v>
      </c>
      <c r="M125" s="267">
        <v>7706.3389999999999</v>
      </c>
      <c r="N125" s="267">
        <v>7706.3389999999999</v>
      </c>
      <c r="O125" s="4">
        <v>7706.3389999999999</v>
      </c>
      <c r="P125" s="4">
        <v>7706.3389999999999</v>
      </c>
      <c r="Q125" s="4">
        <v>7706.3389999999999</v>
      </c>
      <c r="R125" s="4">
        <v>7706.3389999999999</v>
      </c>
      <c r="S125" s="6">
        <f t="shared" si="618"/>
        <v>0</v>
      </c>
      <c r="U125" s="4"/>
      <c r="V125" s="4"/>
      <c r="W125" s="4"/>
      <c r="X125" s="6">
        <f t="shared" si="619"/>
        <v>8000</v>
      </c>
      <c r="Y125" s="4"/>
      <c r="Z125" s="4"/>
      <c r="AA125" s="4">
        <v>8000</v>
      </c>
      <c r="AB125" s="6">
        <f t="shared" si="620"/>
        <v>7979</v>
      </c>
      <c r="AC125" s="4">
        <v>8000</v>
      </c>
      <c r="AD125" s="4">
        <v>8000</v>
      </c>
      <c r="AE125" s="4">
        <v>8000</v>
      </c>
      <c r="AF125" s="6">
        <f t="shared" si="621"/>
        <v>7829.6819999999998</v>
      </c>
      <c r="AG125" s="4">
        <v>7829.6819999999998</v>
      </c>
      <c r="AH125" s="4">
        <v>7706.3389999999999</v>
      </c>
      <c r="AI125" s="4">
        <v>7706.3389999999999</v>
      </c>
      <c r="AJ125" s="114">
        <f t="shared" si="622"/>
        <v>7706.3379999999997</v>
      </c>
      <c r="AK125" s="4">
        <v>7706.3389999999999</v>
      </c>
      <c r="AL125" s="4">
        <v>7706.3389999999999</v>
      </c>
      <c r="AM125" s="4">
        <v>7706.3389999999999</v>
      </c>
      <c r="AN125" s="114">
        <f t="shared" si="623"/>
        <v>7706.3379999999997</v>
      </c>
      <c r="AO125" s="4">
        <v>7706.3389999999999</v>
      </c>
      <c r="AP125" s="4">
        <v>7706.3389999999999</v>
      </c>
      <c r="AQ125" s="4">
        <v>7706.3389999999999</v>
      </c>
      <c r="AR125" s="274">
        <f t="shared" si="624"/>
        <v>7706.3389999999999</v>
      </c>
      <c r="AS125" s="4">
        <v>7706.3389999999999</v>
      </c>
      <c r="AT125" s="4">
        <v>7706.3389999999999</v>
      </c>
      <c r="AU125" s="4">
        <v>7706.3389999999999</v>
      </c>
      <c r="AV125" s="274">
        <f t="shared" si="625"/>
        <v>7706.3389999999999</v>
      </c>
      <c r="AW125" s="4">
        <v>7706.3389999999999</v>
      </c>
      <c r="AX125" s="4">
        <v>7706.3389999999999</v>
      </c>
      <c r="AY125" s="4">
        <v>7706.3389999999999</v>
      </c>
      <c r="AZ125" s="274">
        <f t="shared" si="626"/>
        <v>7706.3389999999999</v>
      </c>
      <c r="BA125" s="4">
        <v>7706.3389999999999</v>
      </c>
      <c r="BB125" s="4">
        <v>7706.3389999999999</v>
      </c>
      <c r="BC125" s="4">
        <v>7706.3389999999999</v>
      </c>
      <c r="BD125" s="274">
        <f t="shared" si="627"/>
        <v>7706.3389999999999</v>
      </c>
      <c r="BE125" s="4">
        <v>7706.3389999999999</v>
      </c>
      <c r="BF125" s="4">
        <v>7706.3389999999999</v>
      </c>
      <c r="BG125" s="4">
        <v>7706.3389999999999</v>
      </c>
      <c r="BH125" s="6">
        <f t="shared" si="628"/>
        <v>7706.3389999999999</v>
      </c>
      <c r="BI125" s="4">
        <v>0</v>
      </c>
      <c r="BJ125" s="4"/>
      <c r="BK125" s="6"/>
      <c r="BL125" s="6"/>
      <c r="BM125" s="6"/>
      <c r="BN125" s="6"/>
      <c r="BO125" s="6"/>
      <c r="BP125" s="6"/>
      <c r="BQ125" s="4"/>
      <c r="BR125" s="6"/>
      <c r="BS125" s="6"/>
      <c r="BV125" s="6"/>
      <c r="BW125" s="6"/>
      <c r="BX125" s="6"/>
      <c r="CA125" s="6"/>
      <c r="CB125" s="6"/>
      <c r="CE125" s="6"/>
      <c r="CF125" s="6"/>
      <c r="CI125" s="6"/>
    </row>
    <row r="126" spans="2:87" ht="13.5" customHeight="1">
      <c r="B126" s="1" t="s">
        <v>27</v>
      </c>
      <c r="C126" s="4"/>
      <c r="D126" s="4"/>
      <c r="E126" s="4"/>
      <c r="F126" s="4"/>
      <c r="G126" s="4"/>
      <c r="H126" s="4"/>
      <c r="I126" s="4"/>
      <c r="J126" s="4"/>
      <c r="K126" s="4"/>
      <c r="L126" s="267"/>
      <c r="M126" s="267"/>
      <c r="N126" s="267"/>
      <c r="O126" s="4">
        <v>0</v>
      </c>
      <c r="P126" s="4">
        <v>3000</v>
      </c>
      <c r="Q126" s="4">
        <v>3000</v>
      </c>
      <c r="R126" s="4">
        <v>3000</v>
      </c>
      <c r="S126" s="6">
        <f t="shared" si="618"/>
        <v>3000</v>
      </c>
      <c r="U126" s="4"/>
      <c r="V126" s="4"/>
      <c r="W126" s="4"/>
      <c r="X126" s="6"/>
      <c r="Y126" s="4"/>
      <c r="Z126" s="4"/>
      <c r="AA126" s="4"/>
      <c r="AB126" s="6"/>
      <c r="AC126" s="4"/>
      <c r="AD126" s="4"/>
      <c r="AE126" s="4"/>
      <c r="AF126" s="6"/>
      <c r="AG126" s="4"/>
      <c r="AH126" s="4"/>
      <c r="AI126" s="4"/>
      <c r="AJ126" s="114"/>
      <c r="AK126" s="4"/>
      <c r="AL126" s="4"/>
      <c r="AM126" s="4"/>
      <c r="AN126" s="114"/>
      <c r="AO126" s="4"/>
      <c r="AP126" s="4"/>
      <c r="AQ126" s="4"/>
      <c r="AR126" s="274"/>
      <c r="AS126" s="4"/>
      <c r="AT126" s="4"/>
      <c r="AU126" s="4"/>
      <c r="AV126" s="274"/>
      <c r="AW126" s="4"/>
      <c r="AX126" s="4">
        <v>3000</v>
      </c>
      <c r="AY126" s="4">
        <v>3000</v>
      </c>
      <c r="AZ126" s="274">
        <f t="shared" si="626"/>
        <v>3000</v>
      </c>
      <c r="BA126" s="4">
        <v>3000</v>
      </c>
      <c r="BB126" s="4">
        <v>3000</v>
      </c>
      <c r="BC126" s="4">
        <v>3000</v>
      </c>
      <c r="BD126" s="274">
        <f t="shared" si="627"/>
        <v>3000</v>
      </c>
      <c r="BE126" s="4">
        <v>3000</v>
      </c>
      <c r="BF126" s="4">
        <v>3000</v>
      </c>
      <c r="BG126" s="4">
        <v>3000</v>
      </c>
      <c r="BH126" s="6">
        <f t="shared" si="628"/>
        <v>3000</v>
      </c>
      <c r="BI126" s="4">
        <v>3000</v>
      </c>
      <c r="BJ126" s="4"/>
      <c r="BK126" s="6"/>
      <c r="BL126" s="6"/>
      <c r="BM126" s="6"/>
      <c r="BN126" s="6"/>
      <c r="BO126" s="6"/>
      <c r="BP126" s="6"/>
      <c r="BQ126" s="4"/>
      <c r="BR126" s="6"/>
      <c r="BS126" s="6"/>
      <c r="BV126" s="6"/>
      <c r="BW126" s="6"/>
      <c r="BX126" s="6"/>
      <c r="CA126" s="6"/>
      <c r="CB126" s="6"/>
      <c r="CE126" s="6"/>
      <c r="CF126" s="6"/>
      <c r="CI126" s="6"/>
    </row>
    <row r="127" spans="2:87" ht="13.5" customHeight="1">
      <c r="B127" s="1" t="s">
        <v>28</v>
      </c>
      <c r="C127" s="4">
        <v>5000</v>
      </c>
      <c r="D127" s="4">
        <v>5000</v>
      </c>
      <c r="E127" s="4">
        <v>5000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267">
        <v>0</v>
      </c>
      <c r="M127" s="267">
        <v>0</v>
      </c>
      <c r="N127" s="267">
        <v>0</v>
      </c>
      <c r="O127" s="4">
        <v>0</v>
      </c>
      <c r="P127" s="4">
        <v>0</v>
      </c>
      <c r="Q127" s="4">
        <v>0</v>
      </c>
      <c r="R127" s="4">
        <v>0</v>
      </c>
      <c r="S127" s="6">
        <f t="shared" si="618"/>
        <v>0</v>
      </c>
      <c r="U127" s="4"/>
      <c r="V127" s="4"/>
      <c r="W127" s="4"/>
      <c r="X127" s="6">
        <f>+E127</f>
        <v>5000</v>
      </c>
      <c r="Y127" s="4"/>
      <c r="Z127" s="4"/>
      <c r="AA127" s="4">
        <v>5000</v>
      </c>
      <c r="AB127" s="6">
        <f>+F127</f>
        <v>0</v>
      </c>
      <c r="AC127" s="4">
        <v>0</v>
      </c>
      <c r="AD127" s="4">
        <v>0</v>
      </c>
      <c r="AE127" s="4">
        <v>0</v>
      </c>
      <c r="AF127" s="6">
        <f>G127</f>
        <v>0</v>
      </c>
      <c r="AG127" s="4">
        <v>0</v>
      </c>
      <c r="AH127" s="4">
        <v>0</v>
      </c>
      <c r="AI127" s="4">
        <v>0</v>
      </c>
      <c r="AJ127" s="114">
        <f>I127</f>
        <v>0</v>
      </c>
      <c r="AK127" s="4">
        <v>0</v>
      </c>
      <c r="AL127" s="4">
        <v>0</v>
      </c>
      <c r="AM127" s="4">
        <v>0</v>
      </c>
      <c r="AN127" s="114">
        <f>K127</f>
        <v>0</v>
      </c>
      <c r="AO127" s="4">
        <v>0</v>
      </c>
      <c r="AP127" s="4">
        <v>0</v>
      </c>
      <c r="AQ127" s="4">
        <v>0</v>
      </c>
      <c r="AR127" s="274">
        <f>M127</f>
        <v>0</v>
      </c>
      <c r="AS127" s="4"/>
      <c r="AT127" s="4"/>
      <c r="AU127" s="4"/>
      <c r="AV127" s="274">
        <f>N127</f>
        <v>0</v>
      </c>
      <c r="AW127" s="4"/>
      <c r="AX127" s="4"/>
      <c r="AY127" s="4"/>
      <c r="AZ127" s="274">
        <f t="shared" si="626"/>
        <v>0</v>
      </c>
      <c r="BA127" s="4">
        <v>0</v>
      </c>
      <c r="BB127" s="4">
        <v>0</v>
      </c>
      <c r="BC127" s="4">
        <v>0</v>
      </c>
      <c r="BD127" s="274">
        <f t="shared" si="627"/>
        <v>0</v>
      </c>
      <c r="BE127" s="4">
        <v>0</v>
      </c>
      <c r="BF127" s="4">
        <v>0</v>
      </c>
      <c r="BG127" s="4">
        <v>0</v>
      </c>
      <c r="BH127" s="6">
        <f t="shared" si="628"/>
        <v>0</v>
      </c>
      <c r="BI127" s="4">
        <v>0</v>
      </c>
      <c r="BJ127" s="4"/>
      <c r="BK127" s="6"/>
      <c r="BL127" s="6"/>
      <c r="BM127" s="6"/>
      <c r="BN127" s="6"/>
      <c r="BO127" s="6"/>
      <c r="BP127" s="6"/>
      <c r="BQ127" s="4"/>
      <c r="BR127" s="6"/>
      <c r="BS127" s="6"/>
      <c r="BV127" s="6"/>
      <c r="BW127" s="6"/>
      <c r="BX127" s="6"/>
      <c r="CA127" s="6"/>
      <c r="CB127" s="6"/>
      <c r="CE127" s="6"/>
      <c r="CF127" s="6"/>
      <c r="CI127" s="6"/>
    </row>
    <row r="128" spans="2:87" ht="13.5" customHeight="1">
      <c r="B128" s="1" t="s">
        <v>29</v>
      </c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>
        <v>0</v>
      </c>
      <c r="P128" s="4">
        <v>0</v>
      </c>
      <c r="Q128" s="4">
        <v>0</v>
      </c>
      <c r="R128" s="4">
        <v>2238</v>
      </c>
      <c r="S128" s="6">
        <f t="shared" si="618"/>
        <v>2238</v>
      </c>
      <c r="U128" s="4"/>
      <c r="V128" s="4"/>
      <c r="W128" s="4"/>
      <c r="X128" s="6"/>
      <c r="Y128" s="4"/>
      <c r="Z128" s="4"/>
      <c r="AA128" s="4"/>
      <c r="AB128" s="6"/>
      <c r="AC128" s="4"/>
      <c r="AD128" s="4"/>
      <c r="AE128" s="4"/>
      <c r="AF128" s="6"/>
      <c r="AG128" s="4"/>
      <c r="AH128" s="4"/>
      <c r="AI128" s="4"/>
      <c r="AJ128" s="114"/>
      <c r="AK128" s="4"/>
      <c r="AL128" s="4"/>
      <c r="AM128" s="4"/>
      <c r="AN128" s="114"/>
      <c r="AO128" s="4"/>
      <c r="AP128" s="4"/>
      <c r="AQ128" s="4"/>
      <c r="AR128" s="274"/>
      <c r="AS128" s="4"/>
      <c r="AT128" s="4"/>
      <c r="AU128" s="4"/>
      <c r="AV128" s="274"/>
      <c r="AW128" s="4"/>
      <c r="AX128" s="4"/>
      <c r="AY128" s="4"/>
      <c r="AZ128" s="274">
        <f t="shared" si="626"/>
        <v>0</v>
      </c>
      <c r="BA128" s="4">
        <v>0</v>
      </c>
      <c r="BB128" s="4">
        <v>0</v>
      </c>
      <c r="BC128" s="4">
        <v>0</v>
      </c>
      <c r="BD128" s="274">
        <f t="shared" si="627"/>
        <v>0</v>
      </c>
      <c r="BE128" s="4">
        <v>2238</v>
      </c>
      <c r="BF128" s="4">
        <v>2238</v>
      </c>
      <c r="BG128" s="4">
        <v>2238</v>
      </c>
      <c r="BH128" s="6">
        <f t="shared" si="628"/>
        <v>2238</v>
      </c>
      <c r="BI128" s="4">
        <v>2238</v>
      </c>
      <c r="BJ128" s="4"/>
      <c r="BK128" s="6"/>
      <c r="BL128" s="6"/>
      <c r="BM128" s="6"/>
      <c r="BN128" s="6"/>
      <c r="BO128" s="6"/>
      <c r="BP128" s="6"/>
      <c r="BQ128" s="4"/>
      <c r="BR128" s="6"/>
      <c r="BS128" s="6"/>
      <c r="BV128" s="6"/>
      <c r="BW128" s="6"/>
      <c r="BX128" s="6"/>
      <c r="CA128" s="6"/>
      <c r="CB128" s="6"/>
      <c r="CE128" s="6"/>
      <c r="CF128" s="6"/>
      <c r="CI128" s="6"/>
    </row>
    <row r="129" spans="2:87" ht="13.5" customHeight="1">
      <c r="B129" s="1" t="s">
        <v>30</v>
      </c>
      <c r="C129" s="4">
        <v>0</v>
      </c>
      <c r="D129" s="4">
        <v>0</v>
      </c>
      <c r="E129" s="4">
        <v>0</v>
      </c>
      <c r="F129" s="4">
        <v>9975.4169999999995</v>
      </c>
      <c r="G129" s="4">
        <v>9723.1020000000008</v>
      </c>
      <c r="H129" s="4">
        <v>9723.1020000000008</v>
      </c>
      <c r="I129" s="4">
        <v>9633.1020000000008</v>
      </c>
      <c r="J129" s="4">
        <v>9633.1020000000008</v>
      </c>
      <c r="K129" s="4">
        <v>9633.1020000000008</v>
      </c>
      <c r="L129" s="267">
        <v>9633.1020000000008</v>
      </c>
      <c r="M129" s="267">
        <v>9633.1020000000008</v>
      </c>
      <c r="N129" s="267">
        <v>9633.1020000000008</v>
      </c>
      <c r="O129" s="4">
        <v>9633.1020000000008</v>
      </c>
      <c r="P129" s="4">
        <v>9633.1020000000008</v>
      </c>
      <c r="Q129" s="4">
        <v>9633.1020000000008</v>
      </c>
      <c r="R129" s="4">
        <v>9633.1020000000008</v>
      </c>
      <c r="S129" s="6">
        <f t="shared" si="618"/>
        <v>9633.1020000000008</v>
      </c>
      <c r="U129" s="4"/>
      <c r="V129" s="4"/>
      <c r="W129" s="4"/>
      <c r="X129" s="6">
        <f>+E129</f>
        <v>0</v>
      </c>
      <c r="Y129" s="4"/>
      <c r="Z129" s="4"/>
      <c r="AA129" s="4">
        <v>0</v>
      </c>
      <c r="AB129" s="6">
        <f>+F129</f>
        <v>9975.4169999999995</v>
      </c>
      <c r="AC129" s="4">
        <v>10000</v>
      </c>
      <c r="AD129" s="4">
        <v>10000</v>
      </c>
      <c r="AE129" s="4">
        <v>10000</v>
      </c>
      <c r="AF129" s="6">
        <f>G129</f>
        <v>9723.1020000000008</v>
      </c>
      <c r="AG129" s="4">
        <v>9723.1020000000008</v>
      </c>
      <c r="AH129" s="4">
        <v>9633.1020000000008</v>
      </c>
      <c r="AI129" s="4">
        <v>9633.1020000000008</v>
      </c>
      <c r="AJ129" s="114">
        <f>I129</f>
        <v>9633.1020000000008</v>
      </c>
      <c r="AK129" s="4">
        <v>9633.1010000000006</v>
      </c>
      <c r="AL129" s="4">
        <v>9633.1020000000008</v>
      </c>
      <c r="AM129" s="4">
        <v>9633.1020000000008</v>
      </c>
      <c r="AN129" s="114">
        <f>K129</f>
        <v>9633.1020000000008</v>
      </c>
      <c r="AO129" s="4">
        <v>9633.1020000000008</v>
      </c>
      <c r="AP129" s="4">
        <v>9633.1020000000008</v>
      </c>
      <c r="AQ129" s="4">
        <v>9633.1020000000008</v>
      </c>
      <c r="AR129" s="274">
        <f>M129</f>
        <v>9633.1020000000008</v>
      </c>
      <c r="AS129" s="4">
        <v>9633.1020000000008</v>
      </c>
      <c r="AT129" s="4">
        <v>9633.1020000000008</v>
      </c>
      <c r="AU129" s="4">
        <v>9633.1020000000008</v>
      </c>
      <c r="AV129" s="274">
        <f>N129</f>
        <v>9633.1020000000008</v>
      </c>
      <c r="AW129" s="4">
        <v>9633.1020000000008</v>
      </c>
      <c r="AX129" s="4">
        <v>9633.1020000000008</v>
      </c>
      <c r="AY129" s="4">
        <v>9633.1020000000008</v>
      </c>
      <c r="AZ129" s="274">
        <f t="shared" si="626"/>
        <v>9633.1020000000008</v>
      </c>
      <c r="BA129" s="4">
        <v>9633.1020000000008</v>
      </c>
      <c r="BB129" s="4">
        <v>9633.1020000000008</v>
      </c>
      <c r="BC129" s="4">
        <v>9633.1020000000008</v>
      </c>
      <c r="BD129" s="274">
        <f t="shared" si="627"/>
        <v>9633.1020000000008</v>
      </c>
      <c r="BE129" s="4">
        <v>9633.1020000000008</v>
      </c>
      <c r="BF129" s="4">
        <v>9633.1020000000008</v>
      </c>
      <c r="BG129" s="4">
        <v>9633.1020000000008</v>
      </c>
      <c r="BH129" s="6">
        <f t="shared" si="628"/>
        <v>9633.1020000000008</v>
      </c>
      <c r="BI129" s="4">
        <v>9633.1020000000008</v>
      </c>
      <c r="BJ129" s="4"/>
      <c r="BK129" s="6"/>
      <c r="BL129" s="6"/>
      <c r="BM129" s="6"/>
      <c r="BN129" s="6"/>
      <c r="BO129" s="6"/>
      <c r="BP129" s="6"/>
      <c r="BQ129" s="4"/>
      <c r="BR129" s="6"/>
      <c r="BS129" s="6"/>
      <c r="BV129" s="6"/>
      <c r="BW129" s="6"/>
      <c r="BX129" s="6"/>
      <c r="CA129" s="6"/>
      <c r="CB129" s="6"/>
      <c r="CE129" s="6"/>
      <c r="CF129" s="6"/>
      <c r="CI129" s="6"/>
    </row>
    <row r="130" spans="2:87" ht="13.5" customHeight="1">
      <c r="B130" s="1" t="s">
        <v>31</v>
      </c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>
        <v>0</v>
      </c>
      <c r="P130" s="4">
        <v>0</v>
      </c>
      <c r="Q130" s="4">
        <v>0</v>
      </c>
      <c r="R130" s="4">
        <v>12762</v>
      </c>
      <c r="S130" s="6">
        <f t="shared" si="618"/>
        <v>12762</v>
      </c>
      <c r="U130" s="4"/>
      <c r="V130" s="4"/>
      <c r="W130" s="4"/>
      <c r="X130" s="6"/>
      <c r="Y130" s="4"/>
      <c r="Z130" s="4"/>
      <c r="AA130" s="4"/>
      <c r="AB130" s="6"/>
      <c r="AC130" s="4"/>
      <c r="AD130" s="4"/>
      <c r="AE130" s="4"/>
      <c r="AF130" s="6"/>
      <c r="AG130" s="4"/>
      <c r="AH130" s="4"/>
      <c r="AI130" s="4"/>
      <c r="AJ130" s="114"/>
      <c r="AK130" s="4"/>
      <c r="AL130" s="4"/>
      <c r="AM130" s="4"/>
      <c r="AN130" s="114"/>
      <c r="AO130" s="4"/>
      <c r="AP130" s="4"/>
      <c r="AQ130" s="4"/>
      <c r="AR130" s="274"/>
      <c r="AS130" s="4"/>
      <c r="AT130" s="4"/>
      <c r="AU130" s="4"/>
      <c r="AV130" s="274"/>
      <c r="AW130" s="4"/>
      <c r="AX130" s="4"/>
      <c r="AY130" s="4"/>
      <c r="AZ130" s="274">
        <f t="shared" si="626"/>
        <v>0</v>
      </c>
      <c r="BA130" s="4">
        <v>0</v>
      </c>
      <c r="BB130" s="4">
        <v>0</v>
      </c>
      <c r="BC130" s="4">
        <v>0</v>
      </c>
      <c r="BD130" s="274">
        <f t="shared" si="627"/>
        <v>0</v>
      </c>
      <c r="BE130" s="4">
        <v>12762</v>
      </c>
      <c r="BF130" s="4">
        <v>12762</v>
      </c>
      <c r="BG130" s="4">
        <v>12762</v>
      </c>
      <c r="BH130" s="6">
        <f t="shared" si="628"/>
        <v>12762</v>
      </c>
      <c r="BI130" s="4">
        <v>12762</v>
      </c>
      <c r="BJ130" s="4"/>
      <c r="BK130" s="6"/>
      <c r="BL130" s="6"/>
      <c r="BM130" s="6"/>
      <c r="BN130" s="6"/>
      <c r="BO130" s="6"/>
      <c r="BP130" s="6"/>
      <c r="BQ130" s="4"/>
      <c r="BR130" s="6"/>
      <c r="BS130" s="6"/>
      <c r="BV130" s="6"/>
      <c r="BW130" s="6"/>
      <c r="BX130" s="6"/>
      <c r="CA130" s="6"/>
      <c r="CB130" s="6"/>
      <c r="CE130" s="6"/>
      <c r="CF130" s="6"/>
      <c r="CI130" s="6"/>
    </row>
    <row r="131" spans="2:87" ht="13.5" customHeight="1">
      <c r="B131" s="1" t="s">
        <v>32</v>
      </c>
      <c r="C131" s="4"/>
      <c r="D131" s="4"/>
      <c r="E131" s="4"/>
      <c r="F131" s="4"/>
      <c r="G131" s="4"/>
      <c r="H131" s="4"/>
      <c r="I131" s="4"/>
      <c r="J131" s="4"/>
      <c r="K131" s="4"/>
      <c r="L131" s="267"/>
      <c r="M131" s="267"/>
      <c r="N131" s="267"/>
      <c r="O131" s="4">
        <v>0</v>
      </c>
      <c r="P131" s="4">
        <v>12000</v>
      </c>
      <c r="Q131" s="4">
        <v>12000</v>
      </c>
      <c r="R131" s="4">
        <v>12000</v>
      </c>
      <c r="S131" s="6">
        <f t="shared" si="618"/>
        <v>12000</v>
      </c>
      <c r="U131" s="4"/>
      <c r="V131" s="4"/>
      <c r="W131" s="4"/>
      <c r="X131" s="6"/>
      <c r="Y131" s="4"/>
      <c r="Z131" s="4"/>
      <c r="AA131" s="4"/>
      <c r="AB131" s="6"/>
      <c r="AC131" s="4"/>
      <c r="AD131" s="4"/>
      <c r="AE131" s="4"/>
      <c r="AF131" s="6"/>
      <c r="AG131" s="4"/>
      <c r="AH131" s="4"/>
      <c r="AI131" s="4"/>
      <c r="AJ131" s="114"/>
      <c r="AK131" s="4"/>
      <c r="AL131" s="4"/>
      <c r="AM131" s="4"/>
      <c r="AN131" s="114"/>
      <c r="AO131" s="4"/>
      <c r="AP131" s="4"/>
      <c r="AQ131" s="4"/>
      <c r="AR131" s="274"/>
      <c r="AS131" s="4"/>
      <c r="AT131" s="4"/>
      <c r="AU131" s="4"/>
      <c r="AV131" s="274"/>
      <c r="AW131" s="4"/>
      <c r="AX131" s="4">
        <v>12000</v>
      </c>
      <c r="AY131" s="4">
        <v>12000</v>
      </c>
      <c r="AZ131" s="274">
        <f t="shared" si="626"/>
        <v>12000</v>
      </c>
      <c r="BA131" s="4">
        <v>12000</v>
      </c>
      <c r="BB131" s="4">
        <v>12000</v>
      </c>
      <c r="BC131" s="4">
        <v>12000</v>
      </c>
      <c r="BD131" s="274">
        <f t="shared" si="627"/>
        <v>12000</v>
      </c>
      <c r="BE131" s="4">
        <v>12000</v>
      </c>
      <c r="BF131" s="4">
        <v>12000</v>
      </c>
      <c r="BG131" s="4">
        <f>12000</f>
        <v>12000</v>
      </c>
      <c r="BH131" s="6">
        <f t="shared" si="628"/>
        <v>12000</v>
      </c>
      <c r="BI131" s="4">
        <v>12000</v>
      </c>
      <c r="BJ131" s="4"/>
      <c r="BK131" s="6"/>
      <c r="BL131" s="6"/>
      <c r="BM131" s="6"/>
      <c r="BN131" s="6"/>
      <c r="BO131" s="6"/>
      <c r="BP131" s="6"/>
      <c r="BQ131" s="4"/>
      <c r="BR131" s="6"/>
      <c r="BS131" s="6"/>
      <c r="BV131" s="6"/>
      <c r="BW131" s="6"/>
      <c r="BX131" s="6"/>
      <c r="CA131" s="6"/>
      <c r="CB131" s="6"/>
      <c r="CE131" s="6"/>
      <c r="CF131" s="6"/>
      <c r="CI131" s="6"/>
    </row>
    <row r="132" spans="2:87" ht="13.5" customHeight="1">
      <c r="B132" s="1" t="s">
        <v>33</v>
      </c>
      <c r="C132" s="4">
        <v>0</v>
      </c>
      <c r="D132" s="4">
        <v>0</v>
      </c>
      <c r="E132" s="4">
        <v>0</v>
      </c>
      <c r="F132" s="4">
        <v>12757.050999999999</v>
      </c>
      <c r="G132" s="4">
        <v>12793.885</v>
      </c>
      <c r="H132" s="4">
        <v>12793.885</v>
      </c>
      <c r="I132" s="4">
        <v>12249.38</v>
      </c>
      <c r="J132" s="4">
        <v>12249.38</v>
      </c>
      <c r="K132" s="4">
        <v>12966.655000000001</v>
      </c>
      <c r="L132" s="267">
        <v>13379.275</v>
      </c>
      <c r="M132" s="267">
        <v>13379.275</v>
      </c>
      <c r="N132" s="267">
        <v>12584.975</v>
      </c>
      <c r="O132" s="4">
        <v>12584.975</v>
      </c>
      <c r="P132" s="4">
        <v>10980.775</v>
      </c>
      <c r="Q132" s="4">
        <v>13174.395</v>
      </c>
      <c r="R132" s="4">
        <v>11678.355</v>
      </c>
      <c r="S132" s="6">
        <f t="shared" si="618"/>
        <v>11743.355</v>
      </c>
      <c r="U132" s="4"/>
      <c r="V132" s="4"/>
      <c r="W132" s="4"/>
      <c r="X132" s="6">
        <f>+E132</f>
        <v>0</v>
      </c>
      <c r="Y132" s="4"/>
      <c r="Z132" s="4"/>
      <c r="AA132" s="4">
        <v>0</v>
      </c>
      <c r="AB132" s="6">
        <f>+F132</f>
        <v>12757.050999999999</v>
      </c>
      <c r="AC132" s="4">
        <v>11923.924999999999</v>
      </c>
      <c r="AD132" s="4">
        <v>12911.145</v>
      </c>
      <c r="AE132" s="4">
        <v>12227.8</v>
      </c>
      <c r="AF132" s="6">
        <f>G132</f>
        <v>12793.885</v>
      </c>
      <c r="AG132" s="4">
        <v>12596.545</v>
      </c>
      <c r="AH132" s="4">
        <v>12459.525</v>
      </c>
      <c r="AI132" s="4">
        <v>12763.594999999999</v>
      </c>
      <c r="AJ132" s="114">
        <f>I132</f>
        <v>12249.38</v>
      </c>
      <c r="AK132" s="4">
        <v>15282.93</v>
      </c>
      <c r="AL132" s="4">
        <v>14931.475</v>
      </c>
      <c r="AM132" s="4">
        <v>14597.245000000001</v>
      </c>
      <c r="AN132" s="114">
        <f>K132</f>
        <v>12966.655000000001</v>
      </c>
      <c r="AO132" s="4">
        <v>13393.055</v>
      </c>
      <c r="AP132" s="4">
        <v>12871.754999999999</v>
      </c>
      <c r="AQ132" s="4">
        <v>13198.9</v>
      </c>
      <c r="AR132" s="274">
        <f>M132</f>
        <v>13379.275</v>
      </c>
      <c r="AS132" s="4">
        <v>12996.23</v>
      </c>
      <c r="AT132" s="4">
        <v>12990.055</v>
      </c>
      <c r="AU132" s="4">
        <v>13198.77</v>
      </c>
      <c r="AV132" s="274">
        <f>N132</f>
        <v>12584.975</v>
      </c>
      <c r="AW132" s="4">
        <v>11768.379000000001</v>
      </c>
      <c r="AX132" s="4">
        <v>11096.8</v>
      </c>
      <c r="AY132" s="4">
        <v>11452.674999999999</v>
      </c>
      <c r="AZ132" s="274">
        <f t="shared" si="626"/>
        <v>10980.775</v>
      </c>
      <c r="BA132" s="4">
        <v>10840.7</v>
      </c>
      <c r="BB132" s="4">
        <v>11945.245000000001</v>
      </c>
      <c r="BC132" s="4">
        <v>12758.85</v>
      </c>
      <c r="BD132" s="274">
        <f t="shared" si="627"/>
        <v>13174.395</v>
      </c>
      <c r="BE132" s="4">
        <v>13206.83</v>
      </c>
      <c r="BF132" s="4">
        <v>12280.32</v>
      </c>
      <c r="BG132" s="4">
        <v>11948.625</v>
      </c>
      <c r="BH132" s="6">
        <f t="shared" si="628"/>
        <v>11678.355</v>
      </c>
      <c r="BI132" s="4">
        <v>11743.355</v>
      </c>
      <c r="BJ132" s="4"/>
      <c r="BK132" s="6"/>
      <c r="BL132" s="6"/>
      <c r="BM132" s="6"/>
      <c r="BN132" s="6"/>
      <c r="BO132" s="6"/>
      <c r="BP132" s="6"/>
      <c r="BQ132" s="4"/>
      <c r="BR132" s="6"/>
      <c r="BS132" s="6"/>
      <c r="BV132" s="6"/>
      <c r="BW132" s="6"/>
      <c r="BX132" s="6"/>
      <c r="CA132" s="6"/>
      <c r="CB132" s="6"/>
      <c r="CE132" s="6"/>
      <c r="CF132" s="6"/>
      <c r="CI132" s="6"/>
    </row>
    <row r="133" spans="2:87" ht="13.5" customHeight="1">
      <c r="B133" s="1" t="s">
        <v>34</v>
      </c>
      <c r="C133" s="4"/>
      <c r="D133" s="4"/>
      <c r="E133" s="4"/>
      <c r="F133" s="4"/>
      <c r="G133" s="4"/>
      <c r="H133" s="4"/>
      <c r="I133" s="4">
        <v>11307.12</v>
      </c>
      <c r="J133" s="4">
        <v>11307.12</v>
      </c>
      <c r="K133" s="4">
        <v>11897.405000000001</v>
      </c>
      <c r="L133" s="267">
        <v>12245.124</v>
      </c>
      <c r="M133" s="267">
        <v>12245.124</v>
      </c>
      <c r="N133" s="267">
        <v>10842.73</v>
      </c>
      <c r="O133" s="4">
        <v>10842.73</v>
      </c>
      <c r="P133" s="4">
        <v>9460.6129999999994</v>
      </c>
      <c r="Q133" s="4">
        <v>11350.552</v>
      </c>
      <c r="R133" s="4">
        <v>10061.621999999999</v>
      </c>
      <c r="S133" s="6">
        <f t="shared" si="618"/>
        <v>10117.623</v>
      </c>
      <c r="U133" s="4"/>
      <c r="V133" s="4"/>
      <c r="W133" s="4"/>
      <c r="X133" s="6"/>
      <c r="Y133" s="4"/>
      <c r="Z133" s="4"/>
      <c r="AA133" s="4"/>
      <c r="AB133" s="6"/>
      <c r="AC133" s="4"/>
      <c r="AD133" s="4"/>
      <c r="AE133" s="4"/>
      <c r="AF133" s="6"/>
      <c r="AG133" s="4"/>
      <c r="AH133" s="4"/>
      <c r="AI133" s="4">
        <v>11781.78</v>
      </c>
      <c r="AJ133" s="114">
        <f>I133</f>
        <v>11307.12</v>
      </c>
      <c r="AK133" s="4">
        <v>14107.32</v>
      </c>
      <c r="AL133" s="4">
        <v>13700.203</v>
      </c>
      <c r="AM133" s="4">
        <v>13393.534</v>
      </c>
      <c r="AN133" s="114">
        <f>K133</f>
        <v>11897.405000000001</v>
      </c>
      <c r="AO133" s="4">
        <v>12257.736000000001</v>
      </c>
      <c r="AP133" s="4">
        <v>11780.626</v>
      </c>
      <c r="AQ133" s="4">
        <v>12080.039000000001</v>
      </c>
      <c r="AR133" s="274">
        <f>M133</f>
        <v>12245.124</v>
      </c>
      <c r="AS133" s="4">
        <v>11894.55</v>
      </c>
      <c r="AT133" s="4">
        <v>11291.665000000001</v>
      </c>
      <c r="AU133" s="4">
        <v>11412.164000000001</v>
      </c>
      <c r="AV133" s="274">
        <f>N133</f>
        <v>10842.73</v>
      </c>
      <c r="AW133" s="4">
        <v>10139.183999999999</v>
      </c>
      <c r="AX133" s="4">
        <v>9560.5759999999991</v>
      </c>
      <c r="AY133" s="4">
        <v>9867.1839999999993</v>
      </c>
      <c r="AZ133" s="274">
        <f t="shared" si="626"/>
        <v>9460.6129999999994</v>
      </c>
      <c r="BA133" s="4">
        <v>9339.93</v>
      </c>
      <c r="BB133" s="4">
        <v>10291.564</v>
      </c>
      <c r="BC133" s="4">
        <v>10992.534</v>
      </c>
      <c r="BD133" s="274">
        <f t="shared" si="627"/>
        <v>11350.552</v>
      </c>
      <c r="BE133" s="4">
        <v>11378.496999999999</v>
      </c>
      <c r="BF133" s="4">
        <v>10580.251</v>
      </c>
      <c r="BG133" s="4">
        <v>10294.476000000001</v>
      </c>
      <c r="BH133" s="6">
        <f t="shared" si="628"/>
        <v>10061.621999999999</v>
      </c>
      <c r="BI133" s="4">
        <v>10117.623</v>
      </c>
      <c r="BJ133" s="4"/>
      <c r="BK133" s="6"/>
      <c r="BL133" s="6"/>
      <c r="BM133" s="6"/>
      <c r="BN133" s="6"/>
      <c r="BO133" s="6"/>
      <c r="BP133" s="6"/>
      <c r="BQ133" s="4"/>
      <c r="BR133" s="6"/>
      <c r="BS133" s="6"/>
      <c r="BV133" s="6"/>
      <c r="BW133" s="6"/>
      <c r="BX133" s="6"/>
      <c r="CA133" s="6"/>
      <c r="CB133" s="6"/>
      <c r="CE133" s="6"/>
      <c r="CF133" s="6"/>
      <c r="CI133" s="6"/>
    </row>
    <row r="134" spans="2:87" ht="13.5" customHeight="1">
      <c r="B134" s="1" t="s">
        <v>35</v>
      </c>
      <c r="C134" s="4"/>
      <c r="D134" s="4"/>
      <c r="E134" s="4"/>
      <c r="F134" s="4"/>
      <c r="G134" s="4"/>
      <c r="H134" s="4"/>
      <c r="I134" s="4"/>
      <c r="J134" s="4"/>
      <c r="K134" s="4"/>
      <c r="L134" s="267"/>
      <c r="M134" s="267"/>
      <c r="N134" s="267"/>
      <c r="O134" s="4">
        <v>0</v>
      </c>
      <c r="P134" s="4">
        <v>0</v>
      </c>
      <c r="Q134" s="4">
        <v>0</v>
      </c>
      <c r="R134" s="4">
        <v>0</v>
      </c>
      <c r="S134" s="6">
        <f t="shared" si="618"/>
        <v>7866.625</v>
      </c>
      <c r="U134" s="4"/>
      <c r="V134" s="4"/>
      <c r="W134" s="4"/>
      <c r="X134" s="6"/>
      <c r="Y134" s="4"/>
      <c r="Z134" s="4"/>
      <c r="AA134" s="4"/>
      <c r="AB134" s="6"/>
      <c r="AC134" s="4"/>
      <c r="AD134" s="4"/>
      <c r="AE134" s="4"/>
      <c r="AF134" s="6"/>
      <c r="AG134" s="4"/>
      <c r="AH134" s="4"/>
      <c r="AI134" s="4"/>
      <c r="AJ134" s="114"/>
      <c r="AK134" s="4"/>
      <c r="AL134" s="4"/>
      <c r="AM134" s="4"/>
      <c r="AN134" s="114"/>
      <c r="AO134" s="4"/>
      <c r="AP134" s="4"/>
      <c r="AQ134" s="4"/>
      <c r="AR134" s="274"/>
      <c r="AS134" s="4"/>
      <c r="AT134" s="4"/>
      <c r="AU134" s="4"/>
      <c r="AV134" s="274"/>
      <c r="AW134" s="4"/>
      <c r="AX134" s="4"/>
      <c r="AY134" s="4"/>
      <c r="AZ134" s="274"/>
      <c r="BA134" s="4">
        <v>0</v>
      </c>
      <c r="BB134" s="4">
        <v>0</v>
      </c>
      <c r="BC134" s="4">
        <v>0</v>
      </c>
      <c r="BD134" s="274">
        <f t="shared" si="627"/>
        <v>0</v>
      </c>
      <c r="BE134" s="4">
        <v>0</v>
      </c>
      <c r="BF134" s="4">
        <v>0</v>
      </c>
      <c r="BG134" s="4">
        <v>0</v>
      </c>
      <c r="BH134" s="6">
        <f t="shared" si="628"/>
        <v>0</v>
      </c>
      <c r="BI134" s="4">
        <v>7866.625</v>
      </c>
      <c r="BJ134" s="4"/>
      <c r="BK134" s="6"/>
      <c r="BL134" s="6"/>
      <c r="BM134" s="6"/>
      <c r="BN134" s="6"/>
      <c r="BO134" s="6"/>
      <c r="BP134" s="6"/>
      <c r="BQ134" s="4"/>
      <c r="BR134" s="6"/>
      <c r="BS134" s="6"/>
      <c r="BV134" s="6"/>
      <c r="BW134" s="6"/>
      <c r="BX134" s="6"/>
      <c r="CA134" s="6"/>
      <c r="CB134" s="6"/>
      <c r="CE134" s="6"/>
      <c r="CF134" s="6"/>
      <c r="CI134" s="6"/>
    </row>
    <row r="135" spans="2:87" ht="13.5" customHeight="1">
      <c r="B135" s="91" t="s">
        <v>36</v>
      </c>
      <c r="C135" s="4"/>
      <c r="D135" s="4"/>
      <c r="E135" s="4"/>
      <c r="F135" s="4"/>
      <c r="G135" s="4"/>
      <c r="H135" s="4"/>
      <c r="I135" s="4"/>
      <c r="J135" s="4"/>
      <c r="K135" s="4"/>
      <c r="L135" s="267"/>
      <c r="M135" s="267"/>
      <c r="N135" s="267"/>
      <c r="O135" s="4">
        <v>0</v>
      </c>
      <c r="P135" s="4">
        <v>0</v>
      </c>
      <c r="Q135" s="4">
        <v>0</v>
      </c>
      <c r="R135" s="4">
        <v>0</v>
      </c>
      <c r="S135" s="6">
        <f t="shared" si="618"/>
        <v>4133.375</v>
      </c>
      <c r="U135" s="4"/>
      <c r="V135" s="4"/>
      <c r="W135" s="4"/>
      <c r="X135" s="6"/>
      <c r="Y135" s="4"/>
      <c r="Z135" s="4"/>
      <c r="AA135" s="4"/>
      <c r="AB135" s="6"/>
      <c r="AC135" s="4"/>
      <c r="AD135" s="4"/>
      <c r="AE135" s="4"/>
      <c r="AF135" s="6"/>
      <c r="AG135" s="4"/>
      <c r="AH135" s="4"/>
      <c r="AI135" s="4"/>
      <c r="AJ135" s="114"/>
      <c r="AK135" s="4"/>
      <c r="AL135" s="4"/>
      <c r="AM135" s="4"/>
      <c r="AN135" s="114"/>
      <c r="AO135" s="4"/>
      <c r="AP135" s="4"/>
      <c r="AQ135" s="4"/>
      <c r="AR135" s="274"/>
      <c r="AS135" s="4"/>
      <c r="AT135" s="4"/>
      <c r="AU135" s="4"/>
      <c r="AV135" s="274"/>
      <c r="AW135" s="4"/>
      <c r="AX135" s="4"/>
      <c r="AY135" s="4"/>
      <c r="AZ135" s="274"/>
      <c r="BA135" s="4">
        <v>0</v>
      </c>
      <c r="BB135" s="4">
        <v>0</v>
      </c>
      <c r="BC135" s="4">
        <v>0</v>
      </c>
      <c r="BD135" s="274">
        <f t="shared" si="627"/>
        <v>0</v>
      </c>
      <c r="BE135" s="4">
        <v>0</v>
      </c>
      <c r="BF135" s="4">
        <v>0</v>
      </c>
      <c r="BG135" s="4">
        <v>0</v>
      </c>
      <c r="BH135" s="6">
        <f t="shared" si="628"/>
        <v>0</v>
      </c>
      <c r="BI135" s="4">
        <v>4133.375</v>
      </c>
      <c r="BJ135" s="4"/>
      <c r="BK135" s="6"/>
      <c r="BL135" s="6"/>
      <c r="BM135" s="6"/>
      <c r="BN135" s="6"/>
      <c r="BO135" s="6"/>
      <c r="BP135" s="6"/>
      <c r="BQ135" s="4"/>
      <c r="BR135" s="6"/>
      <c r="BS135" s="6"/>
      <c r="BV135" s="6"/>
      <c r="BW135" s="6"/>
      <c r="BX135" s="6"/>
      <c r="CA135" s="6"/>
      <c r="CB135" s="6"/>
      <c r="CE135" s="6"/>
      <c r="CF135" s="6"/>
      <c r="CI135" s="6"/>
    </row>
    <row r="136" spans="2:87" ht="13.5" customHeight="1">
      <c r="B136" s="1" t="s">
        <v>37</v>
      </c>
      <c r="C136" s="4"/>
      <c r="D136" s="4"/>
      <c r="E136" s="4"/>
      <c r="F136" s="4"/>
      <c r="G136" s="4"/>
      <c r="H136" s="4"/>
      <c r="I136" s="4"/>
      <c r="J136" s="4"/>
      <c r="K136" s="4"/>
      <c r="L136" s="267"/>
      <c r="M136" s="267"/>
      <c r="N136" s="267"/>
      <c r="O136" s="4">
        <v>0</v>
      </c>
      <c r="P136" s="4">
        <v>0</v>
      </c>
      <c r="Q136" s="4">
        <v>0</v>
      </c>
      <c r="R136" s="4">
        <v>0</v>
      </c>
      <c r="S136" s="6">
        <f t="shared" si="618"/>
        <v>0</v>
      </c>
      <c r="U136" s="4"/>
      <c r="V136" s="4"/>
      <c r="W136" s="4"/>
      <c r="X136" s="6"/>
      <c r="Y136" s="4"/>
      <c r="Z136" s="4"/>
      <c r="AA136" s="4"/>
      <c r="AB136" s="6"/>
      <c r="AC136" s="4"/>
      <c r="AD136" s="4"/>
      <c r="AE136" s="4"/>
      <c r="AF136" s="6"/>
      <c r="AG136" s="4"/>
      <c r="AH136" s="4"/>
      <c r="AI136" s="4"/>
      <c r="AJ136" s="114"/>
      <c r="AK136" s="4"/>
      <c r="AL136" s="4"/>
      <c r="AM136" s="4"/>
      <c r="AN136" s="114"/>
      <c r="AO136" s="4"/>
      <c r="AP136" s="4"/>
      <c r="AQ136" s="4"/>
      <c r="AR136" s="274"/>
      <c r="AS136" s="4"/>
      <c r="AT136" s="4"/>
      <c r="AU136" s="4"/>
      <c r="AV136" s="274"/>
      <c r="AW136" s="4"/>
      <c r="AX136" s="4"/>
      <c r="AY136" s="4"/>
      <c r="AZ136" s="274"/>
      <c r="BA136" s="4">
        <v>0</v>
      </c>
      <c r="BB136" s="4">
        <v>0</v>
      </c>
      <c r="BC136" s="4">
        <v>0</v>
      </c>
      <c r="BD136" s="274">
        <f t="shared" si="627"/>
        <v>0</v>
      </c>
      <c r="BE136" s="4">
        <v>0</v>
      </c>
      <c r="BF136" s="4">
        <v>3319.9349999999999</v>
      </c>
      <c r="BG136" s="4">
        <v>0</v>
      </c>
      <c r="BH136" s="6">
        <f t="shared" si="628"/>
        <v>0</v>
      </c>
      <c r="BI136" s="4">
        <v>0</v>
      </c>
      <c r="BJ136" s="4"/>
      <c r="BK136" s="6"/>
      <c r="BL136" s="6"/>
      <c r="BM136" s="6"/>
      <c r="BN136" s="6"/>
      <c r="BO136" s="6"/>
      <c r="BP136" s="6"/>
      <c r="BQ136" s="4"/>
      <c r="BR136" s="6"/>
      <c r="BS136" s="6"/>
      <c r="BV136" s="6"/>
      <c r="BW136" s="6"/>
      <c r="BX136" s="6"/>
      <c r="CA136" s="6"/>
      <c r="CB136" s="6"/>
      <c r="CE136" s="6"/>
      <c r="CF136" s="6"/>
      <c r="CI136" s="6"/>
    </row>
    <row r="137" spans="2:87" ht="13.5" customHeight="1">
      <c r="B137" s="91" t="s">
        <v>38</v>
      </c>
      <c r="C137" s="4">
        <v>2000</v>
      </c>
      <c r="D137" s="4">
        <v>2000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267">
        <v>0</v>
      </c>
      <c r="M137" s="267">
        <v>0</v>
      </c>
      <c r="N137" s="267">
        <v>0</v>
      </c>
      <c r="O137" s="4">
        <v>0</v>
      </c>
      <c r="P137" s="4">
        <v>0</v>
      </c>
      <c r="Q137" s="4">
        <v>0</v>
      </c>
      <c r="R137" s="4">
        <v>0</v>
      </c>
      <c r="S137" s="6">
        <f t="shared" si="618"/>
        <v>0</v>
      </c>
      <c r="U137" s="4"/>
      <c r="V137" s="4"/>
      <c r="W137" s="4"/>
      <c r="X137" s="6">
        <f>+E137</f>
        <v>0</v>
      </c>
      <c r="Y137" s="4"/>
      <c r="Z137" s="4"/>
      <c r="AA137" s="4">
        <v>0</v>
      </c>
      <c r="AB137" s="6">
        <f>+F137</f>
        <v>0</v>
      </c>
      <c r="AC137" s="4">
        <v>0</v>
      </c>
      <c r="AD137" s="4">
        <v>0</v>
      </c>
      <c r="AE137" s="4">
        <v>0</v>
      </c>
      <c r="AF137" s="6">
        <f>G137</f>
        <v>0</v>
      </c>
      <c r="AG137" s="4">
        <v>0</v>
      </c>
      <c r="AH137" s="4">
        <v>0</v>
      </c>
      <c r="AI137" s="4">
        <v>0</v>
      </c>
      <c r="AJ137" s="114">
        <f>I137</f>
        <v>0</v>
      </c>
      <c r="AK137" s="4">
        <v>0</v>
      </c>
      <c r="AL137" s="4">
        <v>0</v>
      </c>
      <c r="AM137" s="4">
        <v>0</v>
      </c>
      <c r="AN137" s="114">
        <f>K137</f>
        <v>0</v>
      </c>
      <c r="AO137" s="4">
        <v>0</v>
      </c>
      <c r="AP137" s="4">
        <v>0</v>
      </c>
      <c r="AQ137" s="4">
        <v>0</v>
      </c>
      <c r="AR137" s="274">
        <f>M137</f>
        <v>0</v>
      </c>
      <c r="AS137" s="4"/>
      <c r="AT137" s="4"/>
      <c r="AU137" s="4"/>
      <c r="AV137" s="274">
        <f>N137</f>
        <v>0</v>
      </c>
      <c r="AW137" s="4"/>
      <c r="AX137" s="4"/>
      <c r="AY137" s="4"/>
      <c r="AZ137" s="274">
        <f t="shared" si="626"/>
        <v>0</v>
      </c>
      <c r="BA137" s="4">
        <v>0</v>
      </c>
      <c r="BB137" s="4">
        <v>0</v>
      </c>
      <c r="BC137" s="4">
        <v>0</v>
      </c>
      <c r="BD137" s="274">
        <f t="shared" si="627"/>
        <v>0</v>
      </c>
      <c r="BE137" s="4">
        <v>0</v>
      </c>
      <c r="BF137" s="4">
        <v>0</v>
      </c>
      <c r="BG137" s="4">
        <v>0</v>
      </c>
      <c r="BH137" s="6">
        <f t="shared" si="628"/>
        <v>0</v>
      </c>
      <c r="BI137" s="4">
        <v>0</v>
      </c>
      <c r="BJ137" s="4"/>
      <c r="BK137" s="6"/>
      <c r="BL137" s="6"/>
      <c r="BM137" s="6"/>
      <c r="BN137" s="6"/>
      <c r="BO137" s="6"/>
      <c r="BP137" s="6"/>
      <c r="BQ137" s="4"/>
      <c r="BR137" s="6"/>
      <c r="BS137" s="6"/>
      <c r="BV137" s="6"/>
      <c r="BW137" s="6"/>
      <c r="BX137" s="6"/>
      <c r="CA137" s="6"/>
      <c r="CB137" s="6"/>
      <c r="CE137" s="6"/>
      <c r="CF137" s="6"/>
      <c r="CI137" s="6"/>
    </row>
    <row r="138" spans="2:87" ht="13.5" customHeight="1">
      <c r="B138" s="91" t="s">
        <v>39</v>
      </c>
      <c r="C138" s="4"/>
      <c r="D138" s="4"/>
      <c r="E138" s="4"/>
      <c r="F138" s="4"/>
      <c r="G138" s="4"/>
      <c r="H138" s="4"/>
      <c r="I138" s="4"/>
      <c r="J138" s="4"/>
      <c r="K138" s="4"/>
      <c r="L138" s="267"/>
      <c r="M138" s="267"/>
      <c r="N138" s="267"/>
      <c r="O138" s="4">
        <v>0</v>
      </c>
      <c r="P138" s="4">
        <v>7602.0749999999998</v>
      </c>
      <c r="Q138" s="4">
        <v>18241.47</v>
      </c>
      <c r="R138" s="4">
        <v>16170.03</v>
      </c>
      <c r="S138" s="6">
        <f t="shared" si="618"/>
        <v>16260.03</v>
      </c>
      <c r="U138" s="4"/>
      <c r="V138" s="4"/>
      <c r="W138" s="4"/>
      <c r="X138" s="6"/>
      <c r="Y138" s="4"/>
      <c r="Z138" s="4"/>
      <c r="AA138" s="4"/>
      <c r="AB138" s="6"/>
      <c r="AC138" s="4"/>
      <c r="AD138" s="4"/>
      <c r="AE138" s="4"/>
      <c r="AF138" s="6"/>
      <c r="AG138" s="4"/>
      <c r="AH138" s="4"/>
      <c r="AI138" s="4"/>
      <c r="AJ138" s="114"/>
      <c r="AK138" s="4"/>
      <c r="AL138" s="4"/>
      <c r="AM138" s="4"/>
      <c r="AN138" s="114"/>
      <c r="AO138" s="4"/>
      <c r="AP138" s="4"/>
      <c r="AQ138" s="4"/>
      <c r="AR138" s="274"/>
      <c r="AS138" s="4"/>
      <c r="AT138" s="4"/>
      <c r="AU138" s="4"/>
      <c r="AV138" s="274"/>
      <c r="AW138" s="4"/>
      <c r="AX138" s="4"/>
      <c r="AY138" s="4"/>
      <c r="AZ138" s="274">
        <f t="shared" si="626"/>
        <v>7602.0749999999998</v>
      </c>
      <c r="BA138" s="4">
        <v>15010.2</v>
      </c>
      <c r="BB138" s="4">
        <v>16539.57</v>
      </c>
      <c r="BC138" s="4">
        <v>17666.099999999999</v>
      </c>
      <c r="BD138" s="274">
        <f t="shared" si="627"/>
        <v>18241.47</v>
      </c>
      <c r="BE138" s="4">
        <v>18286.38</v>
      </c>
      <c r="BF138" s="4">
        <v>17003.52</v>
      </c>
      <c r="BG138" s="4">
        <v>16544.25</v>
      </c>
      <c r="BH138" s="6">
        <f t="shared" si="628"/>
        <v>16170.03</v>
      </c>
      <c r="BI138" s="4">
        <v>16260.03</v>
      </c>
      <c r="BJ138" s="4"/>
      <c r="BK138" s="6"/>
      <c r="BL138" s="6"/>
      <c r="BM138" s="6"/>
      <c r="BN138" s="6"/>
      <c r="BO138" s="6"/>
      <c r="BP138" s="6"/>
      <c r="BQ138" s="4"/>
      <c r="BR138" s="6"/>
      <c r="BS138" s="6"/>
      <c r="BV138" s="6"/>
      <c r="BW138" s="6"/>
      <c r="BX138" s="6"/>
      <c r="CA138" s="6"/>
      <c r="CB138" s="6"/>
      <c r="CE138" s="6"/>
      <c r="CF138" s="6"/>
      <c r="CI138" s="6"/>
    </row>
    <row r="139" spans="2:87" ht="13.5" customHeight="1">
      <c r="B139" s="91" t="s">
        <v>40</v>
      </c>
      <c r="C139" s="4"/>
      <c r="D139" s="4"/>
      <c r="E139" s="4"/>
      <c r="F139" s="4"/>
      <c r="G139" s="4"/>
      <c r="H139" s="4"/>
      <c r="I139" s="4"/>
      <c r="J139" s="4"/>
      <c r="K139" s="4"/>
      <c r="L139" s="267"/>
      <c r="M139" s="267"/>
      <c r="N139" s="267"/>
      <c r="O139" s="4">
        <v>0</v>
      </c>
      <c r="P139" s="4">
        <v>9291.4249999999993</v>
      </c>
      <c r="Q139" s="4">
        <v>11147.565000000001</v>
      </c>
      <c r="R139" s="4">
        <v>9881.6849999999995</v>
      </c>
      <c r="S139" s="6">
        <f t="shared" si="618"/>
        <v>9936.6849999999995</v>
      </c>
      <c r="U139" s="4"/>
      <c r="V139" s="4"/>
      <c r="W139" s="4"/>
      <c r="X139" s="6"/>
      <c r="Y139" s="4"/>
      <c r="Z139" s="4"/>
      <c r="AA139" s="4"/>
      <c r="AB139" s="6"/>
      <c r="AC139" s="4"/>
      <c r="AD139" s="4"/>
      <c r="AE139" s="4"/>
      <c r="AF139" s="6"/>
      <c r="AG139" s="4"/>
      <c r="AH139" s="4"/>
      <c r="AI139" s="4"/>
      <c r="AJ139" s="114"/>
      <c r="AK139" s="4"/>
      <c r="AL139" s="4"/>
      <c r="AM139" s="4"/>
      <c r="AN139" s="114"/>
      <c r="AO139" s="4"/>
      <c r="AP139" s="4"/>
      <c r="AQ139" s="4"/>
      <c r="AR139" s="274"/>
      <c r="AS139" s="4"/>
      <c r="AT139" s="4"/>
      <c r="AU139" s="4"/>
      <c r="AV139" s="274"/>
      <c r="AW139" s="4"/>
      <c r="AX139" s="4"/>
      <c r="AY139" s="4"/>
      <c r="AZ139" s="274">
        <f t="shared" si="626"/>
        <v>9291.4249999999993</v>
      </c>
      <c r="BA139" s="4">
        <v>9172.9</v>
      </c>
      <c r="BB139" s="4">
        <v>10107.514999999999</v>
      </c>
      <c r="BC139" s="4">
        <v>10795.95</v>
      </c>
      <c r="BD139" s="274">
        <f t="shared" si="627"/>
        <v>11147.565000000001</v>
      </c>
      <c r="BE139" s="4">
        <v>11175.01</v>
      </c>
      <c r="BF139" s="4">
        <v>10391.040000000001</v>
      </c>
      <c r="BG139" s="4">
        <v>10110.375</v>
      </c>
      <c r="BH139" s="6">
        <f t="shared" si="628"/>
        <v>9881.6849999999995</v>
      </c>
      <c r="BI139" s="4">
        <v>9936.6849999999995</v>
      </c>
      <c r="BJ139" s="4"/>
      <c r="BK139" s="6"/>
      <c r="BL139" s="6"/>
      <c r="BM139" s="6"/>
      <c r="BN139" s="6"/>
      <c r="BO139" s="6"/>
      <c r="BP139" s="6"/>
      <c r="BQ139" s="4"/>
      <c r="BR139" s="6"/>
      <c r="BS139" s="6"/>
      <c r="BV139" s="6"/>
      <c r="BW139" s="6"/>
      <c r="BX139" s="6"/>
      <c r="CA139" s="6"/>
      <c r="CB139" s="6"/>
      <c r="CE139" s="6"/>
      <c r="CF139" s="6"/>
      <c r="CI139" s="6"/>
    </row>
    <row r="140" spans="2:87" ht="13.5" customHeight="1">
      <c r="B140" s="91" t="s">
        <v>41</v>
      </c>
      <c r="C140" s="4"/>
      <c r="D140" s="4"/>
      <c r="E140" s="4"/>
      <c r="F140" s="4"/>
      <c r="G140" s="4"/>
      <c r="H140" s="4"/>
      <c r="I140" s="4"/>
      <c r="J140" s="4"/>
      <c r="K140" s="4"/>
      <c r="L140" s="267"/>
      <c r="M140" s="267"/>
      <c r="N140" s="267"/>
      <c r="O140" s="4">
        <v>0</v>
      </c>
      <c r="P140" s="4">
        <v>0</v>
      </c>
      <c r="Q140" s="4">
        <v>0</v>
      </c>
      <c r="R140" s="4">
        <v>0</v>
      </c>
      <c r="S140" s="6">
        <f t="shared" si="618"/>
        <v>0</v>
      </c>
      <c r="U140" s="4"/>
      <c r="V140" s="4"/>
      <c r="W140" s="4"/>
      <c r="X140" s="6"/>
      <c r="Y140" s="4"/>
      <c r="Z140" s="4"/>
      <c r="AA140" s="4"/>
      <c r="AB140" s="6"/>
      <c r="AC140" s="4"/>
      <c r="AD140" s="4"/>
      <c r="AE140" s="4"/>
      <c r="AF140" s="6"/>
      <c r="AG140" s="4"/>
      <c r="AH140" s="4"/>
      <c r="AI140" s="4"/>
      <c r="AJ140" s="114"/>
      <c r="AK140" s="4"/>
      <c r="AL140" s="4"/>
      <c r="AM140" s="4"/>
      <c r="AN140" s="114"/>
      <c r="AO140" s="4"/>
      <c r="AP140" s="4"/>
      <c r="AQ140" s="4"/>
      <c r="AR140" s="274"/>
      <c r="AS140" s="4"/>
      <c r="AT140" s="4"/>
      <c r="AU140" s="4"/>
      <c r="AV140" s="274"/>
      <c r="AW140" s="4">
        <v>8630.0609999999997</v>
      </c>
      <c r="AX140" s="4"/>
      <c r="AY140" s="4"/>
      <c r="AZ140" s="274">
        <f t="shared" si="626"/>
        <v>0</v>
      </c>
      <c r="BA140" s="4">
        <v>0</v>
      </c>
      <c r="BB140" s="4">
        <v>0</v>
      </c>
      <c r="BC140" s="4">
        <v>0</v>
      </c>
      <c r="BD140" s="274">
        <f t="shared" si="627"/>
        <v>0</v>
      </c>
      <c r="BE140" s="4">
        <v>0</v>
      </c>
      <c r="BF140" s="4">
        <v>0</v>
      </c>
      <c r="BG140" s="4">
        <v>0</v>
      </c>
      <c r="BH140" s="6">
        <f t="shared" si="628"/>
        <v>0</v>
      </c>
      <c r="BI140" s="4">
        <v>0</v>
      </c>
      <c r="BJ140" s="4"/>
      <c r="BK140" s="6"/>
      <c r="BL140" s="6"/>
      <c r="BM140" s="6"/>
      <c r="BN140" s="6"/>
      <c r="BO140" s="6"/>
      <c r="BP140" s="6"/>
      <c r="BQ140" s="4"/>
      <c r="BR140" s="6"/>
      <c r="BS140" s="6"/>
      <c r="BV140" s="6"/>
      <c r="BW140" s="6"/>
      <c r="BX140" s="6"/>
      <c r="CA140" s="6"/>
      <c r="CB140" s="6"/>
      <c r="CE140" s="6"/>
      <c r="CF140" s="6"/>
      <c r="CI140" s="6"/>
    </row>
    <row r="141" spans="2:87" ht="13.5" customHeight="1">
      <c r="B141" s="91" t="s">
        <v>42</v>
      </c>
      <c r="C141" s="4"/>
      <c r="D141" s="4"/>
      <c r="E141" s="4"/>
      <c r="F141" s="4"/>
      <c r="G141" s="4"/>
      <c r="H141" s="4"/>
      <c r="I141" s="4"/>
      <c r="J141" s="4"/>
      <c r="K141" s="4"/>
      <c r="L141" s="267"/>
      <c r="M141" s="267"/>
      <c r="N141" s="267"/>
      <c r="O141" s="4">
        <v>0</v>
      </c>
      <c r="P141" s="4">
        <v>0</v>
      </c>
      <c r="Q141" s="4">
        <v>16214.64</v>
      </c>
      <c r="R141" s="4">
        <v>14373.36</v>
      </c>
      <c r="S141" s="6">
        <f t="shared" si="618"/>
        <v>14453.36</v>
      </c>
      <c r="U141" s="4"/>
      <c r="V141" s="4"/>
      <c r="W141" s="4"/>
      <c r="X141" s="6"/>
      <c r="Y141" s="4"/>
      <c r="Z141" s="4"/>
      <c r="AA141" s="4"/>
      <c r="AB141" s="6"/>
      <c r="AC141" s="4"/>
      <c r="AD141" s="4"/>
      <c r="AE141" s="4"/>
      <c r="AF141" s="6"/>
      <c r="AG141" s="4"/>
      <c r="AH141" s="4"/>
      <c r="AI141" s="4"/>
      <c r="AJ141" s="114"/>
      <c r="AK141" s="4"/>
      <c r="AL141" s="4"/>
      <c r="AM141" s="4"/>
      <c r="AN141" s="114"/>
      <c r="AO141" s="4"/>
      <c r="AP141" s="4"/>
      <c r="AQ141" s="4"/>
      <c r="AR141" s="274"/>
      <c r="AS141" s="4"/>
      <c r="AT141" s="4"/>
      <c r="AU141" s="4"/>
      <c r="AV141" s="274"/>
      <c r="AW141" s="4"/>
      <c r="AX141" s="4"/>
      <c r="AY141" s="4"/>
      <c r="AZ141" s="274">
        <f t="shared" si="626"/>
        <v>0</v>
      </c>
      <c r="BA141" s="4">
        <v>13342.4</v>
      </c>
      <c r="BB141" s="4">
        <v>14701.84</v>
      </c>
      <c r="BC141" s="4">
        <v>15703.2</v>
      </c>
      <c r="BD141" s="274">
        <f t="shared" si="627"/>
        <v>16214.64</v>
      </c>
      <c r="BE141" s="4">
        <v>16254.56</v>
      </c>
      <c r="BF141" s="4">
        <v>15114.24</v>
      </c>
      <c r="BG141" s="4">
        <v>14706</v>
      </c>
      <c r="BH141" s="6">
        <f t="shared" si="628"/>
        <v>14373.36</v>
      </c>
      <c r="BI141" s="4">
        <v>14453.36</v>
      </c>
      <c r="BJ141" s="4"/>
      <c r="BK141" s="6"/>
      <c r="BL141" s="6"/>
      <c r="BM141" s="6"/>
      <c r="BN141" s="6"/>
      <c r="BO141" s="6"/>
      <c r="BP141" s="6"/>
      <c r="BQ141" s="4"/>
      <c r="BR141" s="6"/>
      <c r="BS141" s="6"/>
      <c r="BV141" s="6"/>
      <c r="BW141" s="6"/>
      <c r="BX141" s="6"/>
      <c r="CA141" s="6"/>
      <c r="CB141" s="6"/>
      <c r="CE141" s="6"/>
      <c r="CF141" s="6"/>
      <c r="CI141" s="6"/>
    </row>
    <row r="142" spans="2:87" ht="13.5" customHeight="1">
      <c r="B142" s="1" t="s">
        <v>43</v>
      </c>
      <c r="C142" s="4">
        <v>3722</v>
      </c>
      <c r="D142" s="4">
        <v>3801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  <c r="L142" s="267">
        <v>0</v>
      </c>
      <c r="M142" s="267">
        <v>0</v>
      </c>
      <c r="N142" s="267">
        <v>0</v>
      </c>
      <c r="O142" s="4">
        <v>0</v>
      </c>
      <c r="P142" s="4">
        <v>0</v>
      </c>
      <c r="Q142" s="4">
        <v>0</v>
      </c>
      <c r="R142" s="4">
        <v>0</v>
      </c>
      <c r="S142" s="6">
        <f t="shared" si="618"/>
        <v>0</v>
      </c>
      <c r="U142" s="4"/>
      <c r="V142" s="4"/>
      <c r="W142" s="4"/>
      <c r="X142" s="6">
        <f>+E142</f>
        <v>0</v>
      </c>
      <c r="Y142" s="4"/>
      <c r="Z142" s="4"/>
      <c r="AA142" s="4">
        <v>0</v>
      </c>
      <c r="AB142" s="6">
        <f>+F142</f>
        <v>0</v>
      </c>
      <c r="AC142" s="4">
        <v>0</v>
      </c>
      <c r="AD142" s="4">
        <v>0</v>
      </c>
      <c r="AE142" s="4">
        <v>0</v>
      </c>
      <c r="AF142" s="6">
        <f>G142</f>
        <v>0</v>
      </c>
      <c r="AG142" s="4">
        <v>0</v>
      </c>
      <c r="AH142" s="4">
        <v>0</v>
      </c>
      <c r="AI142" s="4">
        <v>0</v>
      </c>
      <c r="AJ142" s="114">
        <f>I142</f>
        <v>0</v>
      </c>
      <c r="AK142" s="4">
        <v>0</v>
      </c>
      <c r="AL142" s="4">
        <v>0</v>
      </c>
      <c r="AM142" s="4">
        <v>0</v>
      </c>
      <c r="AN142" s="114">
        <f>K142</f>
        <v>0</v>
      </c>
      <c r="AO142" s="4">
        <v>0</v>
      </c>
      <c r="AP142" s="4">
        <v>0</v>
      </c>
      <c r="AQ142" s="4">
        <v>0</v>
      </c>
      <c r="AR142" s="274">
        <f>M142</f>
        <v>0</v>
      </c>
      <c r="AS142" s="4"/>
      <c r="AT142" s="4"/>
      <c r="AU142" s="4"/>
      <c r="AV142" s="274">
        <f>N142</f>
        <v>0</v>
      </c>
      <c r="AW142" s="4"/>
      <c r="AX142" s="4"/>
      <c r="AY142" s="4"/>
      <c r="AZ142" s="274">
        <f t="shared" ref="AZ142:AZ157" si="629">P142</f>
        <v>0</v>
      </c>
      <c r="BA142" s="4">
        <v>0</v>
      </c>
      <c r="BB142" s="4">
        <v>0</v>
      </c>
      <c r="BC142" s="4">
        <v>0</v>
      </c>
      <c r="BD142" s="274">
        <f t="shared" si="627"/>
        <v>0</v>
      </c>
      <c r="BE142" s="4">
        <v>0</v>
      </c>
      <c r="BF142" s="4">
        <v>0</v>
      </c>
      <c r="BG142" s="4">
        <v>0</v>
      </c>
      <c r="BH142" s="6">
        <f t="shared" si="628"/>
        <v>0</v>
      </c>
      <c r="BI142" s="4">
        <v>0</v>
      </c>
      <c r="BJ142" s="4"/>
      <c r="BK142" s="6"/>
      <c r="BL142" s="6"/>
      <c r="BM142" s="6"/>
      <c r="BN142" s="6"/>
      <c r="BO142" s="6"/>
      <c r="BP142" s="6"/>
      <c r="BQ142" s="4"/>
      <c r="BR142" s="6"/>
      <c r="BS142" s="6"/>
      <c r="BV142" s="6"/>
      <c r="BW142" s="6"/>
      <c r="BX142" s="6"/>
      <c r="CA142" s="6"/>
      <c r="CB142" s="6"/>
      <c r="CE142" s="6"/>
      <c r="CF142" s="6"/>
      <c r="CI142" s="6"/>
    </row>
    <row r="143" spans="2:87" ht="13.5" customHeight="1">
      <c r="B143" s="1" t="s">
        <v>44</v>
      </c>
      <c r="C143" s="4">
        <v>280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  <c r="L143" s="267">
        <v>0</v>
      </c>
      <c r="M143" s="267">
        <v>0</v>
      </c>
      <c r="N143" s="267">
        <v>0</v>
      </c>
      <c r="O143" s="4">
        <v>0</v>
      </c>
      <c r="P143" s="4">
        <v>2983</v>
      </c>
      <c r="Q143" s="4">
        <v>2848.002</v>
      </c>
      <c r="R143" s="4">
        <v>0</v>
      </c>
      <c r="S143" s="6">
        <f t="shared" si="618"/>
        <v>0</v>
      </c>
      <c r="U143" s="4"/>
      <c r="V143" s="4"/>
      <c r="W143" s="4"/>
      <c r="X143" s="6">
        <f>+E143</f>
        <v>0</v>
      </c>
      <c r="Y143" s="4"/>
      <c r="Z143" s="4"/>
      <c r="AA143" s="4">
        <v>0</v>
      </c>
      <c r="AB143" s="6">
        <f>+F143</f>
        <v>0</v>
      </c>
      <c r="AC143" s="4">
        <v>0</v>
      </c>
      <c r="AD143" s="4">
        <v>0</v>
      </c>
      <c r="AE143" s="4">
        <v>0</v>
      </c>
      <c r="AF143" s="6">
        <f>G143</f>
        <v>0</v>
      </c>
      <c r="AG143" s="4">
        <v>0</v>
      </c>
      <c r="AH143" s="4">
        <v>0</v>
      </c>
      <c r="AI143" s="4">
        <v>0</v>
      </c>
      <c r="AJ143" s="114">
        <f>I143</f>
        <v>0</v>
      </c>
      <c r="AK143" s="4">
        <v>0</v>
      </c>
      <c r="AL143" s="4">
        <v>0</v>
      </c>
      <c r="AM143" s="4">
        <v>0</v>
      </c>
      <c r="AN143" s="114">
        <f>K143</f>
        <v>0</v>
      </c>
      <c r="AO143" s="4">
        <v>0</v>
      </c>
      <c r="AP143" s="4">
        <v>0</v>
      </c>
      <c r="AQ143" s="4">
        <v>0</v>
      </c>
      <c r="AR143" s="274">
        <f>M143</f>
        <v>0</v>
      </c>
      <c r="AS143" s="4"/>
      <c r="AT143" s="4"/>
      <c r="AU143" s="4"/>
      <c r="AV143" s="274">
        <f>N143</f>
        <v>0</v>
      </c>
      <c r="AW143" s="4"/>
      <c r="AX143" s="4"/>
      <c r="AY143" s="4"/>
      <c r="AZ143" s="274">
        <f t="shared" si="629"/>
        <v>2983</v>
      </c>
      <c r="BA143" s="4">
        <v>0</v>
      </c>
      <c r="BB143" s="4">
        <v>0</v>
      </c>
      <c r="BC143" s="4">
        <f>2194.337+2944.35</f>
        <v>5138.6869999999999</v>
      </c>
      <c r="BD143" s="274">
        <f t="shared" si="627"/>
        <v>2848.002</v>
      </c>
      <c r="BE143" s="4">
        <v>0</v>
      </c>
      <c r="BF143" s="4">
        <v>482</v>
      </c>
      <c r="BG143" s="4">
        <v>0</v>
      </c>
      <c r="BH143" s="6">
        <f t="shared" si="628"/>
        <v>0</v>
      </c>
      <c r="BI143" s="4">
        <v>0</v>
      </c>
      <c r="BJ143" s="4"/>
      <c r="BK143" s="6"/>
      <c r="BL143" s="6"/>
      <c r="BM143" s="6"/>
      <c r="BN143" s="6"/>
      <c r="BO143" s="6"/>
      <c r="BP143" s="6"/>
      <c r="BQ143" s="4"/>
      <c r="BR143" s="6"/>
      <c r="BS143" s="6"/>
      <c r="BV143" s="6"/>
      <c r="BW143" s="6"/>
      <c r="BX143" s="6"/>
      <c r="CA143" s="6"/>
      <c r="CB143" s="6"/>
      <c r="CE143" s="6"/>
      <c r="CF143" s="6"/>
      <c r="CI143" s="6"/>
    </row>
    <row r="144" spans="2:87" ht="13.5" customHeight="1">
      <c r="B144" s="1" t="s">
        <v>45</v>
      </c>
      <c r="C144" s="4"/>
      <c r="D144" s="4"/>
      <c r="E144" s="4"/>
      <c r="F144" s="4"/>
      <c r="G144" s="4"/>
      <c r="H144" s="4"/>
      <c r="I144" s="4">
        <f>95.267+770</f>
        <v>865.26700000000005</v>
      </c>
      <c r="J144" s="4">
        <f>95.267+770</f>
        <v>865.26700000000005</v>
      </c>
      <c r="K144" s="4">
        <v>0</v>
      </c>
      <c r="L144" s="267">
        <v>0</v>
      </c>
      <c r="M144" s="267">
        <v>0</v>
      </c>
      <c r="N144" s="267">
        <v>0</v>
      </c>
      <c r="O144" s="4">
        <v>0</v>
      </c>
      <c r="P144" s="4">
        <v>1689.35</v>
      </c>
      <c r="Q144" s="4">
        <v>2026.83</v>
      </c>
      <c r="R144" s="4">
        <v>1796.67</v>
      </c>
      <c r="S144" s="6">
        <f t="shared" si="618"/>
        <v>1806.67</v>
      </c>
      <c r="U144" s="4"/>
      <c r="V144" s="4"/>
      <c r="W144" s="4"/>
      <c r="X144" s="6"/>
      <c r="Y144" s="4"/>
      <c r="Z144" s="4"/>
      <c r="AA144" s="4"/>
      <c r="AB144" s="6"/>
      <c r="AC144" s="4"/>
      <c r="AD144" s="4"/>
      <c r="AE144" s="4"/>
      <c r="AF144" s="6"/>
      <c r="AG144" s="4"/>
      <c r="AH144" s="4"/>
      <c r="AI144" s="4"/>
      <c r="AJ144" s="114">
        <f>I144</f>
        <v>865.26700000000005</v>
      </c>
      <c r="AK144" s="4">
        <f>16437.428+120</f>
        <v>16557.428</v>
      </c>
      <c r="AL144" s="4">
        <v>6945.9859999999999</v>
      </c>
      <c r="AM144" s="4">
        <v>2651.683</v>
      </c>
      <c r="AN144" s="114">
        <f>K144</f>
        <v>0</v>
      </c>
      <c r="AO144" s="4">
        <v>0</v>
      </c>
      <c r="AP144" s="4">
        <v>0</v>
      </c>
      <c r="AQ144" s="4">
        <v>0</v>
      </c>
      <c r="AR144" s="274">
        <f>M144</f>
        <v>0</v>
      </c>
      <c r="AS144" s="4">
        <v>3998.84</v>
      </c>
      <c r="AT144" s="4">
        <v>3996.94</v>
      </c>
      <c r="AU144" s="4">
        <v>12868.178</v>
      </c>
      <c r="AV144" s="274">
        <f>N144</f>
        <v>0</v>
      </c>
      <c r="AW144" s="4">
        <v>2415</v>
      </c>
      <c r="AX144" s="4">
        <f>1185.5+5000+1707.2</f>
        <v>7892.7</v>
      </c>
      <c r="AY144" s="4">
        <f>2864.876+2202.438+5000+3453.422</f>
        <v>13520.736000000001</v>
      </c>
      <c r="AZ144" s="274">
        <f t="shared" si="629"/>
        <v>1689.35</v>
      </c>
      <c r="BA144" s="4">
        <v>1667.8</v>
      </c>
      <c r="BB144" s="4">
        <v>1837.73</v>
      </c>
      <c r="BC144" s="4">
        <v>1962.9</v>
      </c>
      <c r="BD144" s="274">
        <f t="shared" si="627"/>
        <v>2026.83</v>
      </c>
      <c r="BE144" s="4">
        <v>2031.82</v>
      </c>
      <c r="BF144" s="4">
        <v>1889.28</v>
      </c>
      <c r="BG144" s="4">
        <f>1838.25</f>
        <v>1838.25</v>
      </c>
      <c r="BH144" s="6">
        <f t="shared" si="628"/>
        <v>1796.67</v>
      </c>
      <c r="BI144" s="4">
        <v>1806.67</v>
      </c>
      <c r="BJ144" s="4"/>
      <c r="BK144" s="6"/>
      <c r="BL144" s="6"/>
      <c r="BM144" s="6"/>
      <c r="BN144" s="6"/>
      <c r="BO144" s="6"/>
      <c r="BP144" s="6"/>
      <c r="BQ144" s="4"/>
      <c r="BR144" s="6"/>
      <c r="BS144" s="6"/>
      <c r="BV144" s="6"/>
      <c r="BW144" s="6"/>
      <c r="BX144" s="6"/>
      <c r="CA144" s="6"/>
      <c r="CB144" s="6"/>
      <c r="CE144" s="6"/>
      <c r="CF144" s="6"/>
      <c r="CI144" s="6"/>
    </row>
    <row r="145" spans="2:87" ht="13.5" customHeight="1">
      <c r="B145" s="1" t="s">
        <v>46</v>
      </c>
      <c r="C145" s="4"/>
      <c r="D145" s="4"/>
      <c r="E145" s="4"/>
      <c r="F145" s="4"/>
      <c r="G145" s="4"/>
      <c r="H145" s="4"/>
      <c r="I145" s="4"/>
      <c r="J145" s="4"/>
      <c r="K145" s="4"/>
      <c r="L145" s="267"/>
      <c r="M145" s="267"/>
      <c r="N145" s="267"/>
      <c r="O145" s="4">
        <v>0</v>
      </c>
      <c r="P145" s="4">
        <v>2111.6880000000001</v>
      </c>
      <c r="Q145" s="4">
        <v>2533.538</v>
      </c>
      <c r="R145" s="4">
        <v>1796.67</v>
      </c>
      <c r="S145" s="6">
        <f t="shared" si="618"/>
        <v>1806.67</v>
      </c>
      <c r="U145" s="4"/>
      <c r="V145" s="4"/>
      <c r="W145" s="4"/>
      <c r="X145" s="6"/>
      <c r="Y145" s="4"/>
      <c r="Z145" s="4"/>
      <c r="AA145" s="4"/>
      <c r="AB145" s="6"/>
      <c r="AC145" s="4"/>
      <c r="AD145" s="4"/>
      <c r="AE145" s="4"/>
      <c r="AF145" s="6"/>
      <c r="AG145" s="4"/>
      <c r="AH145" s="4"/>
      <c r="AI145" s="4"/>
      <c r="AJ145" s="114"/>
      <c r="AK145" s="4"/>
      <c r="AL145" s="4"/>
      <c r="AM145" s="4"/>
      <c r="AN145" s="114"/>
      <c r="AO145" s="4"/>
      <c r="AP145" s="4"/>
      <c r="AQ145" s="4"/>
      <c r="AR145" s="274"/>
      <c r="AS145" s="4"/>
      <c r="AT145" s="4"/>
      <c r="AU145" s="4"/>
      <c r="AV145" s="274"/>
      <c r="AW145" s="4"/>
      <c r="AX145" s="4"/>
      <c r="AY145" s="4"/>
      <c r="AZ145" s="274">
        <f t="shared" si="629"/>
        <v>2111.6880000000001</v>
      </c>
      <c r="BA145" s="4">
        <v>2084.75</v>
      </c>
      <c r="BB145" s="4">
        <v>2297.1619999999998</v>
      </c>
      <c r="BC145" s="4">
        <v>2453.625</v>
      </c>
      <c r="BD145" s="274">
        <f t="shared" si="627"/>
        <v>2533.538</v>
      </c>
      <c r="BE145" s="4">
        <v>2539.7750000000001</v>
      </c>
      <c r="BF145" s="4">
        <v>2361.6</v>
      </c>
      <c r="BG145" s="4">
        <v>0</v>
      </c>
      <c r="BH145" s="6">
        <f t="shared" si="628"/>
        <v>1796.67</v>
      </c>
      <c r="BI145" s="4">
        <v>1806.67</v>
      </c>
      <c r="BJ145" s="4"/>
      <c r="BK145" s="6"/>
      <c r="BL145" s="6"/>
      <c r="BM145" s="6"/>
      <c r="BN145" s="6"/>
      <c r="BO145" s="6"/>
      <c r="BP145" s="6"/>
      <c r="BQ145" s="4"/>
      <c r="BR145" s="6"/>
      <c r="BS145" s="6"/>
      <c r="BV145" s="6"/>
      <c r="BW145" s="6"/>
      <c r="BX145" s="6"/>
      <c r="CA145" s="6"/>
      <c r="CB145" s="6"/>
      <c r="CE145" s="6"/>
      <c r="CF145" s="6"/>
      <c r="CI145" s="6"/>
    </row>
    <row r="146" spans="2:87" ht="13.5" customHeight="1">
      <c r="B146" s="1" t="s">
        <v>47</v>
      </c>
      <c r="C146" s="4"/>
      <c r="D146" s="4"/>
      <c r="E146" s="4"/>
      <c r="F146" s="4"/>
      <c r="G146" s="4"/>
      <c r="H146" s="4"/>
      <c r="I146" s="4"/>
      <c r="J146" s="4"/>
      <c r="K146" s="4"/>
      <c r="L146" s="267"/>
      <c r="M146" s="267"/>
      <c r="N146" s="267"/>
      <c r="O146" s="4">
        <v>0</v>
      </c>
      <c r="P146" s="4">
        <v>0</v>
      </c>
      <c r="Q146" s="4">
        <v>2533.538</v>
      </c>
      <c r="R146" s="4">
        <v>748.76199999999994</v>
      </c>
      <c r="S146" s="6">
        <f t="shared" si="618"/>
        <v>0</v>
      </c>
      <c r="U146" s="4"/>
      <c r="V146" s="4"/>
      <c r="W146" s="4"/>
      <c r="X146" s="6"/>
      <c r="Y146" s="4"/>
      <c r="Z146" s="4"/>
      <c r="AA146" s="4"/>
      <c r="AB146" s="6"/>
      <c r="AC146" s="4"/>
      <c r="AD146" s="4"/>
      <c r="AE146" s="4"/>
      <c r="AF146" s="6"/>
      <c r="AG146" s="4"/>
      <c r="AH146" s="4"/>
      <c r="AI146" s="4"/>
      <c r="AJ146" s="114"/>
      <c r="AK146" s="4"/>
      <c r="AL146" s="4"/>
      <c r="AM146" s="4"/>
      <c r="AN146" s="114"/>
      <c r="AO146" s="4"/>
      <c r="AP146" s="4"/>
      <c r="AQ146" s="4"/>
      <c r="AR146" s="274"/>
      <c r="AS146" s="4"/>
      <c r="AT146" s="4"/>
      <c r="AU146" s="4"/>
      <c r="AV146" s="274"/>
      <c r="AW146" s="4"/>
      <c r="AX146" s="4"/>
      <c r="AY146" s="4"/>
      <c r="AZ146" s="274">
        <f t="shared" si="629"/>
        <v>0</v>
      </c>
      <c r="BA146" s="4">
        <v>0</v>
      </c>
      <c r="BB146" s="4">
        <v>2297.1619999999998</v>
      </c>
      <c r="BC146" s="4">
        <v>2453.625</v>
      </c>
      <c r="BD146" s="274">
        <f t="shared" si="627"/>
        <v>2533.538</v>
      </c>
      <c r="BE146" s="4">
        <v>2539.7750000000001</v>
      </c>
      <c r="BF146" s="4">
        <v>2099.2260000000001</v>
      </c>
      <c r="BG146" s="4">
        <v>2042.5260000000001</v>
      </c>
      <c r="BH146" s="6">
        <f t="shared" si="628"/>
        <v>748.76199999999994</v>
      </c>
      <c r="BI146" s="4">
        <v>0</v>
      </c>
      <c r="BJ146" s="4"/>
      <c r="BK146" s="6"/>
      <c r="BL146" s="6"/>
      <c r="BM146" s="6"/>
      <c r="BN146" s="6"/>
      <c r="BO146" s="6"/>
      <c r="BP146" s="6"/>
      <c r="BQ146" s="4"/>
      <c r="BR146" s="6"/>
      <c r="BS146" s="6"/>
      <c r="BV146" s="6"/>
      <c r="BW146" s="6"/>
      <c r="BX146" s="6"/>
      <c r="CA146" s="6"/>
      <c r="CB146" s="6"/>
      <c r="CE146" s="6"/>
      <c r="CF146" s="6"/>
      <c r="CI146" s="6"/>
    </row>
    <row r="147" spans="2:87" ht="13.5" customHeight="1">
      <c r="B147" s="1" t="s">
        <v>48</v>
      </c>
      <c r="C147" s="4"/>
      <c r="D147" s="4"/>
      <c r="E147" s="4"/>
      <c r="F147" s="4"/>
      <c r="G147" s="4"/>
      <c r="H147" s="4"/>
      <c r="I147" s="4"/>
      <c r="J147" s="4"/>
      <c r="K147" s="4"/>
      <c r="L147" s="267"/>
      <c r="M147" s="267"/>
      <c r="N147" s="267"/>
      <c r="O147" s="4">
        <v>0</v>
      </c>
      <c r="P147" s="4">
        <v>0</v>
      </c>
      <c r="Q147" s="4">
        <v>2533.538</v>
      </c>
      <c r="R147" s="4">
        <v>2245.8380000000002</v>
      </c>
      <c r="S147" s="6">
        <f t="shared" si="618"/>
        <v>1693.7529999999999</v>
      </c>
      <c r="U147" s="4"/>
      <c r="V147" s="4"/>
      <c r="W147" s="4"/>
      <c r="X147" s="6"/>
      <c r="Y147" s="4"/>
      <c r="Z147" s="4"/>
      <c r="AA147" s="4"/>
      <c r="AB147" s="6"/>
      <c r="AC147" s="4"/>
      <c r="AD147" s="4"/>
      <c r="AE147" s="4"/>
      <c r="AF147" s="6"/>
      <c r="AG147" s="4"/>
      <c r="AH147" s="4"/>
      <c r="AI147" s="4"/>
      <c r="AJ147" s="114"/>
      <c r="AK147" s="4"/>
      <c r="AL147" s="4"/>
      <c r="AM147" s="4"/>
      <c r="AN147" s="114"/>
      <c r="AO147" s="4"/>
      <c r="AP147" s="4"/>
      <c r="AQ147" s="4"/>
      <c r="AR147" s="274"/>
      <c r="AS147" s="4"/>
      <c r="AT147" s="4"/>
      <c r="AU147" s="4"/>
      <c r="AV147" s="274"/>
      <c r="AW147" s="4"/>
      <c r="AX147" s="4"/>
      <c r="AY147" s="4"/>
      <c r="AZ147" s="274">
        <f t="shared" si="629"/>
        <v>0</v>
      </c>
      <c r="BA147" s="4">
        <v>2084.75</v>
      </c>
      <c r="BB147" s="4">
        <v>2297.1619999999998</v>
      </c>
      <c r="BC147" s="4">
        <v>2453.625</v>
      </c>
      <c r="BD147" s="274">
        <f t="shared" si="627"/>
        <v>2533.538</v>
      </c>
      <c r="BE147" s="4">
        <v>2539.7750000000001</v>
      </c>
      <c r="BF147" s="4">
        <v>2361.6</v>
      </c>
      <c r="BG147" s="4">
        <f>2297.812</f>
        <v>2297.8119999999999</v>
      </c>
      <c r="BH147" s="6">
        <f t="shared" si="628"/>
        <v>2245.8380000000002</v>
      </c>
      <c r="BI147" s="4">
        <v>1693.7529999999999</v>
      </c>
      <c r="BJ147" s="4"/>
      <c r="BK147" s="6"/>
      <c r="BL147" s="6"/>
      <c r="BM147" s="6"/>
      <c r="BN147" s="6"/>
      <c r="BO147" s="6"/>
      <c r="BP147" s="6"/>
      <c r="BQ147" s="4"/>
      <c r="BR147" s="6"/>
      <c r="BS147" s="6"/>
      <c r="BV147" s="6"/>
      <c r="BW147" s="6"/>
      <c r="BX147" s="6"/>
      <c r="CA147" s="6"/>
      <c r="CB147" s="6"/>
      <c r="CE147" s="6"/>
      <c r="CF147" s="6"/>
      <c r="CI147" s="6"/>
    </row>
    <row r="148" spans="2:87" ht="13.5" customHeight="1">
      <c r="B148" s="1" t="s">
        <v>49</v>
      </c>
      <c r="C148" s="4"/>
      <c r="D148" s="4"/>
      <c r="E148" s="4"/>
      <c r="F148" s="4"/>
      <c r="G148" s="4"/>
      <c r="H148" s="4"/>
      <c r="I148" s="4"/>
      <c r="J148" s="4"/>
      <c r="K148" s="4"/>
      <c r="L148" s="267"/>
      <c r="M148" s="267"/>
      <c r="N148" s="267"/>
      <c r="O148" s="4">
        <v>0</v>
      </c>
      <c r="P148" s="4">
        <v>0</v>
      </c>
      <c r="Q148" s="4">
        <v>0</v>
      </c>
      <c r="R148" s="4">
        <v>1796.67</v>
      </c>
      <c r="S148" s="6">
        <f t="shared" si="618"/>
        <v>1806.67</v>
      </c>
      <c r="U148" s="4"/>
      <c r="V148" s="4"/>
      <c r="W148" s="4"/>
      <c r="X148" s="6"/>
      <c r="Y148" s="4"/>
      <c r="Z148" s="4"/>
      <c r="AA148" s="4"/>
      <c r="AB148" s="6"/>
      <c r="AC148" s="4"/>
      <c r="AD148" s="4"/>
      <c r="AE148" s="4"/>
      <c r="AF148" s="6"/>
      <c r="AG148" s="4"/>
      <c r="AH148" s="4"/>
      <c r="AI148" s="4"/>
      <c r="AJ148" s="114"/>
      <c r="AK148" s="4"/>
      <c r="AL148" s="4"/>
      <c r="AM148" s="4"/>
      <c r="AN148" s="114"/>
      <c r="AO148" s="4"/>
      <c r="AP148" s="4"/>
      <c r="AQ148" s="4"/>
      <c r="AR148" s="274"/>
      <c r="AS148" s="4"/>
      <c r="AT148" s="4"/>
      <c r="AU148" s="4"/>
      <c r="AV148" s="274"/>
      <c r="AW148" s="4"/>
      <c r="AX148" s="4"/>
      <c r="AY148" s="4"/>
      <c r="AZ148" s="274">
        <f t="shared" si="629"/>
        <v>0</v>
      </c>
      <c r="BA148" s="4">
        <v>0</v>
      </c>
      <c r="BB148" s="4">
        <v>0</v>
      </c>
      <c r="BC148" s="4">
        <v>0</v>
      </c>
      <c r="BD148" s="274">
        <f t="shared" si="627"/>
        <v>0</v>
      </c>
      <c r="BE148" s="4">
        <v>0</v>
      </c>
      <c r="BF148" s="4">
        <v>0</v>
      </c>
      <c r="BG148" s="4">
        <v>0</v>
      </c>
      <c r="BH148" s="6">
        <f t="shared" si="628"/>
        <v>1796.67</v>
      </c>
      <c r="BI148" s="4">
        <v>1806.67</v>
      </c>
      <c r="BJ148" s="4"/>
      <c r="BK148" s="6"/>
      <c r="BL148" s="6"/>
      <c r="BM148" s="6"/>
      <c r="BN148" s="6"/>
      <c r="BO148" s="6"/>
      <c r="BP148" s="6"/>
      <c r="BQ148" s="4"/>
      <c r="BR148" s="6"/>
      <c r="BS148" s="6"/>
      <c r="BV148" s="6"/>
      <c r="BW148" s="6"/>
      <c r="BX148" s="6"/>
      <c r="CA148" s="6"/>
      <c r="CB148" s="6"/>
      <c r="CE148" s="6"/>
      <c r="CF148" s="6"/>
      <c r="CI148" s="6"/>
    </row>
    <row r="149" spans="2:87" ht="13.5" customHeight="1">
      <c r="B149" s="1" t="s">
        <v>50</v>
      </c>
      <c r="C149" s="4"/>
      <c r="D149" s="4"/>
      <c r="E149" s="4"/>
      <c r="F149" s="4"/>
      <c r="G149" s="4"/>
      <c r="H149" s="4"/>
      <c r="I149" s="4"/>
      <c r="J149" s="4"/>
      <c r="K149" s="4"/>
      <c r="L149" s="267"/>
      <c r="M149" s="267"/>
      <c r="N149" s="267"/>
      <c r="O149" s="4">
        <v>0</v>
      </c>
      <c r="P149" s="4">
        <v>0</v>
      </c>
      <c r="Q149" s="4">
        <v>0</v>
      </c>
      <c r="R149" s="4">
        <v>1103.864</v>
      </c>
      <c r="S149" s="6">
        <f t="shared" si="618"/>
        <v>1105.883</v>
      </c>
      <c r="U149" s="4"/>
      <c r="V149" s="4"/>
      <c r="W149" s="4"/>
      <c r="X149" s="6"/>
      <c r="Y149" s="4"/>
      <c r="Z149" s="4"/>
      <c r="AA149" s="4"/>
      <c r="AB149" s="6"/>
      <c r="AC149" s="4"/>
      <c r="AD149" s="4"/>
      <c r="AE149" s="4"/>
      <c r="AF149" s="6"/>
      <c r="AG149" s="4"/>
      <c r="AH149" s="4"/>
      <c r="AI149" s="4"/>
      <c r="AJ149" s="114"/>
      <c r="AK149" s="4"/>
      <c r="AL149" s="4"/>
      <c r="AM149" s="4"/>
      <c r="AN149" s="114"/>
      <c r="AO149" s="4"/>
      <c r="AP149" s="4"/>
      <c r="AQ149" s="4"/>
      <c r="AR149" s="274"/>
      <c r="AS149" s="4"/>
      <c r="AT149" s="4"/>
      <c r="AU149" s="4"/>
      <c r="AV149" s="274"/>
      <c r="AW149" s="4"/>
      <c r="AX149" s="4"/>
      <c r="AY149" s="4"/>
      <c r="AZ149" s="274">
        <f t="shared" si="629"/>
        <v>0</v>
      </c>
      <c r="BA149" s="4">
        <v>0</v>
      </c>
      <c r="BB149" s="4">
        <v>0</v>
      </c>
      <c r="BC149" s="4">
        <v>0</v>
      </c>
      <c r="BD149" s="274">
        <f t="shared" si="627"/>
        <v>0</v>
      </c>
      <c r="BE149" s="4">
        <v>0</v>
      </c>
      <c r="BF149" s="4">
        <v>0</v>
      </c>
      <c r="BG149" s="4">
        <v>0</v>
      </c>
      <c r="BH149" s="6">
        <f t="shared" si="628"/>
        <v>1103.864</v>
      </c>
      <c r="BI149" s="4">
        <v>1105.883</v>
      </c>
      <c r="BJ149" s="4"/>
      <c r="BK149" s="6"/>
      <c r="BL149" s="6"/>
      <c r="BM149" s="6"/>
      <c r="BN149" s="6"/>
      <c r="BO149" s="6"/>
      <c r="BP149" s="6"/>
      <c r="BQ149" s="4"/>
      <c r="BR149" s="6"/>
      <c r="BS149" s="6"/>
      <c r="BV149" s="6"/>
      <c r="BW149" s="6"/>
      <c r="BX149" s="6"/>
      <c r="CA149" s="6"/>
      <c r="CB149" s="6"/>
      <c r="CE149" s="6"/>
      <c r="CF149" s="6"/>
      <c r="CI149" s="6"/>
    </row>
    <row r="150" spans="2:87" ht="13.5" customHeight="1">
      <c r="B150" s="1" t="s">
        <v>51</v>
      </c>
      <c r="C150" s="4"/>
      <c r="D150" s="4"/>
      <c r="E150" s="4"/>
      <c r="F150" s="4"/>
      <c r="G150" s="4"/>
      <c r="H150" s="4"/>
      <c r="I150" s="4"/>
      <c r="J150" s="4"/>
      <c r="K150" s="4"/>
      <c r="L150" s="267"/>
      <c r="M150" s="267"/>
      <c r="N150" s="267"/>
      <c r="O150" s="4">
        <v>0</v>
      </c>
      <c r="P150" s="4">
        <v>0</v>
      </c>
      <c r="Q150" s="4">
        <v>0</v>
      </c>
      <c r="R150" s="4">
        <v>0</v>
      </c>
      <c r="S150" s="6">
        <f t="shared" si="618"/>
        <v>0</v>
      </c>
      <c r="U150" s="4"/>
      <c r="V150" s="4"/>
      <c r="W150" s="4"/>
      <c r="X150" s="6"/>
      <c r="Y150" s="4"/>
      <c r="Z150" s="4"/>
      <c r="AA150" s="4"/>
      <c r="AB150" s="6"/>
      <c r="AC150" s="4"/>
      <c r="AD150" s="4"/>
      <c r="AE150" s="4"/>
      <c r="AF150" s="6"/>
      <c r="AG150" s="4"/>
      <c r="AH150" s="4"/>
      <c r="AI150" s="4"/>
      <c r="AJ150" s="114"/>
      <c r="AK150" s="4"/>
      <c r="AL150" s="4"/>
      <c r="AM150" s="4"/>
      <c r="AN150" s="114"/>
      <c r="AO150" s="4"/>
      <c r="AP150" s="4"/>
      <c r="AQ150" s="4"/>
      <c r="AR150" s="274"/>
      <c r="AS150" s="4"/>
      <c r="AT150" s="4"/>
      <c r="AU150" s="4"/>
      <c r="AV150" s="274"/>
      <c r="AW150" s="4"/>
      <c r="AX150" s="4"/>
      <c r="AY150" s="4"/>
      <c r="AZ150" s="274">
        <f t="shared" si="629"/>
        <v>0</v>
      </c>
      <c r="BA150" s="4">
        <v>0</v>
      </c>
      <c r="BB150" s="4">
        <v>0</v>
      </c>
      <c r="BC150" s="4">
        <v>0</v>
      </c>
      <c r="BD150" s="274">
        <f t="shared" si="627"/>
        <v>0</v>
      </c>
      <c r="BE150" s="4">
        <v>0</v>
      </c>
      <c r="BF150" s="4">
        <v>0</v>
      </c>
      <c r="BG150" s="4">
        <f>2297.812</f>
        <v>2297.8119999999999</v>
      </c>
      <c r="BH150" s="6">
        <f t="shared" si="628"/>
        <v>0</v>
      </c>
      <c r="BI150" s="4">
        <v>0</v>
      </c>
      <c r="BJ150" s="4"/>
      <c r="BK150" s="6"/>
      <c r="BL150" s="6"/>
      <c r="BM150" s="6"/>
      <c r="BN150" s="6"/>
      <c r="BO150" s="6"/>
      <c r="BP150" s="6"/>
      <c r="BQ150" s="4"/>
      <c r="BR150" s="6"/>
      <c r="BS150" s="6"/>
      <c r="BV150" s="6"/>
      <c r="BW150" s="6"/>
      <c r="BX150" s="6"/>
      <c r="CA150" s="6"/>
      <c r="CB150" s="6"/>
      <c r="CE150" s="6"/>
      <c r="CF150" s="6"/>
      <c r="CI150" s="6"/>
    </row>
    <row r="151" spans="2:87" ht="13.5" customHeight="1">
      <c r="B151" s="1" t="s">
        <v>52</v>
      </c>
      <c r="C151" s="4"/>
      <c r="D151" s="4"/>
      <c r="E151" s="4"/>
      <c r="F151" s="4"/>
      <c r="G151" s="4"/>
      <c r="H151" s="4"/>
      <c r="I151" s="4"/>
      <c r="J151" s="4"/>
      <c r="K151" s="4"/>
      <c r="L151" s="267"/>
      <c r="M151" s="267"/>
      <c r="N151" s="267"/>
      <c r="O151" s="4">
        <v>0</v>
      </c>
      <c r="P151" s="4">
        <v>5000</v>
      </c>
      <c r="Q151" s="4">
        <v>5000</v>
      </c>
      <c r="R151" s="4">
        <v>5000</v>
      </c>
      <c r="S151" s="6">
        <f t="shared" si="618"/>
        <v>5000</v>
      </c>
      <c r="U151" s="4"/>
      <c r="V151" s="4"/>
      <c r="W151" s="4"/>
      <c r="X151" s="6"/>
      <c r="Y151" s="4"/>
      <c r="Z151" s="4"/>
      <c r="AA151" s="4"/>
      <c r="AB151" s="6"/>
      <c r="AC151" s="4"/>
      <c r="AD151" s="4"/>
      <c r="AE151" s="4"/>
      <c r="AF151" s="6"/>
      <c r="AG151" s="4"/>
      <c r="AH151" s="4"/>
      <c r="AI151" s="4"/>
      <c r="AJ151" s="114"/>
      <c r="AK151" s="4"/>
      <c r="AL151" s="4"/>
      <c r="AM151" s="4"/>
      <c r="AN151" s="114"/>
      <c r="AO151" s="4"/>
      <c r="AP151" s="4"/>
      <c r="AQ151" s="4"/>
      <c r="AR151" s="274"/>
      <c r="AS151" s="4"/>
      <c r="AT151" s="4"/>
      <c r="AU151" s="4"/>
      <c r="AV151" s="274"/>
      <c r="AW151" s="4"/>
      <c r="AX151" s="4"/>
      <c r="AY151" s="4"/>
      <c r="AZ151" s="274">
        <f t="shared" si="629"/>
        <v>5000</v>
      </c>
      <c r="BA151" s="4">
        <v>5000</v>
      </c>
      <c r="BB151" s="4">
        <v>5000</v>
      </c>
      <c r="BC151" s="4">
        <v>5000</v>
      </c>
      <c r="BD151" s="274">
        <f t="shared" si="627"/>
        <v>5000</v>
      </c>
      <c r="BE151" s="4">
        <v>5000</v>
      </c>
      <c r="BF151" s="4">
        <v>5000</v>
      </c>
      <c r="BG151" s="4">
        <v>5000</v>
      </c>
      <c r="BH151" s="6">
        <f t="shared" si="628"/>
        <v>5000</v>
      </c>
      <c r="BI151" s="4">
        <v>5000</v>
      </c>
      <c r="BJ151" s="4"/>
      <c r="BK151" s="6"/>
      <c r="BL151" s="6"/>
      <c r="BM151" s="6"/>
      <c r="BN151" s="6"/>
      <c r="BO151" s="6"/>
      <c r="BP151" s="6"/>
      <c r="BQ151" s="4"/>
      <c r="BR151" s="6"/>
      <c r="BS151" s="6"/>
      <c r="BV151" s="6"/>
      <c r="BW151" s="6"/>
      <c r="BX151" s="6"/>
      <c r="CA151" s="6"/>
      <c r="CB151" s="6"/>
      <c r="CE151" s="6"/>
      <c r="CF151" s="6"/>
      <c r="CI151" s="6"/>
    </row>
    <row r="152" spans="2:87" ht="13.5" customHeight="1">
      <c r="B152" s="1" t="s">
        <v>373</v>
      </c>
      <c r="C152" s="4"/>
      <c r="D152" s="4"/>
      <c r="E152" s="4"/>
      <c r="F152" s="4"/>
      <c r="G152" s="4"/>
      <c r="H152" s="4"/>
      <c r="I152" s="4"/>
      <c r="J152" s="4"/>
      <c r="K152" s="4"/>
      <c r="L152" s="267"/>
      <c r="M152" s="267"/>
      <c r="N152" s="267"/>
      <c r="O152" s="4">
        <v>0</v>
      </c>
      <c r="P152" s="4">
        <v>0</v>
      </c>
      <c r="Q152" s="4">
        <v>3040.2449999999999</v>
      </c>
      <c r="R152" s="4">
        <v>2695.0050000000001</v>
      </c>
      <c r="S152" s="6">
        <f t="shared" si="618"/>
        <v>2710.0050000000001</v>
      </c>
      <c r="U152" s="4"/>
      <c r="V152" s="4"/>
      <c r="W152" s="4"/>
      <c r="X152" s="6"/>
      <c r="Y152" s="4"/>
      <c r="Z152" s="4"/>
      <c r="AA152" s="4"/>
      <c r="AB152" s="6"/>
      <c r="AC152" s="4"/>
      <c r="AD152" s="4"/>
      <c r="AE152" s="4"/>
      <c r="AF152" s="6"/>
      <c r="AG152" s="4"/>
      <c r="AH152" s="4"/>
      <c r="AI152" s="4"/>
      <c r="AJ152" s="114"/>
      <c r="AK152" s="4"/>
      <c r="AL152" s="4"/>
      <c r="AM152" s="4"/>
      <c r="AN152" s="114"/>
      <c r="AO152" s="4"/>
      <c r="AP152" s="4"/>
      <c r="AQ152" s="4"/>
      <c r="AR152" s="274"/>
      <c r="AS152" s="4"/>
      <c r="AT152" s="4"/>
      <c r="AU152" s="4"/>
      <c r="AV152" s="274"/>
      <c r="AW152" s="4"/>
      <c r="AX152" s="4"/>
      <c r="AY152" s="4"/>
      <c r="AZ152" s="274">
        <f t="shared" si="629"/>
        <v>0</v>
      </c>
      <c r="BA152" s="4">
        <v>0</v>
      </c>
      <c r="BB152" s="4">
        <v>3056.9549999999999</v>
      </c>
      <c r="BC152" s="4">
        <v>1216.998</v>
      </c>
      <c r="BD152" s="274">
        <f t="shared" si="627"/>
        <v>3040.2449999999999</v>
      </c>
      <c r="BE152" s="4">
        <v>3047.73</v>
      </c>
      <c r="BF152" s="4">
        <v>2833.92</v>
      </c>
      <c r="BG152" s="4">
        <v>2757.375</v>
      </c>
      <c r="BH152" s="6">
        <f t="shared" si="628"/>
        <v>2695.0050000000001</v>
      </c>
      <c r="BI152" s="4">
        <v>2710.0050000000001</v>
      </c>
      <c r="BJ152" s="4"/>
      <c r="BK152" s="6"/>
      <c r="BL152" s="6"/>
      <c r="BM152" s="6"/>
      <c r="BN152" s="6"/>
      <c r="BO152" s="6"/>
      <c r="BP152" s="6"/>
      <c r="BQ152" s="4"/>
      <c r="BR152" s="6"/>
      <c r="BS152" s="6"/>
      <c r="BV152" s="6"/>
      <c r="BW152" s="6"/>
      <c r="BX152" s="6"/>
      <c r="CA152" s="6"/>
      <c r="CB152" s="6"/>
      <c r="CE152" s="6"/>
      <c r="CF152" s="6"/>
      <c r="CI152" s="6"/>
    </row>
    <row r="153" spans="2:87" ht="13.5" customHeight="1">
      <c r="B153" s="1" t="s">
        <v>374</v>
      </c>
      <c r="C153" s="4"/>
      <c r="D153" s="4"/>
      <c r="E153" s="4"/>
      <c r="F153" s="4"/>
      <c r="G153" s="4"/>
      <c r="H153" s="4"/>
      <c r="I153" s="4"/>
      <c r="J153" s="4"/>
      <c r="K153" s="4"/>
      <c r="L153" s="267"/>
      <c r="M153" s="267"/>
      <c r="N153" s="267"/>
      <c r="O153" s="4">
        <v>0</v>
      </c>
      <c r="P153" s="4">
        <v>0</v>
      </c>
      <c r="Q153" s="4">
        <v>0</v>
      </c>
      <c r="R153" s="4">
        <v>3171.0749999999998</v>
      </c>
      <c r="S153" s="6">
        <f t="shared" si="618"/>
        <v>3118.5450000000001</v>
      </c>
      <c r="U153" s="4"/>
      <c r="V153" s="4"/>
      <c r="W153" s="4"/>
      <c r="X153" s="6"/>
      <c r="Y153" s="4"/>
      <c r="Z153" s="4"/>
      <c r="AA153" s="4"/>
      <c r="AB153" s="6"/>
      <c r="AC153" s="4"/>
      <c r="AD153" s="4"/>
      <c r="AE153" s="4"/>
      <c r="AF153" s="6"/>
      <c r="AG153" s="4"/>
      <c r="AH153" s="4"/>
      <c r="AI153" s="4"/>
      <c r="AJ153" s="114"/>
      <c r="AK153" s="4"/>
      <c r="AL153" s="4"/>
      <c r="AM153" s="4"/>
      <c r="AN153" s="114"/>
      <c r="AO153" s="4"/>
      <c r="AP153" s="4"/>
      <c r="AQ153" s="4"/>
      <c r="AR153" s="274"/>
      <c r="AS153" s="4"/>
      <c r="AT153" s="4"/>
      <c r="AU153" s="4"/>
      <c r="AV153" s="274"/>
      <c r="AW153" s="4"/>
      <c r="AX153" s="4"/>
      <c r="AY153" s="4"/>
      <c r="AZ153" s="274">
        <f t="shared" si="629"/>
        <v>0</v>
      </c>
      <c r="BA153" s="4">
        <v>0</v>
      </c>
      <c r="BB153" s="4">
        <v>0</v>
      </c>
      <c r="BC153" s="4">
        <v>0</v>
      </c>
      <c r="BD153" s="274">
        <f t="shared" si="627"/>
        <v>0</v>
      </c>
      <c r="BE153" s="4">
        <v>0</v>
      </c>
      <c r="BF153" s="4">
        <v>0</v>
      </c>
      <c r="BG153" s="4">
        <v>3215.9250000000002</v>
      </c>
      <c r="BH153" s="6">
        <f t="shared" si="628"/>
        <v>3171.0749999999998</v>
      </c>
      <c r="BI153" s="4">
        <v>3118.5450000000001</v>
      </c>
      <c r="BJ153" s="4"/>
      <c r="BK153" s="6"/>
      <c r="BL153" s="6"/>
      <c r="BM153" s="6"/>
      <c r="BN153" s="6"/>
      <c r="BO153" s="6"/>
      <c r="BP153" s="6"/>
      <c r="BQ153" s="4"/>
      <c r="BR153" s="6"/>
      <c r="BS153" s="6"/>
      <c r="BV153" s="6"/>
      <c r="BW153" s="6"/>
      <c r="BX153" s="6"/>
      <c r="CA153" s="6"/>
      <c r="CB153" s="6"/>
      <c r="CE153" s="6"/>
      <c r="CF153" s="6"/>
      <c r="CI153" s="6"/>
    </row>
    <row r="154" spans="2:87" ht="13.5" customHeight="1">
      <c r="B154" s="1" t="s">
        <v>375</v>
      </c>
      <c r="C154" s="4"/>
      <c r="D154" s="4"/>
      <c r="E154" s="4"/>
      <c r="F154" s="4"/>
      <c r="G154" s="4"/>
      <c r="H154" s="4"/>
      <c r="I154" s="4"/>
      <c r="J154" s="4"/>
      <c r="K154" s="4"/>
      <c r="L154" s="267"/>
      <c r="M154" s="267"/>
      <c r="N154" s="267"/>
      <c r="O154" s="4">
        <v>0</v>
      </c>
      <c r="P154" s="4">
        <v>0</v>
      </c>
      <c r="Q154" s="4">
        <v>0</v>
      </c>
      <c r="R154" s="4">
        <v>1585.538</v>
      </c>
      <c r="S154" s="6">
        <f t="shared" si="618"/>
        <v>1559.2729999999999</v>
      </c>
      <c r="U154" s="4"/>
      <c r="V154" s="4"/>
      <c r="W154" s="4"/>
      <c r="X154" s="6"/>
      <c r="Y154" s="4"/>
      <c r="Z154" s="4"/>
      <c r="AA154" s="4"/>
      <c r="AB154" s="6"/>
      <c r="AC154" s="4"/>
      <c r="AD154" s="4"/>
      <c r="AE154" s="4"/>
      <c r="AF154" s="6"/>
      <c r="AG154" s="4"/>
      <c r="AH154" s="4"/>
      <c r="AI154" s="4"/>
      <c r="AJ154" s="114"/>
      <c r="AK154" s="4"/>
      <c r="AL154" s="4"/>
      <c r="AM154" s="4"/>
      <c r="AN154" s="114"/>
      <c r="AO154" s="4"/>
      <c r="AP154" s="4"/>
      <c r="AQ154" s="4"/>
      <c r="AR154" s="274"/>
      <c r="AS154" s="4"/>
      <c r="AT154" s="4"/>
      <c r="AU154" s="4"/>
      <c r="AV154" s="274"/>
      <c r="AW154" s="4"/>
      <c r="AX154" s="4"/>
      <c r="AY154" s="4"/>
      <c r="AZ154" s="274">
        <f t="shared" si="629"/>
        <v>0</v>
      </c>
      <c r="BA154" s="4">
        <v>0</v>
      </c>
      <c r="BB154" s="4">
        <v>0</v>
      </c>
      <c r="BC154" s="4">
        <v>0</v>
      </c>
      <c r="BD154" s="274">
        <f t="shared" si="627"/>
        <v>0</v>
      </c>
      <c r="BE154" s="4">
        <v>0</v>
      </c>
      <c r="BF154" s="4">
        <v>0</v>
      </c>
      <c r="BG154" s="4">
        <v>0</v>
      </c>
      <c r="BH154" s="6">
        <f t="shared" si="628"/>
        <v>1585.538</v>
      </c>
      <c r="BI154" s="4">
        <v>1559.2729999999999</v>
      </c>
      <c r="BJ154" s="4"/>
      <c r="BK154" s="6"/>
      <c r="BL154" s="6"/>
      <c r="BM154" s="6"/>
      <c r="BN154" s="6"/>
      <c r="BO154" s="6"/>
      <c r="BP154" s="6"/>
      <c r="BQ154" s="4"/>
      <c r="BR154" s="6"/>
      <c r="BS154" s="6"/>
      <c r="BV154" s="6"/>
      <c r="BW154" s="6"/>
      <c r="BX154" s="6"/>
      <c r="CA154" s="6"/>
      <c r="CB154" s="6"/>
      <c r="CE154" s="6"/>
      <c r="CF154" s="6"/>
      <c r="CI154" s="6"/>
    </row>
    <row r="155" spans="2:87" ht="13.5" customHeight="1">
      <c r="B155" s="1" t="s">
        <v>56</v>
      </c>
      <c r="C155" s="4">
        <v>2295</v>
      </c>
      <c r="D155" s="4">
        <v>5585</v>
      </c>
      <c r="E155" s="4">
        <v>6515</v>
      </c>
      <c r="F155" s="4">
        <f>695.591+1885.679+550.061+24.066+436.507+553.982+185.08</f>
        <v>4330.9660000000003</v>
      </c>
      <c r="G155" s="4">
        <v>2783.0050000000001</v>
      </c>
      <c r="H155" s="4">
        <v>2783.0050000000001</v>
      </c>
      <c r="I155" s="4">
        <v>2152.203</v>
      </c>
      <c r="J155" s="4">
        <v>2152.203</v>
      </c>
      <c r="K155" s="4">
        <v>1707.6289999999999</v>
      </c>
      <c r="L155" s="267">
        <v>7483.3519999999999</v>
      </c>
      <c r="M155" s="267">
        <v>7483.3519999999999</v>
      </c>
      <c r="N155" s="267">
        <v>7521.8890000000001</v>
      </c>
      <c r="O155" s="4">
        <v>7521.8890000000001</v>
      </c>
      <c r="P155" s="4">
        <v>4141.1270000000004</v>
      </c>
      <c r="Q155" s="4">
        <v>3330.4969999999998</v>
      </c>
      <c r="R155" s="4">
        <v>3621.61</v>
      </c>
      <c r="S155" s="6">
        <f t="shared" si="618"/>
        <v>3873.6320000000001</v>
      </c>
      <c r="U155" s="4"/>
      <c r="V155" s="4"/>
      <c r="W155" s="4"/>
      <c r="X155" s="6">
        <f>+E155</f>
        <v>6515</v>
      </c>
      <c r="Y155" s="4"/>
      <c r="Z155" s="4"/>
      <c r="AA155" s="4">
        <v>6683</v>
      </c>
      <c r="AB155" s="6">
        <f>+F155</f>
        <v>4330.9660000000003</v>
      </c>
      <c r="AC155" s="4">
        <v>4547.9679999999998</v>
      </c>
      <c r="AD155" s="4">
        <v>4606.7650000000003</v>
      </c>
      <c r="AE155" s="4">
        <v>3529.99</v>
      </c>
      <c r="AF155" s="6">
        <f>G155</f>
        <v>2783.0050000000001</v>
      </c>
      <c r="AG155" s="4">
        <v>4009.5639999999999</v>
      </c>
      <c r="AH155" s="4">
        <v>4065.873</v>
      </c>
      <c r="AI155" s="4">
        <v>3722.0929999999998</v>
      </c>
      <c r="AJ155" s="114">
        <f>I155</f>
        <v>2152.203</v>
      </c>
      <c r="AK155" s="4">
        <v>3343.489</v>
      </c>
      <c r="AL155" s="4">
        <v>2642.9209999999998</v>
      </c>
      <c r="AM155" s="4">
        <v>2122.3969999999999</v>
      </c>
      <c r="AN155" s="114">
        <f>K155</f>
        <v>1707.6289999999999</v>
      </c>
      <c r="AO155" s="4">
        <v>2373.9299999999998</v>
      </c>
      <c r="AP155" s="4">
        <v>5665.79</v>
      </c>
      <c r="AQ155" s="4">
        <v>6440.46</v>
      </c>
      <c r="AR155" s="274">
        <f>M155</f>
        <v>7483.3519999999999</v>
      </c>
      <c r="AS155" s="4">
        <v>7556.4120000000003</v>
      </c>
      <c r="AT155" s="4">
        <f>8689.695+2460</f>
        <v>11149.695</v>
      </c>
      <c r="AU155" s="4">
        <f>6770.156+610</f>
        <v>7380.1559999999999</v>
      </c>
      <c r="AV155" s="274">
        <f>N155</f>
        <v>7521.8890000000001</v>
      </c>
      <c r="AW155" s="4">
        <v>8875.4809999999998</v>
      </c>
      <c r="AX155" s="4">
        <f>8209.441</f>
        <v>8209.4410000000007</v>
      </c>
      <c r="AY155" s="4">
        <v>7686.5640000000003</v>
      </c>
      <c r="AZ155" s="274">
        <f t="shared" si="629"/>
        <v>4141.1270000000004</v>
      </c>
      <c r="BA155" s="4">
        <v>3409.4380000000001</v>
      </c>
      <c r="BB155" s="4">
        <v>3678.2359999999999</v>
      </c>
      <c r="BC155" s="4">
        <v>4265.1189999999997</v>
      </c>
      <c r="BD155" s="274">
        <f t="shared" si="627"/>
        <v>3330.4969999999998</v>
      </c>
      <c r="BE155" s="4">
        <v>4731.4219999999996</v>
      </c>
      <c r="BF155" s="4">
        <f>4234.286</f>
        <v>4234.2860000000001</v>
      </c>
      <c r="BG155" s="4">
        <v>3578.4279999999999</v>
      </c>
      <c r="BH155" s="6">
        <f t="shared" si="628"/>
        <v>3621.61</v>
      </c>
      <c r="BI155" s="4">
        <v>3873.6320000000001</v>
      </c>
      <c r="BJ155" s="4"/>
      <c r="BK155" s="6"/>
      <c r="BL155" s="6"/>
      <c r="BM155" s="6"/>
      <c r="BN155" s="6"/>
      <c r="BO155" s="6"/>
      <c r="BP155" s="6"/>
      <c r="BQ155" s="4"/>
      <c r="BR155" s="6"/>
      <c r="BS155" s="6"/>
      <c r="BV155" s="6"/>
      <c r="BW155" s="6"/>
      <c r="BX155" s="6"/>
      <c r="CA155" s="6"/>
      <c r="CB155" s="6"/>
      <c r="CE155" s="6"/>
      <c r="CF155" s="6"/>
      <c r="CI155" s="6"/>
    </row>
    <row r="156" spans="2:87" ht="13.5" customHeight="1">
      <c r="B156" s="1" t="s">
        <v>57</v>
      </c>
      <c r="C156" s="4"/>
      <c r="D156" s="4"/>
      <c r="E156" s="4"/>
      <c r="F156" s="4"/>
      <c r="G156" s="4"/>
      <c r="H156" s="4"/>
      <c r="I156" s="4"/>
      <c r="J156" s="4"/>
      <c r="K156" s="4"/>
      <c r="L156" s="267">
        <v>12350.1</v>
      </c>
      <c r="M156" s="267">
        <v>12350.1</v>
      </c>
      <c r="N156" s="267">
        <v>11331.647000000001</v>
      </c>
      <c r="O156" s="4">
        <v>11331.647000000001</v>
      </c>
      <c r="P156" s="4">
        <v>9887.2080000000005</v>
      </c>
      <c r="Q156" s="4">
        <v>11862.367</v>
      </c>
      <c r="R156" s="4">
        <v>10515.316999999999</v>
      </c>
      <c r="S156" s="6">
        <f t="shared" si="618"/>
        <v>10573.843000000001</v>
      </c>
      <c r="U156" s="4"/>
      <c r="V156" s="4"/>
      <c r="W156" s="4"/>
      <c r="X156" s="6"/>
      <c r="Y156" s="4"/>
      <c r="Z156" s="4"/>
      <c r="AA156" s="4"/>
      <c r="AB156" s="6"/>
      <c r="AC156" s="4"/>
      <c r="AD156" s="4"/>
      <c r="AE156" s="4"/>
      <c r="AF156" s="6"/>
      <c r="AG156" s="4"/>
      <c r="AH156" s="4"/>
      <c r="AI156" s="4"/>
      <c r="AJ156" s="114"/>
      <c r="AK156" s="4"/>
      <c r="AL156" s="4"/>
      <c r="AM156" s="4"/>
      <c r="AN156" s="114"/>
      <c r="AO156" s="4"/>
      <c r="AP156" s="4">
        <v>11881.62</v>
      </c>
      <c r="AQ156" s="4">
        <v>12183.6</v>
      </c>
      <c r="AR156" s="274">
        <f>M156</f>
        <v>12350.1</v>
      </c>
      <c r="AS156" s="4">
        <v>11996.52</v>
      </c>
      <c r="AT156" s="4">
        <v>11696.385</v>
      </c>
      <c r="AU156" s="4">
        <v>11884.314</v>
      </c>
      <c r="AV156" s="274">
        <f>N156</f>
        <v>11331.647000000001</v>
      </c>
      <c r="AW156" s="4">
        <v>10596.376</v>
      </c>
      <c r="AX156" s="4">
        <v>9991.6779999999999</v>
      </c>
      <c r="AY156" s="4">
        <v>10312.111000000001</v>
      </c>
      <c r="AZ156" s="274">
        <f t="shared" si="629"/>
        <v>9887.2080000000005</v>
      </c>
      <c r="BA156" s="4">
        <v>9761.0830000000005</v>
      </c>
      <c r="BB156" s="4">
        <v>10755.627</v>
      </c>
      <c r="BC156" s="4">
        <v>11488.206</v>
      </c>
      <c r="BD156" s="274">
        <f t="shared" si="627"/>
        <v>11862.367</v>
      </c>
      <c r="BE156" s="4">
        <v>11891.572</v>
      </c>
      <c r="BF156" s="4">
        <v>11057.332</v>
      </c>
      <c r="BG156" s="4">
        <v>10758.67</v>
      </c>
      <c r="BH156" s="6">
        <f t="shared" si="628"/>
        <v>10515.316999999999</v>
      </c>
      <c r="BI156" s="4">
        <v>10573.843000000001</v>
      </c>
      <c r="BJ156" s="4"/>
      <c r="BK156" s="6"/>
      <c r="BL156" s="6"/>
      <c r="BM156" s="6"/>
      <c r="BN156" s="6"/>
      <c r="BO156" s="6"/>
      <c r="BP156" s="6"/>
      <c r="BQ156" s="4"/>
      <c r="BR156" s="6"/>
      <c r="BS156" s="6"/>
      <c r="BV156" s="6"/>
      <c r="BW156" s="6"/>
      <c r="BX156" s="6"/>
      <c r="CA156" s="6"/>
      <c r="CB156" s="6"/>
      <c r="CE156" s="6"/>
      <c r="CF156" s="6"/>
      <c r="CI156" s="6"/>
    </row>
    <row r="157" spans="2:87" ht="13.5" customHeight="1">
      <c r="B157" s="1" t="s">
        <v>58</v>
      </c>
      <c r="C157" s="4">
        <v>-430</v>
      </c>
      <c r="D157" s="4">
        <v>-377</v>
      </c>
      <c r="E157" s="4">
        <v>-396</v>
      </c>
      <c r="F157" s="4">
        <v>0</v>
      </c>
      <c r="G157" s="4">
        <v>-364.28199999999998</v>
      </c>
      <c r="H157" s="4">
        <v>-364.28199999999998</v>
      </c>
      <c r="I157" s="4">
        <v>-585.59400000000005</v>
      </c>
      <c r="J157" s="4">
        <v>-585.59400000000005</v>
      </c>
      <c r="K157" s="4">
        <v>-531.00099999999998</v>
      </c>
      <c r="L157" s="267">
        <v>-772.327</v>
      </c>
      <c r="M157" s="267">
        <v>-772.327</v>
      </c>
      <c r="N157" s="267">
        <v>-687.75400000000002</v>
      </c>
      <c r="O157" s="4">
        <v>-687.75400000000002</v>
      </c>
      <c r="P157" s="4">
        <v>-854.56</v>
      </c>
      <c r="Q157" s="4">
        <f>-1109.916+290.103</f>
        <v>-819.81299999999987</v>
      </c>
      <c r="R157" s="4">
        <f>-1050.386+193.533</f>
        <v>-856.85299999999995</v>
      </c>
      <c r="S157" s="6">
        <f t="shared" si="618"/>
        <v>-862.14200000000005</v>
      </c>
      <c r="U157" s="4"/>
      <c r="V157" s="4"/>
      <c r="W157" s="4"/>
      <c r="X157" s="6">
        <f>+E157</f>
        <v>-396</v>
      </c>
      <c r="Y157" s="4"/>
      <c r="Z157" s="4"/>
      <c r="AA157" s="4">
        <v>-353</v>
      </c>
      <c r="AB157" s="6">
        <f>+F157</f>
        <v>0</v>
      </c>
      <c r="AC157" s="4">
        <v>-406.16800000000001</v>
      </c>
      <c r="AD157" s="4">
        <v>-389.988</v>
      </c>
      <c r="AE157" s="4">
        <v>-377.47899999999998</v>
      </c>
      <c r="AF157" s="6">
        <f>G157</f>
        <v>-364.28199999999998</v>
      </c>
      <c r="AG157" s="4">
        <v>-351.69400000000002</v>
      </c>
      <c r="AH157" s="4">
        <v>-338.84100000000001</v>
      </c>
      <c r="AI157" s="4">
        <v>-599.92999999999995</v>
      </c>
      <c r="AJ157" s="114">
        <f>I157</f>
        <v>-585.59400000000005</v>
      </c>
      <c r="AK157" s="4">
        <v>-572.09500000000003</v>
      </c>
      <c r="AL157" s="4">
        <v>-557.05200000000002</v>
      </c>
      <c r="AM157" s="4">
        <v>-544.02599999999995</v>
      </c>
      <c r="AN157" s="114">
        <f>K157</f>
        <v>-531.00099999999998</v>
      </c>
      <c r="AO157" s="4">
        <v>-517.31600000000003</v>
      </c>
      <c r="AP157" s="4">
        <v>-737.87099999999998</v>
      </c>
      <c r="AQ157" s="4">
        <v>-768.93</v>
      </c>
      <c r="AR157" s="274">
        <f>M157</f>
        <v>-772.327</v>
      </c>
      <c r="AS157" s="4">
        <v>-752.67</v>
      </c>
      <c r="AT157" s="4">
        <v>-721.33600000000001</v>
      </c>
      <c r="AU157" s="4">
        <v>-711.47699999999998</v>
      </c>
      <c r="AV157" s="274">
        <f>N157</f>
        <v>-687.75400000000002</v>
      </c>
      <c r="AW157" s="4">
        <v>-716.36099999999999</v>
      </c>
      <c r="AX157" s="4">
        <v>-761.54100000000005</v>
      </c>
      <c r="AY157" s="4">
        <v>-758.29300000000001</v>
      </c>
      <c r="AZ157" s="274">
        <f t="shared" si="629"/>
        <v>-854.56</v>
      </c>
      <c r="BA157" s="4">
        <f>-1052.939+283.012</f>
        <v>-769.92700000000013</v>
      </c>
      <c r="BB157" s="4">
        <f>(-1088175+295577)/1000</f>
        <v>-792.59799999999996</v>
      </c>
      <c r="BC157" s="4">
        <f>-1117.109+298.331</f>
        <v>-818.77799999999991</v>
      </c>
      <c r="BD157" s="274">
        <f t="shared" si="627"/>
        <v>-819.81299999999987</v>
      </c>
      <c r="BE157" s="4">
        <f>-1105.301+272.828</f>
        <v>-832.47299999999996</v>
      </c>
      <c r="BF157" s="4">
        <f>-1049.008+236.962</f>
        <v>-812.04600000000005</v>
      </c>
      <c r="BG157" s="4">
        <f>-1077.922+214.287</f>
        <v>-863.63499999999999</v>
      </c>
      <c r="BH157" s="6">
        <f t="shared" si="628"/>
        <v>-856.85299999999995</v>
      </c>
      <c r="BI157" s="4">
        <f>-1040.757+178.615</f>
        <v>-862.14200000000005</v>
      </c>
      <c r="BJ157" s="4"/>
      <c r="BK157" s="6"/>
      <c r="BL157" s="6"/>
      <c r="BM157" s="6"/>
      <c r="BN157" s="6"/>
      <c r="BO157" s="6"/>
      <c r="BP157" s="6"/>
      <c r="BQ157" s="4"/>
      <c r="BR157" s="6"/>
      <c r="BS157" s="6"/>
      <c r="BV157" s="6"/>
      <c r="BW157" s="6"/>
      <c r="BX157" s="6"/>
      <c r="CA157" s="6"/>
      <c r="CB157" s="6"/>
      <c r="CE157" s="6"/>
      <c r="CF157" s="6"/>
      <c r="CI157" s="6"/>
    </row>
    <row r="158" spans="2:87" s="5" customFormat="1" ht="13.5" customHeight="1">
      <c r="B158" s="5" t="s">
        <v>68</v>
      </c>
      <c r="C158" s="8">
        <f t="shared" ref="C158:Q158" si="630">SUM(C118:C157)</f>
        <v>62204</v>
      </c>
      <c r="D158" s="8">
        <f t="shared" si="630"/>
        <v>67761</v>
      </c>
      <c r="E158" s="8">
        <f t="shared" si="630"/>
        <v>82501</v>
      </c>
      <c r="F158" s="8">
        <f t="shared" si="630"/>
        <v>94312.737000000008</v>
      </c>
      <c r="G158" s="8">
        <f t="shared" si="630"/>
        <v>89845.801999999996</v>
      </c>
      <c r="H158" s="8">
        <f t="shared" si="630"/>
        <v>89845.801999999996</v>
      </c>
      <c r="I158" s="8">
        <f t="shared" si="630"/>
        <v>86671.775999999998</v>
      </c>
      <c r="J158" s="8">
        <f t="shared" si="630"/>
        <v>86671.775999999998</v>
      </c>
      <c r="K158" s="8">
        <f t="shared" si="630"/>
        <v>85228.749999999985</v>
      </c>
      <c r="L158" s="8">
        <f t="shared" si="630"/>
        <v>92855.176999999996</v>
      </c>
      <c r="M158" s="8">
        <f t="shared" si="630"/>
        <v>92855.176999999996</v>
      </c>
      <c r="N158" s="8">
        <f t="shared" si="630"/>
        <v>84054.473999999987</v>
      </c>
      <c r="O158" s="8">
        <f t="shared" si="630"/>
        <v>84054.473999999987</v>
      </c>
      <c r="P158" s="8">
        <f t="shared" si="630"/>
        <v>109935.32100000001</v>
      </c>
      <c r="Q158" s="8">
        <f t="shared" si="630"/>
        <v>150905.552</v>
      </c>
      <c r="R158" s="8">
        <f>SUM(R118:R157)</f>
        <v>153663.09200000003</v>
      </c>
      <c r="S158" s="8">
        <f>SUM(S118:S157)</f>
        <v>157325.14000000001</v>
      </c>
      <c r="U158" s="23"/>
      <c r="V158" s="23"/>
      <c r="W158" s="23"/>
      <c r="X158" s="8">
        <f>SUM(X119:X157)</f>
        <v>82501</v>
      </c>
      <c r="Y158" s="8"/>
      <c r="Z158" s="23"/>
      <c r="AA158" s="8">
        <f t="shared" ref="AA158:BI158" si="631">SUM(AA118:AA157)</f>
        <v>75555</v>
      </c>
      <c r="AB158" s="8">
        <f t="shared" si="631"/>
        <v>94312.737000000008</v>
      </c>
      <c r="AC158" s="8">
        <f t="shared" si="631"/>
        <v>89540.594999999987</v>
      </c>
      <c r="AD158" s="8">
        <f t="shared" si="631"/>
        <v>92731.492000000013</v>
      </c>
      <c r="AE158" s="8">
        <f t="shared" si="631"/>
        <v>87935.11099999999</v>
      </c>
      <c r="AF158" s="8">
        <f t="shared" si="631"/>
        <v>89845.801999999996</v>
      </c>
      <c r="AG158" s="8">
        <f t="shared" si="631"/>
        <v>90007.168999999994</v>
      </c>
      <c r="AH158" s="8">
        <f t="shared" si="631"/>
        <v>89114.648000000001</v>
      </c>
      <c r="AI158" s="8">
        <f t="shared" si="631"/>
        <v>101952.24900000001</v>
      </c>
      <c r="AJ158" s="8">
        <f t="shared" si="631"/>
        <v>86671.775999999998</v>
      </c>
      <c r="AK158" s="8">
        <f t="shared" si="631"/>
        <v>120136.572</v>
      </c>
      <c r="AL158" s="8">
        <f t="shared" si="631"/>
        <v>103192.861</v>
      </c>
      <c r="AM158" s="8">
        <f t="shared" si="631"/>
        <v>96671.467000000004</v>
      </c>
      <c r="AN158" s="8">
        <f t="shared" si="631"/>
        <v>85228.749999999985</v>
      </c>
      <c r="AO158" s="8">
        <f t="shared" si="631"/>
        <v>88071.632999999987</v>
      </c>
      <c r="AP158" s="8">
        <f t="shared" si="631"/>
        <v>88462.082999999984</v>
      </c>
      <c r="AQ158" s="8">
        <f t="shared" si="631"/>
        <v>90888.080000000016</v>
      </c>
      <c r="AR158" s="8">
        <f t="shared" si="631"/>
        <v>92855.176999999996</v>
      </c>
      <c r="AS158" s="8">
        <f t="shared" si="631"/>
        <v>91021.782999999996</v>
      </c>
      <c r="AT158" s="8">
        <f t="shared" si="631"/>
        <v>93672.993000000017</v>
      </c>
      <c r="AU158" s="8">
        <f t="shared" si="631"/>
        <v>99718.322</v>
      </c>
      <c r="AV158" s="8">
        <f t="shared" si="631"/>
        <v>84054.473999999987</v>
      </c>
      <c r="AW158" s="8">
        <f t="shared" si="631"/>
        <v>92539.058000000005</v>
      </c>
      <c r="AX158" s="8">
        <f t="shared" si="631"/>
        <v>100480.01400000001</v>
      </c>
      <c r="AY158" s="8">
        <f t="shared" si="631"/>
        <v>107281.719</v>
      </c>
      <c r="AZ158" s="8">
        <f t="shared" si="631"/>
        <v>109935.32100000001</v>
      </c>
      <c r="BA158" s="8">
        <f t="shared" si="631"/>
        <v>128391.431</v>
      </c>
      <c r="BB158" s="8">
        <f t="shared" si="631"/>
        <v>135495.318</v>
      </c>
      <c r="BC158" s="8">
        <f t="shared" si="631"/>
        <v>145635.51</v>
      </c>
      <c r="BD158" s="8">
        <f t="shared" si="631"/>
        <v>150905.552</v>
      </c>
      <c r="BE158" s="8">
        <f t="shared" si="631"/>
        <v>161238.41899999999</v>
      </c>
      <c r="BF158" s="8">
        <f t="shared" si="631"/>
        <v>156935.11300000004</v>
      </c>
      <c r="BG158" s="8">
        <f t="shared" si="631"/>
        <v>156688.12399999998</v>
      </c>
      <c r="BH158" s="8">
        <f t="shared" si="631"/>
        <v>153663.09200000003</v>
      </c>
      <c r="BI158" s="8">
        <f t="shared" si="631"/>
        <v>157325.14000000001</v>
      </c>
      <c r="BJ158" s="8"/>
      <c r="BK158" s="8"/>
      <c r="BL158" s="8"/>
      <c r="BM158" s="8"/>
      <c r="BN158" s="8"/>
      <c r="BO158" s="8"/>
      <c r="BP158" s="8"/>
      <c r="BQ158" s="23"/>
      <c r="BR158" s="8"/>
      <c r="BS158" s="8"/>
      <c r="BT158" s="1"/>
      <c r="BU158" s="1"/>
      <c r="BV158" s="8"/>
      <c r="BW158" s="8"/>
      <c r="BX158" s="8"/>
      <c r="BY158" s="1"/>
      <c r="BZ158" s="1"/>
      <c r="CA158" s="8"/>
      <c r="CB158" s="8"/>
      <c r="CC158" s="1"/>
      <c r="CD158" s="1"/>
      <c r="CE158" s="8"/>
      <c r="CF158" s="8"/>
      <c r="CG158" s="1"/>
      <c r="CH158" s="1"/>
      <c r="CI158" s="8"/>
    </row>
    <row r="159" spans="2:87" ht="13.5" customHeight="1">
      <c r="B159" s="352" t="s">
        <v>59</v>
      </c>
      <c r="C159" s="349">
        <f t="shared" ref="C159:S159" si="632">C158-C115-C114</f>
        <v>0</v>
      </c>
      <c r="D159" s="349">
        <f t="shared" si="632"/>
        <v>0</v>
      </c>
      <c r="E159" s="349">
        <f t="shared" si="632"/>
        <v>0</v>
      </c>
      <c r="F159" s="349">
        <f t="shared" si="632"/>
        <v>2.0463630789890885E-11</v>
      </c>
      <c r="G159" s="349">
        <f t="shared" si="632"/>
        <v>-2.0463630789890885E-12</v>
      </c>
      <c r="H159" s="349">
        <f t="shared" si="632"/>
        <v>-2.0463630789890885E-12</v>
      </c>
      <c r="I159" s="349">
        <f t="shared" si="632"/>
        <v>-1.0000000020227162E-3</v>
      </c>
      <c r="J159" s="349">
        <f t="shared" si="632"/>
        <v>-1.0000000020227162E-3</v>
      </c>
      <c r="K159" s="349">
        <f t="shared" si="632"/>
        <v>-1.0000000067975634E-3</v>
      </c>
      <c r="L159" s="349">
        <f t="shared" si="632"/>
        <v>0</v>
      </c>
      <c r="M159" s="349">
        <f t="shared" si="632"/>
        <v>0</v>
      </c>
      <c r="N159" s="349">
        <f t="shared" si="632"/>
        <v>-1.6370904631912708E-11</v>
      </c>
      <c r="O159" s="349">
        <f t="shared" si="632"/>
        <v>-1.6370904631912708E-11</v>
      </c>
      <c r="P159" s="349">
        <f t="shared" si="632"/>
        <v>0</v>
      </c>
      <c r="Q159" s="349">
        <f t="shared" si="632"/>
        <v>-2.3646862246096134E-11</v>
      </c>
      <c r="R159" s="349">
        <f t="shared" si="632"/>
        <v>3.4560798667371273E-11</v>
      </c>
      <c r="S159" s="349">
        <f t="shared" si="632"/>
        <v>0</v>
      </c>
      <c r="T159" s="358"/>
      <c r="U159" s="349"/>
      <c r="V159" s="349"/>
      <c r="W159" s="349"/>
      <c r="X159" s="349">
        <f>X158-X115-X114</f>
        <v>0</v>
      </c>
      <c r="Y159" s="349"/>
      <c r="Z159" s="349"/>
      <c r="AA159" s="349">
        <f t="shared" ref="AA159:BH159" si="633">AA158-AA115-AA114</f>
        <v>-1</v>
      </c>
      <c r="AB159" s="349">
        <f t="shared" si="633"/>
        <v>2.0463630789890885E-11</v>
      </c>
      <c r="AC159" s="349">
        <f t="shared" si="633"/>
        <v>-8.1854523159563541E-12</v>
      </c>
      <c r="AD159" s="349">
        <f t="shared" si="633"/>
        <v>1.8644641386345029E-11</v>
      </c>
      <c r="AE159" s="349">
        <f t="shared" si="633"/>
        <v>-1.659827830735594E-11</v>
      </c>
      <c r="AF159" s="349">
        <f t="shared" si="633"/>
        <v>-2.0463630789890885E-12</v>
      </c>
      <c r="AG159" s="349">
        <f t="shared" si="633"/>
        <v>-1.0459189070388675E-11</v>
      </c>
      <c r="AH159" s="349">
        <f t="shared" si="633"/>
        <v>0</v>
      </c>
      <c r="AI159" s="349">
        <f t="shared" si="633"/>
        <v>0</v>
      </c>
      <c r="AJ159" s="349">
        <f t="shared" si="633"/>
        <v>-1.0000000020227162E-3</v>
      </c>
      <c r="AK159" s="349">
        <f t="shared" si="633"/>
        <v>0</v>
      </c>
      <c r="AL159" s="349">
        <f t="shared" si="633"/>
        <v>1.0459189070388675E-11</v>
      </c>
      <c r="AM159" s="349">
        <f t="shared" si="633"/>
        <v>0</v>
      </c>
      <c r="AN159" s="349">
        <f t="shared" si="633"/>
        <v>-1.0000000067975634E-3</v>
      </c>
      <c r="AO159" s="349">
        <f t="shared" si="633"/>
        <v>0</v>
      </c>
      <c r="AP159" s="349">
        <f t="shared" si="633"/>
        <v>0</v>
      </c>
      <c r="AQ159" s="349">
        <f t="shared" si="633"/>
        <v>1.6370904631912708E-11</v>
      </c>
      <c r="AR159" s="349">
        <f t="shared" si="633"/>
        <v>0</v>
      </c>
      <c r="AS159" s="349">
        <f t="shared" si="633"/>
        <v>0</v>
      </c>
      <c r="AT159" s="349">
        <f t="shared" si="633"/>
        <v>1.0000000003856258E-2</v>
      </c>
      <c r="AU159" s="349">
        <f t="shared" si="633"/>
        <v>0</v>
      </c>
      <c r="AV159" s="349">
        <f t="shared" si="633"/>
        <v>-1.6370904631912708E-11</v>
      </c>
      <c r="AW159" s="349">
        <f t="shared" si="633"/>
        <v>0</v>
      </c>
      <c r="AX159" s="349">
        <f t="shared" si="633"/>
        <v>0</v>
      </c>
      <c r="AY159" s="349">
        <f t="shared" si="633"/>
        <v>0</v>
      </c>
      <c r="AZ159" s="349">
        <f t="shared" si="633"/>
        <v>0</v>
      </c>
      <c r="BA159" s="349">
        <f t="shared" si="633"/>
        <v>0</v>
      </c>
      <c r="BB159" s="349">
        <f t="shared" si="633"/>
        <v>-5.4569682106375694E-12</v>
      </c>
      <c r="BC159" s="349">
        <f t="shared" si="633"/>
        <v>9.0949470177292824E-12</v>
      </c>
      <c r="BD159" s="349">
        <f t="shared" si="633"/>
        <v>-2.3646862246096134E-11</v>
      </c>
      <c r="BE159" s="349">
        <f t="shared" si="633"/>
        <v>-2.1827872842550278E-11</v>
      </c>
      <c r="BF159" s="349">
        <f t="shared" si="633"/>
        <v>2.4101609596982598E-11</v>
      </c>
      <c r="BG159" s="349">
        <f t="shared" si="633"/>
        <v>-2.1827872842550278E-11</v>
      </c>
      <c r="BH159" s="349">
        <f t="shared" si="633"/>
        <v>3.4560798667371273E-11</v>
      </c>
      <c r="BI159" s="349">
        <f>BI158-BI115-BI114</f>
        <v>0</v>
      </c>
      <c r="BJ159" s="31"/>
      <c r="BK159" s="31"/>
      <c r="BL159" s="31"/>
      <c r="BM159" s="31"/>
      <c r="BN159" s="31"/>
      <c r="BO159" s="31"/>
      <c r="BP159" s="31"/>
      <c r="BQ159" s="4"/>
      <c r="BR159" s="31"/>
      <c r="BS159" s="31"/>
      <c r="BV159" s="31"/>
      <c r="BW159" s="31"/>
      <c r="BX159" s="31"/>
      <c r="CA159" s="31"/>
      <c r="CB159" s="31"/>
      <c r="CE159" s="31"/>
      <c r="CF159" s="31"/>
      <c r="CI159" s="31"/>
    </row>
    <row r="160" spans="2:87" ht="13.5" customHeight="1">
      <c r="C160" s="4"/>
      <c r="D160" s="4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4"/>
      <c r="P160" s="4"/>
      <c r="Q160" s="4"/>
      <c r="BJ160" s="4"/>
      <c r="BK160" s="97"/>
      <c r="BL160" s="97"/>
      <c r="BM160" s="97"/>
      <c r="BN160" s="97"/>
      <c r="BO160" s="97"/>
      <c r="BP160" s="97"/>
      <c r="BQ160" s="4"/>
      <c r="BR160" s="97"/>
      <c r="BS160" s="97"/>
      <c r="BT160" s="4"/>
      <c r="BU160" s="4"/>
      <c r="BV160" s="97"/>
      <c r="BW160" s="97"/>
      <c r="BX160" s="97"/>
      <c r="BY160" s="4"/>
      <c r="BZ160" s="4"/>
      <c r="CA160" s="97"/>
      <c r="CB160" s="97"/>
      <c r="CC160" s="4"/>
      <c r="CD160" s="4"/>
      <c r="CE160" s="97"/>
      <c r="CF160" s="97"/>
      <c r="CG160" s="4"/>
      <c r="CH160" s="4"/>
      <c r="CI160" s="97"/>
    </row>
    <row r="161" spans="2:87" ht="13.5" hidden="1" customHeight="1" outlineLevel="1">
      <c r="B161" s="1" t="s">
        <v>376</v>
      </c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U161" s="33"/>
      <c r="V161" s="33"/>
      <c r="W161" s="33"/>
      <c r="X161" s="6"/>
      <c r="Y161" s="33"/>
      <c r="Z161" s="33"/>
      <c r="AA161" s="33"/>
      <c r="AB161" s="6"/>
      <c r="AC161" s="33"/>
      <c r="AD161" s="33"/>
      <c r="AE161" s="33"/>
      <c r="AF161" s="6"/>
      <c r="AG161" s="33"/>
      <c r="AH161" s="33"/>
      <c r="AI161" s="33"/>
      <c r="AJ161" s="33"/>
      <c r="AK161" s="33"/>
      <c r="AL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6"/>
      <c r="BL161" s="6"/>
      <c r="BM161" s="6"/>
      <c r="BN161" s="6"/>
      <c r="BO161" s="6"/>
      <c r="BP161" s="6"/>
      <c r="BQ161" s="4"/>
      <c r="BR161" s="6"/>
      <c r="BS161" s="6"/>
      <c r="BT161" s="33"/>
      <c r="BU161" s="33"/>
      <c r="BV161" s="6"/>
      <c r="BW161" s="6"/>
      <c r="BX161" s="6"/>
      <c r="BY161" s="33"/>
      <c r="BZ161" s="33"/>
      <c r="CA161" s="6"/>
      <c r="CB161" s="6"/>
      <c r="CC161" s="33"/>
      <c r="CD161" s="33"/>
      <c r="CE161" s="6"/>
      <c r="CF161" s="6"/>
      <c r="CG161" s="33"/>
      <c r="CH161" s="33"/>
      <c r="CI161" s="6"/>
    </row>
    <row r="162" spans="2:87" ht="13.5" hidden="1" customHeight="1" outlineLevel="1">
      <c r="B162" s="1" t="s">
        <v>377</v>
      </c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U162" s="33"/>
      <c r="V162" s="33"/>
      <c r="W162" s="33"/>
      <c r="X162" s="6"/>
      <c r="Y162" s="33"/>
      <c r="Z162" s="33"/>
      <c r="AA162" s="33"/>
      <c r="AB162" s="6"/>
      <c r="AC162" s="33"/>
      <c r="AD162" s="33"/>
      <c r="AE162" s="33"/>
      <c r="AF162" s="6"/>
      <c r="AG162" s="33"/>
      <c r="AH162" s="33"/>
      <c r="AI162" s="33"/>
      <c r="AJ162" s="33"/>
      <c r="AK162" s="33"/>
      <c r="AL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6"/>
      <c r="BL162" s="6"/>
      <c r="BM162" s="6"/>
      <c r="BN162" s="6"/>
      <c r="BO162" s="6"/>
      <c r="BP162" s="6"/>
      <c r="BQ162" s="4"/>
      <c r="BR162" s="6"/>
      <c r="BS162" s="6"/>
      <c r="BT162" s="33"/>
      <c r="BU162" s="33"/>
      <c r="BV162" s="6"/>
      <c r="BW162" s="6"/>
      <c r="BX162" s="6"/>
      <c r="BY162" s="33"/>
      <c r="BZ162" s="33"/>
      <c r="CA162" s="6"/>
      <c r="CB162" s="6"/>
      <c r="CC162" s="33"/>
      <c r="CD162" s="33"/>
      <c r="CE162" s="6"/>
      <c r="CF162" s="6"/>
      <c r="CG162" s="33"/>
      <c r="CH162" s="33"/>
      <c r="CI162" s="6"/>
    </row>
    <row r="163" spans="2:87" ht="13.5" hidden="1" customHeight="1" outlineLevel="1">
      <c r="B163" s="1" t="s">
        <v>378</v>
      </c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  <c r="BJ163" s="31"/>
      <c r="BK163" s="31"/>
      <c r="BL163" s="31"/>
      <c r="BM163" s="31"/>
      <c r="BN163" s="31"/>
      <c r="BO163" s="31"/>
      <c r="BP163" s="31"/>
      <c r="BQ163" s="4"/>
      <c r="BR163" s="31"/>
      <c r="BS163" s="31"/>
      <c r="BT163" s="31"/>
      <c r="BU163" s="31"/>
      <c r="BV163" s="31"/>
      <c r="BW163" s="31"/>
      <c r="BX163" s="31"/>
      <c r="BY163" s="31"/>
      <c r="BZ163" s="31"/>
      <c r="CA163" s="31"/>
      <c r="CB163" s="31"/>
      <c r="CC163" s="31"/>
      <c r="CD163" s="31"/>
      <c r="CE163" s="31"/>
      <c r="CF163" s="31"/>
      <c r="CG163" s="31"/>
      <c r="CH163" s="31"/>
      <c r="CI163" s="31"/>
    </row>
    <row r="164" spans="2:87" ht="13.5" hidden="1" customHeight="1" outlineLevel="1"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  <c r="BJ164" s="31"/>
      <c r="BK164" s="31"/>
      <c r="BL164" s="31"/>
      <c r="BM164" s="31"/>
      <c r="BN164" s="31"/>
      <c r="BO164" s="31"/>
      <c r="BP164" s="31"/>
      <c r="BQ164" s="4"/>
      <c r="BR164" s="31"/>
      <c r="BS164" s="31"/>
      <c r="BT164" s="31"/>
      <c r="BU164" s="31"/>
      <c r="BV164" s="31"/>
      <c r="BW164" s="31"/>
      <c r="BX164" s="31"/>
      <c r="BY164" s="31"/>
      <c r="BZ164" s="31"/>
      <c r="CA164" s="31"/>
      <c r="CB164" s="31"/>
      <c r="CC164" s="31"/>
      <c r="CD164" s="31"/>
      <c r="CE164" s="31"/>
      <c r="CF164" s="31"/>
      <c r="CG164" s="31"/>
      <c r="CH164" s="31"/>
      <c r="CI164" s="31"/>
    </row>
    <row r="165" spans="2:87" ht="13.5" customHeight="1" collapsed="1">
      <c r="B165" s="7" t="s">
        <v>379</v>
      </c>
      <c r="C165" s="96">
        <v>2572</v>
      </c>
      <c r="D165" s="96">
        <v>3825</v>
      </c>
      <c r="E165" s="96">
        <v>6814.27</v>
      </c>
      <c r="F165" s="96">
        <v>7216.2060000000001</v>
      </c>
      <c r="G165" s="96">
        <v>7583.817</v>
      </c>
      <c r="H165" s="96">
        <v>7583.817</v>
      </c>
      <c r="I165" s="96">
        <v>6251.2849999999999</v>
      </c>
      <c r="J165" s="96">
        <v>6251.2849999999999</v>
      </c>
      <c r="K165" s="96">
        <v>9267.5439999999999</v>
      </c>
      <c r="L165" s="265">
        <v>8747.4650000000001</v>
      </c>
      <c r="M165" s="265">
        <v>8747.4650000000001</v>
      </c>
      <c r="N165" s="265">
        <v>12313.138000000001</v>
      </c>
      <c r="O165" s="96">
        <v>12313.138000000001</v>
      </c>
      <c r="P165" s="96">
        <v>6353.1239999999998</v>
      </c>
      <c r="Q165" s="96">
        <v>8057.0429999999997</v>
      </c>
      <c r="R165" s="96">
        <v>8535.0390000000007</v>
      </c>
      <c r="S165" s="6">
        <f>BI165</f>
        <v>19573.956999999999</v>
      </c>
      <c r="U165" s="96">
        <v>6407</v>
      </c>
      <c r="V165" s="96">
        <v>4631</v>
      </c>
      <c r="W165" s="96">
        <v>8895</v>
      </c>
      <c r="X165" s="6">
        <f>+E165</f>
        <v>6814.27</v>
      </c>
      <c r="Y165" s="96">
        <v>7784</v>
      </c>
      <c r="Z165" s="96">
        <v>5629</v>
      </c>
      <c r="AA165" s="96">
        <v>5685</v>
      </c>
      <c r="AB165" s="6">
        <f>+F165</f>
        <v>7216.2060000000001</v>
      </c>
      <c r="AC165" s="96">
        <v>5016.7299999999996</v>
      </c>
      <c r="AD165" s="96">
        <v>8076.0730000000003</v>
      </c>
      <c r="AE165" s="96">
        <v>7973.7160000000003</v>
      </c>
      <c r="AF165" s="6">
        <f>G165</f>
        <v>7583.817</v>
      </c>
      <c r="AG165" s="96">
        <v>7104.8980000000001</v>
      </c>
      <c r="AH165" s="96">
        <v>5688.8069999999998</v>
      </c>
      <c r="AI165" s="96">
        <v>17060.194</v>
      </c>
      <c r="AJ165" s="114">
        <f>I165</f>
        <v>6251.2849999999999</v>
      </c>
      <c r="AK165" s="96">
        <v>25442.819</v>
      </c>
      <c r="AL165" s="96">
        <v>10336.11</v>
      </c>
      <c r="AM165" s="96">
        <v>12031.743</v>
      </c>
      <c r="AN165" s="114">
        <f>K165</f>
        <v>9267.5439999999999</v>
      </c>
      <c r="AO165" s="96">
        <v>11317.829</v>
      </c>
      <c r="AP165" s="96">
        <v>11913.346</v>
      </c>
      <c r="AQ165" s="96">
        <v>11153.518</v>
      </c>
      <c r="AR165" s="114">
        <f>M165</f>
        <v>8747.4650000000001</v>
      </c>
      <c r="AS165" s="96">
        <f>9098.872</f>
        <v>9098.8719999999994</v>
      </c>
      <c r="AT165" s="96">
        <v>6772.6760000000004</v>
      </c>
      <c r="AU165" s="96">
        <v>7327.0379999999996</v>
      </c>
      <c r="AV165" s="114">
        <f>N165</f>
        <v>12313.138000000001</v>
      </c>
      <c r="AW165" s="96">
        <v>5981.1629999999996</v>
      </c>
      <c r="AX165" s="96">
        <v>6485.7870000000003</v>
      </c>
      <c r="AY165" s="96">
        <v>6249.2889999999998</v>
      </c>
      <c r="AZ165" s="114">
        <f>P165</f>
        <v>6353.1239999999998</v>
      </c>
      <c r="BA165" s="96">
        <v>17567.612000000001</v>
      </c>
      <c r="BB165" s="96">
        <v>7615.62</v>
      </c>
      <c r="BC165" s="96">
        <v>8434.3169999999991</v>
      </c>
      <c r="BD165" s="46">
        <f>Q165</f>
        <v>8057.0429999999997</v>
      </c>
      <c r="BE165" s="96">
        <v>17778.945</v>
      </c>
      <c r="BF165" s="96">
        <v>7493.7719999999999</v>
      </c>
      <c r="BG165" s="96">
        <v>13616.759</v>
      </c>
      <c r="BH165" s="8">
        <f>R165</f>
        <v>8535.0390000000007</v>
      </c>
      <c r="BI165" s="96">
        <v>19573.956999999999</v>
      </c>
      <c r="BJ165" s="96"/>
      <c r="BK165" s="6"/>
      <c r="BL165" s="6"/>
      <c r="BM165" s="6"/>
      <c r="BN165" s="6"/>
      <c r="BO165" s="6"/>
      <c r="BP165" s="6"/>
      <c r="BQ165" s="31" t="e">
        <f>#REF!</f>
        <v>#REF!</v>
      </c>
      <c r="BR165" s="6"/>
      <c r="BS165" s="6"/>
      <c r="BT165" s="96"/>
      <c r="BU165" s="96"/>
      <c r="BV165" s="6"/>
      <c r="BW165" s="6"/>
      <c r="BX165" s="6"/>
      <c r="BY165" s="96"/>
      <c r="BZ165" s="96"/>
      <c r="CA165" s="6"/>
      <c r="CB165" s="6"/>
      <c r="CC165" s="96"/>
      <c r="CD165" s="96"/>
      <c r="CE165" s="6"/>
      <c r="CF165" s="6"/>
      <c r="CG165" s="96"/>
      <c r="CH165" s="96"/>
      <c r="CI165" s="6"/>
    </row>
    <row r="166" spans="2:87" ht="13.5" customHeight="1">
      <c r="B166" s="7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31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</row>
    <row r="167" spans="2:87" ht="13.5" customHeight="1">
      <c r="B167" s="5" t="s">
        <v>14</v>
      </c>
      <c r="C167" s="8">
        <f>C168-C165</f>
        <v>59632</v>
      </c>
      <c r="D167" s="8">
        <f>D168-D165</f>
        <v>63936</v>
      </c>
      <c r="E167" s="8">
        <f>E168-E165</f>
        <v>75686.73</v>
      </c>
      <c r="F167" s="8">
        <f t="shared" ref="F167:G167" si="634">F168-F165</f>
        <v>87096.530999999988</v>
      </c>
      <c r="G167" s="8">
        <f t="shared" si="634"/>
        <v>82261.985000000001</v>
      </c>
      <c r="H167" s="8">
        <f t="shared" ref="H167:N167" si="635">H168-H165</f>
        <v>82261.985000000001</v>
      </c>
      <c r="I167" s="8">
        <f t="shared" si="635"/>
        <v>80420.491999999998</v>
      </c>
      <c r="J167" s="8">
        <f t="shared" si="635"/>
        <v>80420.491999999998</v>
      </c>
      <c r="K167" s="8">
        <f t="shared" si="635"/>
        <v>75961.206999999995</v>
      </c>
      <c r="L167" s="8">
        <f t="shared" si="635"/>
        <v>84107.712</v>
      </c>
      <c r="M167" s="8">
        <f t="shared" si="635"/>
        <v>84107.712</v>
      </c>
      <c r="N167" s="8">
        <f t="shared" si="635"/>
        <v>71741.335999999996</v>
      </c>
      <c r="O167" s="8">
        <f t="shared" ref="O167" si="636">O168-O165</f>
        <v>71741.335999999996</v>
      </c>
      <c r="P167" s="8">
        <f t="shared" ref="P167:R167" si="637">P168-P165</f>
        <v>103582.197</v>
      </c>
      <c r="Q167" s="8">
        <f t="shared" si="637"/>
        <v>142848.50900000002</v>
      </c>
      <c r="R167" s="8">
        <f t="shared" si="637"/>
        <v>145128.05300000001</v>
      </c>
      <c r="S167" s="8">
        <f>S168-S165</f>
        <v>137751.18300000002</v>
      </c>
      <c r="U167" s="8">
        <f t="shared" ref="U167:AA167" si="638">U168-U165</f>
        <v>62343</v>
      </c>
      <c r="V167" s="8">
        <f t="shared" si="638"/>
        <v>69333</v>
      </c>
      <c r="W167" s="8">
        <f t="shared" si="638"/>
        <v>72562</v>
      </c>
      <c r="X167" s="8">
        <f t="shared" si="638"/>
        <v>75686.73</v>
      </c>
      <c r="Y167" s="8">
        <f t="shared" si="638"/>
        <v>69651</v>
      </c>
      <c r="Z167" s="8">
        <f t="shared" si="638"/>
        <v>67313</v>
      </c>
      <c r="AA167" s="8">
        <f t="shared" si="638"/>
        <v>69871</v>
      </c>
      <c r="AB167" s="8">
        <f t="shared" ref="AB167:AG167" si="639">AB168-AB165</f>
        <v>87096.530999999988</v>
      </c>
      <c r="AC167" s="8">
        <f t="shared" si="639"/>
        <v>84523.865000000005</v>
      </c>
      <c r="AD167" s="8">
        <f t="shared" si="639"/>
        <v>84655.418999999994</v>
      </c>
      <c r="AE167" s="8">
        <f t="shared" si="639"/>
        <v>79961.395000000004</v>
      </c>
      <c r="AF167" s="8">
        <f t="shared" si="639"/>
        <v>82261.985000000001</v>
      </c>
      <c r="AG167" s="8">
        <f t="shared" si="639"/>
        <v>82902.271000000008</v>
      </c>
      <c r="AH167" s="8">
        <f t="shared" ref="AH167:AM167" si="640">AH168-AH165</f>
        <v>83425.841</v>
      </c>
      <c r="AI167" s="8">
        <f t="shared" si="640"/>
        <v>84892.054999999993</v>
      </c>
      <c r="AJ167" s="8">
        <f t="shared" si="640"/>
        <v>80420.491999999998</v>
      </c>
      <c r="AK167" s="8">
        <f t="shared" si="640"/>
        <v>94693.752999999997</v>
      </c>
      <c r="AL167" s="8">
        <f t="shared" si="640"/>
        <v>92856.750999999989</v>
      </c>
      <c r="AM167" s="8">
        <f t="shared" si="640"/>
        <v>84639.724000000002</v>
      </c>
      <c r="AN167" s="8">
        <f t="shared" ref="AN167:AT167" si="641">AN168-AN165</f>
        <v>75961.206999999995</v>
      </c>
      <c r="AO167" s="8">
        <f t="shared" si="641"/>
        <v>76753.804000000004</v>
      </c>
      <c r="AP167" s="8">
        <f t="shared" si="641"/>
        <v>76548.736999999994</v>
      </c>
      <c r="AQ167" s="8">
        <f t="shared" si="641"/>
        <v>79734.562000000005</v>
      </c>
      <c r="AR167" s="8">
        <f t="shared" si="641"/>
        <v>84107.712</v>
      </c>
      <c r="AS167" s="8">
        <f t="shared" si="641"/>
        <v>81922.910999999993</v>
      </c>
      <c r="AT167" s="8">
        <f t="shared" si="641"/>
        <v>86900.307000000001</v>
      </c>
      <c r="AU167" s="8">
        <f t="shared" ref="AU167:AW167" si="642">AU168-AU165</f>
        <v>92391.284</v>
      </c>
      <c r="AV167" s="8">
        <f t="shared" si="642"/>
        <v>71741.335999999996</v>
      </c>
      <c r="AW167" s="8">
        <f t="shared" si="642"/>
        <v>86557.895000000004</v>
      </c>
      <c r="AX167" s="8">
        <f>AX168-AX165</f>
        <v>93994.226999999999</v>
      </c>
      <c r="AY167" s="8">
        <f t="shared" ref="AY167:BA167" si="643">AY168-AY165</f>
        <v>101032.43</v>
      </c>
      <c r="AZ167" s="8">
        <f t="shared" si="643"/>
        <v>103582.197</v>
      </c>
      <c r="BA167" s="8">
        <f t="shared" si="643"/>
        <v>110823.81899999999</v>
      </c>
      <c r="BB167" s="8">
        <f>BB168-BB165</f>
        <v>127879.698</v>
      </c>
      <c r="BC167" s="8">
        <f t="shared" ref="BC167:BF167" si="644">BC168-BC165</f>
        <v>137201.193</v>
      </c>
      <c r="BD167" s="8">
        <f t="shared" si="644"/>
        <v>142848.50900000002</v>
      </c>
      <c r="BE167" s="8">
        <f t="shared" si="644"/>
        <v>143459.47400000002</v>
      </c>
      <c r="BF167" s="8">
        <f t="shared" si="644"/>
        <v>149441.34100000001</v>
      </c>
      <c r="BG167" s="8">
        <f t="shared" ref="BG167:BI167" si="645">BG168-BG165</f>
        <v>143071.36500000002</v>
      </c>
      <c r="BH167" s="8">
        <f t="shared" si="645"/>
        <v>145128.05300000001</v>
      </c>
      <c r="BI167" s="8">
        <f t="shared" si="645"/>
        <v>137751.18300000002</v>
      </c>
      <c r="BJ167" s="8"/>
      <c r="BK167" s="8"/>
      <c r="BL167" s="8"/>
      <c r="BM167" s="8"/>
      <c r="BN167" s="8"/>
      <c r="BO167" s="8"/>
      <c r="BP167" s="8"/>
      <c r="BQ167" s="31" t="e">
        <f>#REF!</f>
        <v>#REF!</v>
      </c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</row>
    <row r="168" spans="2:87" s="5" customFormat="1" ht="13.5" customHeight="1">
      <c r="B168" s="5" t="s">
        <v>380</v>
      </c>
      <c r="C168" s="8">
        <f t="shared" ref="C168:R168" si="646">C114+C115</f>
        <v>62204</v>
      </c>
      <c r="D168" s="8">
        <f t="shared" si="646"/>
        <v>67761</v>
      </c>
      <c r="E168" s="8">
        <f t="shared" si="646"/>
        <v>82501</v>
      </c>
      <c r="F168" s="8">
        <f t="shared" si="646"/>
        <v>94312.736999999994</v>
      </c>
      <c r="G168" s="8">
        <f t="shared" si="646"/>
        <v>89845.801999999996</v>
      </c>
      <c r="H168" s="8">
        <f t="shared" si="646"/>
        <v>89845.801999999996</v>
      </c>
      <c r="I168" s="8">
        <f t="shared" si="646"/>
        <v>86671.777000000002</v>
      </c>
      <c r="J168" s="8">
        <f t="shared" si="646"/>
        <v>86671.777000000002</v>
      </c>
      <c r="K168" s="8">
        <f t="shared" si="646"/>
        <v>85228.750999999989</v>
      </c>
      <c r="L168" s="8">
        <f t="shared" si="646"/>
        <v>92855.176999999996</v>
      </c>
      <c r="M168" s="8">
        <f t="shared" si="646"/>
        <v>92855.176999999996</v>
      </c>
      <c r="N168" s="8">
        <f t="shared" si="646"/>
        <v>84054.474000000002</v>
      </c>
      <c r="O168" s="8">
        <f t="shared" si="646"/>
        <v>84054.474000000002</v>
      </c>
      <c r="P168" s="8">
        <f t="shared" si="646"/>
        <v>109935.321</v>
      </c>
      <c r="Q168" s="8">
        <f t="shared" si="646"/>
        <v>150905.55200000003</v>
      </c>
      <c r="R168" s="8">
        <f t="shared" si="646"/>
        <v>153663.092</v>
      </c>
      <c r="S168" s="8">
        <f>S114+S115</f>
        <v>157325.14000000001</v>
      </c>
      <c r="U168" s="8">
        <f t="shared" ref="U168:BH168" si="647">U114+U115</f>
        <v>68750</v>
      </c>
      <c r="V168" s="8">
        <f t="shared" si="647"/>
        <v>73964</v>
      </c>
      <c r="W168" s="8">
        <f t="shared" si="647"/>
        <v>81457</v>
      </c>
      <c r="X168" s="8">
        <f t="shared" si="647"/>
        <v>82501</v>
      </c>
      <c r="Y168" s="8">
        <f t="shared" si="647"/>
        <v>77435</v>
      </c>
      <c r="Z168" s="8">
        <f t="shared" si="647"/>
        <v>72942</v>
      </c>
      <c r="AA168" s="8">
        <f t="shared" si="647"/>
        <v>75556</v>
      </c>
      <c r="AB168" s="8">
        <f t="shared" si="647"/>
        <v>94312.736999999994</v>
      </c>
      <c r="AC168" s="8">
        <f t="shared" si="647"/>
        <v>89540.595000000001</v>
      </c>
      <c r="AD168" s="8">
        <f t="shared" si="647"/>
        <v>92731.491999999998</v>
      </c>
      <c r="AE168" s="8">
        <f t="shared" si="647"/>
        <v>87935.111000000004</v>
      </c>
      <c r="AF168" s="8">
        <f t="shared" si="647"/>
        <v>89845.801999999996</v>
      </c>
      <c r="AG168" s="8">
        <f t="shared" si="647"/>
        <v>90007.169000000009</v>
      </c>
      <c r="AH168" s="8">
        <f t="shared" si="647"/>
        <v>89114.648000000001</v>
      </c>
      <c r="AI168" s="8">
        <f t="shared" si="647"/>
        <v>101952.249</v>
      </c>
      <c r="AJ168" s="8">
        <f t="shared" si="647"/>
        <v>86671.777000000002</v>
      </c>
      <c r="AK168" s="8">
        <f t="shared" si="647"/>
        <v>120136.572</v>
      </c>
      <c r="AL168" s="8">
        <f t="shared" si="647"/>
        <v>103192.86099999999</v>
      </c>
      <c r="AM168" s="8">
        <f t="shared" si="647"/>
        <v>96671.467000000004</v>
      </c>
      <c r="AN168" s="8">
        <f t="shared" si="647"/>
        <v>85228.750999999989</v>
      </c>
      <c r="AO168" s="8">
        <f t="shared" si="647"/>
        <v>88071.633000000002</v>
      </c>
      <c r="AP168" s="8">
        <f t="shared" si="647"/>
        <v>88462.082999999999</v>
      </c>
      <c r="AQ168" s="8">
        <f t="shared" si="647"/>
        <v>90888.08</v>
      </c>
      <c r="AR168" s="8">
        <f t="shared" si="647"/>
        <v>92855.176999999996</v>
      </c>
      <c r="AS168" s="8">
        <f t="shared" si="647"/>
        <v>91021.782999999996</v>
      </c>
      <c r="AT168" s="8">
        <f t="shared" si="647"/>
        <v>93672.983000000007</v>
      </c>
      <c r="AU168" s="8">
        <f t="shared" si="647"/>
        <v>99718.322</v>
      </c>
      <c r="AV168" s="8">
        <f t="shared" si="647"/>
        <v>84054.474000000002</v>
      </c>
      <c r="AW168" s="8">
        <f t="shared" si="647"/>
        <v>92539.058000000005</v>
      </c>
      <c r="AX168" s="8">
        <f t="shared" si="647"/>
        <v>100480.014</v>
      </c>
      <c r="AY168" s="8">
        <f t="shared" si="647"/>
        <v>107281.719</v>
      </c>
      <c r="AZ168" s="8">
        <f t="shared" si="647"/>
        <v>109935.321</v>
      </c>
      <c r="BA168" s="8">
        <f t="shared" si="647"/>
        <v>128391.431</v>
      </c>
      <c r="BB168" s="8">
        <f t="shared" si="647"/>
        <v>135495.318</v>
      </c>
      <c r="BC168" s="8">
        <f t="shared" si="647"/>
        <v>145635.51</v>
      </c>
      <c r="BD168" s="8">
        <f t="shared" si="647"/>
        <v>150905.55200000003</v>
      </c>
      <c r="BE168" s="8">
        <f t="shared" si="647"/>
        <v>161238.41900000002</v>
      </c>
      <c r="BF168" s="8">
        <f t="shared" si="647"/>
        <v>156935.11300000001</v>
      </c>
      <c r="BG168" s="8">
        <f t="shared" si="647"/>
        <v>156688.12400000001</v>
      </c>
      <c r="BH168" s="8">
        <f t="shared" si="647"/>
        <v>153663.092</v>
      </c>
      <c r="BI168" s="8">
        <f t="shared" ref="BI168" si="648">BI114+BI115</f>
        <v>157325.14000000001</v>
      </c>
      <c r="BJ168" s="8"/>
      <c r="BK168" s="8"/>
      <c r="BL168" s="8"/>
      <c r="BM168" s="8"/>
      <c r="BN168" s="8"/>
      <c r="BO168" s="8"/>
      <c r="BP168" s="8"/>
      <c r="BQ168" s="31" t="e">
        <f>#REF!</f>
        <v>#REF!</v>
      </c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</row>
    <row r="169" spans="2:87" s="5" customFormat="1" ht="13.5" customHeight="1"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N169" s="23"/>
      <c r="BO169" s="23"/>
      <c r="BP169" s="23"/>
      <c r="BQ169" s="41"/>
      <c r="BR169" s="23"/>
      <c r="BS169" s="23"/>
      <c r="BT169" s="23"/>
      <c r="BU169" s="23"/>
      <c r="BV169" s="23"/>
      <c r="BW169" s="23"/>
      <c r="BX169" s="23"/>
      <c r="BY169" s="23"/>
      <c r="BZ169" s="23"/>
      <c r="CA169" s="23"/>
      <c r="CB169" s="23"/>
      <c r="CC169" s="23"/>
      <c r="CD169" s="23"/>
      <c r="CE169" s="23"/>
      <c r="CF169" s="23"/>
      <c r="CG169" s="23"/>
      <c r="CH169" s="23"/>
      <c r="CI169" s="23"/>
    </row>
    <row r="170" spans="2:87" ht="13.5" customHeight="1">
      <c r="B170" s="5" t="s">
        <v>381</v>
      </c>
      <c r="C170" s="23"/>
      <c r="D170" s="23"/>
      <c r="E170" s="23"/>
      <c r="F170" s="23"/>
      <c r="G170" s="23">
        <v>9182.223</v>
      </c>
      <c r="H170" s="23">
        <v>9138.0570000000007</v>
      </c>
      <c r="I170" s="23">
        <v>8931.14</v>
      </c>
      <c r="J170" s="23">
        <v>8931.14</v>
      </c>
      <c r="K170" s="23">
        <v>8995.27</v>
      </c>
      <c r="L170" s="269">
        <v>8866.7690000000002</v>
      </c>
      <c r="M170" s="269">
        <v>8866.7690000000002</v>
      </c>
      <c r="N170" s="269">
        <v>8065.9269999999997</v>
      </c>
      <c r="O170" s="23">
        <v>8065.9269999999997</v>
      </c>
      <c r="P170" s="23">
        <v>0</v>
      </c>
      <c r="Q170" s="23">
        <v>0</v>
      </c>
      <c r="R170" s="23">
        <v>0</v>
      </c>
      <c r="S170" s="6">
        <f>BI170</f>
        <v>0</v>
      </c>
      <c r="U170" s="23"/>
      <c r="V170" s="23"/>
      <c r="W170" s="23"/>
      <c r="X170" s="23"/>
      <c r="Y170" s="23"/>
      <c r="Z170" s="23"/>
      <c r="AA170" s="23"/>
      <c r="AB170" s="23"/>
      <c r="AC170" s="23"/>
      <c r="AD170" s="23">
        <v>9257.7160000000003</v>
      </c>
      <c r="AE170" s="23">
        <v>9101.77</v>
      </c>
      <c r="AF170" s="6">
        <f>G170</f>
        <v>9182.223</v>
      </c>
      <c r="AG170" s="23">
        <v>9220.0650000000005</v>
      </c>
      <c r="AH170" s="23">
        <v>9188.4740000000002</v>
      </c>
      <c r="AI170" s="23">
        <v>9111.0560000000005</v>
      </c>
      <c r="AJ170" s="114">
        <f>I170</f>
        <v>8931.14</v>
      </c>
      <c r="AK170" s="23">
        <v>9588.7630000000008</v>
      </c>
      <c r="AL170" s="23">
        <v>9502.6650000000009</v>
      </c>
      <c r="AM170" s="23">
        <v>9385.9439999999995</v>
      </c>
      <c r="AN170" s="114">
        <f>K170</f>
        <v>8995.27</v>
      </c>
      <c r="AO170" s="23">
        <v>9060.3690000000006</v>
      </c>
      <c r="AP170" s="23">
        <v>8901.6730000000007</v>
      </c>
      <c r="AQ170" s="23">
        <v>8913.482</v>
      </c>
      <c r="AR170" s="114">
        <f>M170</f>
        <v>8866.7690000000002</v>
      </c>
      <c r="AS170" s="23">
        <v>8723.2739999999994</v>
      </c>
      <c r="AT170" s="23">
        <v>8640.3140000000003</v>
      </c>
      <c r="AU170" s="23">
        <v>8424.1560000000009</v>
      </c>
      <c r="AV170" s="114">
        <f>N170</f>
        <v>8065.9269999999997</v>
      </c>
      <c r="AW170" s="23">
        <v>8098.7240000000002</v>
      </c>
      <c r="AX170" s="23">
        <v>0</v>
      </c>
      <c r="AY170" s="23">
        <v>0</v>
      </c>
      <c r="AZ170" s="114">
        <f>P170</f>
        <v>0</v>
      </c>
      <c r="BA170" s="23">
        <v>0</v>
      </c>
      <c r="BB170" s="23">
        <v>0</v>
      </c>
      <c r="BC170" s="23">
        <v>0</v>
      </c>
      <c r="BD170" s="46">
        <f>Q170</f>
        <v>0</v>
      </c>
      <c r="BE170" s="23">
        <v>0</v>
      </c>
      <c r="BF170" s="23">
        <v>0</v>
      </c>
      <c r="BG170" s="23">
        <v>0</v>
      </c>
      <c r="BH170" s="8">
        <f>R170</f>
        <v>0</v>
      </c>
      <c r="BI170" s="23">
        <v>0</v>
      </c>
      <c r="BJ170" s="23"/>
      <c r="BK170" s="6"/>
      <c r="BL170" s="6"/>
      <c r="BM170" s="6"/>
      <c r="BN170" s="6"/>
      <c r="BO170" s="6"/>
      <c r="BP170" s="6"/>
      <c r="BQ170" s="41"/>
      <c r="BR170" s="6"/>
      <c r="BS170" s="6"/>
      <c r="BT170" s="23"/>
      <c r="BU170" s="23"/>
      <c r="BV170" s="6"/>
      <c r="BW170" s="6"/>
      <c r="BX170" s="6"/>
      <c r="BY170" s="23"/>
      <c r="BZ170" s="23"/>
      <c r="CA170" s="6"/>
      <c r="CB170" s="6"/>
      <c r="CC170" s="23"/>
      <c r="CD170" s="23"/>
      <c r="CE170" s="6"/>
      <c r="CF170" s="6"/>
      <c r="CG170" s="23"/>
      <c r="CH170" s="23"/>
      <c r="CI170" s="6"/>
    </row>
    <row r="171" spans="2:87" ht="13.5" customHeight="1">
      <c r="B171" s="5"/>
      <c r="AM171" s="23"/>
      <c r="BJ171" s="8"/>
      <c r="BQ171" s="41"/>
    </row>
    <row r="172" spans="2:87" ht="13.5" customHeight="1">
      <c r="B172" s="362" t="s">
        <v>382</v>
      </c>
      <c r="C172" s="284">
        <f>C170+C167</f>
        <v>59632</v>
      </c>
      <c r="D172" s="284">
        <f>D170+D167</f>
        <v>63936</v>
      </c>
      <c r="E172" s="284">
        <f>E170+E167</f>
        <v>75686.73</v>
      </c>
      <c r="F172" s="284">
        <f t="shared" ref="F172:K172" si="649">F170+F167</f>
        <v>87096.530999999988</v>
      </c>
      <c r="G172" s="284">
        <f t="shared" si="649"/>
        <v>91444.207999999999</v>
      </c>
      <c r="H172" s="284">
        <f t="shared" si="649"/>
        <v>91400.042000000001</v>
      </c>
      <c r="I172" s="284">
        <f t="shared" si="649"/>
        <v>89351.631999999998</v>
      </c>
      <c r="J172" s="284">
        <f t="shared" si="649"/>
        <v>89351.631999999998</v>
      </c>
      <c r="K172" s="284">
        <f t="shared" si="649"/>
        <v>84956.476999999999</v>
      </c>
      <c r="L172" s="284">
        <f t="shared" ref="L172:N172" si="650">L170+L167</f>
        <v>92974.481</v>
      </c>
      <c r="M172" s="284">
        <f t="shared" ref="M172" si="651">M170+M167</f>
        <v>92974.481</v>
      </c>
      <c r="N172" s="284">
        <f t="shared" si="650"/>
        <v>79807.262999999992</v>
      </c>
      <c r="O172" s="284">
        <f t="shared" ref="O172" si="652">O170+O167</f>
        <v>79807.262999999992</v>
      </c>
      <c r="P172" s="284">
        <f t="shared" ref="P172:R172" si="653">P170+P167</f>
        <v>103582.197</v>
      </c>
      <c r="Q172" s="284">
        <f t="shared" si="653"/>
        <v>142848.50900000002</v>
      </c>
      <c r="R172" s="284">
        <f t="shared" si="653"/>
        <v>145128.05300000001</v>
      </c>
      <c r="S172" s="284">
        <f>S170+S167</f>
        <v>137751.18300000002</v>
      </c>
      <c r="U172" s="284">
        <f t="shared" ref="U172:AA172" si="654">U170+U167</f>
        <v>62343</v>
      </c>
      <c r="V172" s="284">
        <f t="shared" si="654"/>
        <v>69333</v>
      </c>
      <c r="W172" s="284">
        <f t="shared" si="654"/>
        <v>72562</v>
      </c>
      <c r="X172" s="284">
        <f t="shared" si="654"/>
        <v>75686.73</v>
      </c>
      <c r="Y172" s="284">
        <f t="shared" si="654"/>
        <v>69651</v>
      </c>
      <c r="Z172" s="284">
        <f t="shared" si="654"/>
        <v>67313</v>
      </c>
      <c r="AA172" s="284">
        <f t="shared" si="654"/>
        <v>69871</v>
      </c>
      <c r="AB172" s="284">
        <f t="shared" ref="AB172:AG172" si="655">AB170+AB167</f>
        <v>87096.530999999988</v>
      </c>
      <c r="AC172" s="284">
        <f t="shared" si="655"/>
        <v>84523.865000000005</v>
      </c>
      <c r="AD172" s="284">
        <f t="shared" si="655"/>
        <v>93913.134999999995</v>
      </c>
      <c r="AE172" s="284">
        <f t="shared" si="655"/>
        <v>89063.165000000008</v>
      </c>
      <c r="AF172" s="284">
        <f t="shared" si="655"/>
        <v>91444.207999999999</v>
      </c>
      <c r="AG172" s="284">
        <f t="shared" si="655"/>
        <v>92122.33600000001</v>
      </c>
      <c r="AH172" s="284">
        <f t="shared" ref="AH172:AM172" si="656">AH170+AH167</f>
        <v>92614.315000000002</v>
      </c>
      <c r="AI172" s="284">
        <f t="shared" si="656"/>
        <v>94003.11099999999</v>
      </c>
      <c r="AJ172" s="284">
        <f t="shared" si="656"/>
        <v>89351.631999999998</v>
      </c>
      <c r="AK172" s="284">
        <f t="shared" si="656"/>
        <v>104282.516</v>
      </c>
      <c r="AL172" s="284">
        <f t="shared" si="656"/>
        <v>102359.416</v>
      </c>
      <c r="AM172" s="284">
        <f t="shared" si="656"/>
        <v>94025.668000000005</v>
      </c>
      <c r="AN172" s="284">
        <f t="shared" ref="AN172:AS172" si="657">AN170+AN167</f>
        <v>84956.476999999999</v>
      </c>
      <c r="AO172" s="284">
        <f t="shared" si="657"/>
        <v>85814.17300000001</v>
      </c>
      <c r="AP172" s="284">
        <f t="shared" si="657"/>
        <v>85450.409999999989</v>
      </c>
      <c r="AQ172" s="284">
        <f t="shared" si="657"/>
        <v>88648.044000000009</v>
      </c>
      <c r="AR172" s="284">
        <f t="shared" si="657"/>
        <v>92974.481</v>
      </c>
      <c r="AS172" s="284">
        <f t="shared" si="657"/>
        <v>90646.184999999998</v>
      </c>
      <c r="AT172" s="284">
        <f t="shared" ref="AT172:AW172" si="658">AT170+AT167</f>
        <v>95540.620999999999</v>
      </c>
      <c r="AU172" s="284">
        <f t="shared" si="658"/>
        <v>100815.44</v>
      </c>
      <c r="AV172" s="284">
        <f t="shared" si="658"/>
        <v>79807.262999999992</v>
      </c>
      <c r="AW172" s="284">
        <f t="shared" si="658"/>
        <v>94656.619000000006</v>
      </c>
      <c r="AX172" s="284">
        <f>AX170+AX167</f>
        <v>93994.226999999999</v>
      </c>
      <c r="AY172" s="284">
        <f t="shared" ref="AY172:BA172" si="659">AY170+AY167</f>
        <v>101032.43</v>
      </c>
      <c r="AZ172" s="284">
        <f t="shared" si="659"/>
        <v>103582.197</v>
      </c>
      <c r="BA172" s="284">
        <f t="shared" si="659"/>
        <v>110823.81899999999</v>
      </c>
      <c r="BB172" s="284">
        <f>BB170+BB167</f>
        <v>127879.698</v>
      </c>
      <c r="BC172" s="284">
        <f t="shared" ref="BC172:BF172" si="660">BC170+BC167</f>
        <v>137201.193</v>
      </c>
      <c r="BD172" s="284">
        <f t="shared" si="660"/>
        <v>142848.50900000002</v>
      </c>
      <c r="BE172" s="284">
        <f t="shared" si="660"/>
        <v>143459.47400000002</v>
      </c>
      <c r="BF172" s="284">
        <f t="shared" si="660"/>
        <v>149441.34100000001</v>
      </c>
      <c r="BG172" s="284">
        <f t="shared" ref="BG172:BI172" si="661">BG170+BG167</f>
        <v>143071.36500000002</v>
      </c>
      <c r="BH172" s="284">
        <f t="shared" si="661"/>
        <v>145128.05300000001</v>
      </c>
      <c r="BI172" s="284">
        <f t="shared" si="661"/>
        <v>137751.18300000002</v>
      </c>
      <c r="BJ172" s="8"/>
      <c r="BK172" s="8"/>
      <c r="BL172" s="8"/>
      <c r="BM172" s="8"/>
      <c r="BN172" s="8"/>
      <c r="BO172" s="8"/>
      <c r="BP172" s="8"/>
      <c r="BQ172" s="41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</row>
    <row r="173" spans="2:87" ht="13.5" customHeight="1">
      <c r="B173" s="362" t="s">
        <v>383</v>
      </c>
      <c r="C173" s="284">
        <f>C170+C168</f>
        <v>62204</v>
      </c>
      <c r="D173" s="284">
        <f>D170+D168</f>
        <v>67761</v>
      </c>
      <c r="E173" s="284">
        <f>E170+E168</f>
        <v>82501</v>
      </c>
      <c r="F173" s="284">
        <f t="shared" ref="F173:K173" si="662">F170+F168</f>
        <v>94312.736999999994</v>
      </c>
      <c r="G173" s="284">
        <f t="shared" si="662"/>
        <v>99028.024999999994</v>
      </c>
      <c r="H173" s="284">
        <f t="shared" si="662"/>
        <v>98983.858999999997</v>
      </c>
      <c r="I173" s="284">
        <f t="shared" si="662"/>
        <v>95602.917000000001</v>
      </c>
      <c r="J173" s="284">
        <f t="shared" si="662"/>
        <v>95602.917000000001</v>
      </c>
      <c r="K173" s="284">
        <f t="shared" si="662"/>
        <v>94224.020999999993</v>
      </c>
      <c r="L173" s="284">
        <f t="shared" ref="L173:N173" si="663">L170+L168</f>
        <v>101721.946</v>
      </c>
      <c r="M173" s="284">
        <f t="shared" ref="M173" si="664">M170+M168</f>
        <v>101721.946</v>
      </c>
      <c r="N173" s="284">
        <f t="shared" si="663"/>
        <v>92120.400999999998</v>
      </c>
      <c r="O173" s="284">
        <f t="shared" ref="O173" si="665">O170+O168</f>
        <v>92120.400999999998</v>
      </c>
      <c r="P173" s="284">
        <f t="shared" ref="P173:R173" si="666">P170+P168</f>
        <v>109935.321</v>
      </c>
      <c r="Q173" s="284">
        <f t="shared" si="666"/>
        <v>150905.55200000003</v>
      </c>
      <c r="R173" s="284">
        <f t="shared" si="666"/>
        <v>153663.092</v>
      </c>
      <c r="S173" s="284">
        <f>S170+S168</f>
        <v>157325.14000000001</v>
      </c>
      <c r="U173" s="284">
        <f t="shared" ref="U173:AA173" si="667">U170+U168</f>
        <v>68750</v>
      </c>
      <c r="V173" s="284">
        <f t="shared" si="667"/>
        <v>73964</v>
      </c>
      <c r="W173" s="284">
        <f t="shared" si="667"/>
        <v>81457</v>
      </c>
      <c r="X173" s="284">
        <f t="shared" si="667"/>
        <v>82501</v>
      </c>
      <c r="Y173" s="284">
        <f t="shared" si="667"/>
        <v>77435</v>
      </c>
      <c r="Z173" s="284">
        <f t="shared" si="667"/>
        <v>72942</v>
      </c>
      <c r="AA173" s="284">
        <f t="shared" si="667"/>
        <v>75556</v>
      </c>
      <c r="AB173" s="284">
        <f t="shared" ref="AB173:AG173" si="668">AB170+AB168</f>
        <v>94312.736999999994</v>
      </c>
      <c r="AC173" s="284">
        <f t="shared" si="668"/>
        <v>89540.595000000001</v>
      </c>
      <c r="AD173" s="284">
        <f t="shared" si="668"/>
        <v>101989.208</v>
      </c>
      <c r="AE173" s="284">
        <f t="shared" si="668"/>
        <v>97036.881000000008</v>
      </c>
      <c r="AF173" s="284">
        <f t="shared" si="668"/>
        <v>99028.024999999994</v>
      </c>
      <c r="AG173" s="284">
        <f t="shared" si="668"/>
        <v>99227.234000000011</v>
      </c>
      <c r="AH173" s="284">
        <f t="shared" ref="AH173:AM173" si="669">AH170+AH168</f>
        <v>98303.122000000003</v>
      </c>
      <c r="AI173" s="284">
        <f t="shared" si="669"/>
        <v>111063.30499999999</v>
      </c>
      <c r="AJ173" s="284">
        <f t="shared" si="669"/>
        <v>95602.917000000001</v>
      </c>
      <c r="AK173" s="284">
        <f t="shared" si="669"/>
        <v>129725.33500000001</v>
      </c>
      <c r="AL173" s="284">
        <f t="shared" si="669"/>
        <v>112695.52599999998</v>
      </c>
      <c r="AM173" s="284">
        <f t="shared" si="669"/>
        <v>106057.41100000001</v>
      </c>
      <c r="AN173" s="284">
        <f t="shared" ref="AN173:AS173" si="670">AN170+AN168</f>
        <v>94224.020999999993</v>
      </c>
      <c r="AO173" s="284">
        <f t="shared" si="670"/>
        <v>97132.002000000008</v>
      </c>
      <c r="AP173" s="284">
        <f t="shared" si="670"/>
        <v>97363.755999999994</v>
      </c>
      <c r="AQ173" s="284">
        <f t="shared" si="670"/>
        <v>99801.562000000005</v>
      </c>
      <c r="AR173" s="284">
        <f t="shared" si="670"/>
        <v>101721.946</v>
      </c>
      <c r="AS173" s="284">
        <f t="shared" si="670"/>
        <v>99745.057000000001</v>
      </c>
      <c r="AT173" s="284">
        <f t="shared" ref="AT173:AW173" si="671">AT170+AT168</f>
        <v>102313.29700000001</v>
      </c>
      <c r="AU173" s="284">
        <f t="shared" si="671"/>
        <v>108142.478</v>
      </c>
      <c r="AV173" s="284">
        <f t="shared" si="671"/>
        <v>92120.400999999998</v>
      </c>
      <c r="AW173" s="284">
        <f t="shared" si="671"/>
        <v>100637.78200000001</v>
      </c>
      <c r="AX173" s="284">
        <f>AX170+AX168</f>
        <v>100480.014</v>
      </c>
      <c r="AY173" s="284">
        <f t="shared" ref="AY173:BA173" si="672">AY170+AY168</f>
        <v>107281.719</v>
      </c>
      <c r="AZ173" s="284">
        <f t="shared" si="672"/>
        <v>109935.321</v>
      </c>
      <c r="BA173" s="284">
        <f t="shared" si="672"/>
        <v>128391.431</v>
      </c>
      <c r="BB173" s="284">
        <f>BB170+BB168</f>
        <v>135495.318</v>
      </c>
      <c r="BC173" s="284">
        <f t="shared" ref="BC173:BF173" si="673">BC170+BC168</f>
        <v>145635.51</v>
      </c>
      <c r="BD173" s="284">
        <f t="shared" si="673"/>
        <v>150905.55200000003</v>
      </c>
      <c r="BE173" s="284">
        <f t="shared" si="673"/>
        <v>161238.41900000002</v>
      </c>
      <c r="BF173" s="284">
        <f t="shared" si="673"/>
        <v>156935.11300000001</v>
      </c>
      <c r="BG173" s="284">
        <f t="shared" ref="BG173:BI173" si="674">BG170+BG168</f>
        <v>156688.12400000001</v>
      </c>
      <c r="BH173" s="284">
        <f t="shared" si="674"/>
        <v>153663.092</v>
      </c>
      <c r="BI173" s="284">
        <f t="shared" si="674"/>
        <v>157325.14000000001</v>
      </c>
      <c r="BJ173" s="8"/>
      <c r="BK173" s="8"/>
      <c r="BL173" s="8"/>
      <c r="BM173" s="8"/>
      <c r="BN173" s="8"/>
      <c r="BO173" s="8"/>
      <c r="BP173" s="8"/>
      <c r="BQ173" s="41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</row>
    <row r="174" spans="2:87" ht="14.25" customHeight="1">
      <c r="D174" s="81"/>
      <c r="BJ174" s="8"/>
      <c r="BQ174" s="61"/>
    </row>
    <row r="175" spans="2:87" ht="14.25" customHeight="1">
      <c r="D175" s="81"/>
      <c r="T175" s="1"/>
      <c r="BQ175" s="61"/>
    </row>
    <row r="176" spans="2:87" s="5" customFormat="1" ht="13.5" customHeight="1">
      <c r="B176" s="5" t="s">
        <v>384</v>
      </c>
      <c r="C176" s="8">
        <f t="shared" ref="C176:H176" si="675">C53*8</f>
        <v>27880</v>
      </c>
      <c r="D176" s="8">
        <f t="shared" si="675"/>
        <v>33088</v>
      </c>
      <c r="E176" s="8">
        <f t="shared" si="675"/>
        <v>38888</v>
      </c>
      <c r="F176" s="8">
        <f t="shared" si="675"/>
        <v>46031.807999999997</v>
      </c>
      <c r="G176" s="8">
        <f t="shared" si="675"/>
        <v>49846.775999999998</v>
      </c>
      <c r="H176" s="8">
        <f t="shared" si="675"/>
        <v>49846.775999999998</v>
      </c>
      <c r="I176" s="23">
        <f>20740.962+4599.404</f>
        <v>25340.366000000002</v>
      </c>
      <c r="J176" s="23">
        <f>20740.962+4599.404</f>
        <v>25340.366000000002</v>
      </c>
      <c r="K176" s="23">
        <f>23935.852+5152.813</f>
        <v>29088.665000000001</v>
      </c>
      <c r="L176" s="269">
        <f>25356.12+5793.203</f>
        <v>31149.323</v>
      </c>
      <c r="M176" s="269">
        <f>25356.12+5793.203</f>
        <v>31149.323</v>
      </c>
      <c r="N176" s="269">
        <f>23254.886+5930.391</f>
        <v>29185.276999999998</v>
      </c>
      <c r="O176" s="23">
        <f>23254.886+5930.391</f>
        <v>29185.276999999998</v>
      </c>
      <c r="P176" s="23">
        <f>21063.604+5750.769</f>
        <v>26814.373</v>
      </c>
      <c r="Q176" s="23">
        <f>28660.876+7139.696</f>
        <v>35800.572</v>
      </c>
      <c r="R176" s="23">
        <f>27714.27+7075.565</f>
        <v>34789.834999999999</v>
      </c>
      <c r="S176" s="8">
        <f>BI176</f>
        <v>34457.161</v>
      </c>
      <c r="T176"/>
      <c r="U176" s="8">
        <f>U53*8*4</f>
        <v>38888</v>
      </c>
      <c r="V176" s="8">
        <f>V53*8*4</f>
        <v>38888</v>
      </c>
      <c r="W176" s="8">
        <f>W53*8*4</f>
        <v>38888</v>
      </c>
      <c r="X176" s="8">
        <f t="shared" ref="X176:AF176" si="676">X93*8</f>
        <v>38888</v>
      </c>
      <c r="Y176" s="8">
        <f t="shared" si="676"/>
        <v>40673.951999999997</v>
      </c>
      <c r="Z176" s="8">
        <f t="shared" si="676"/>
        <v>42459.903999999995</v>
      </c>
      <c r="AA176" s="8">
        <f t="shared" si="676"/>
        <v>44245.855999999992</v>
      </c>
      <c r="AB176" s="8">
        <f t="shared" si="676"/>
        <v>46031.807999999997</v>
      </c>
      <c r="AC176" s="8">
        <f t="shared" si="676"/>
        <v>46985.55</v>
      </c>
      <c r="AD176" s="8">
        <f t="shared" si="676"/>
        <v>47939.292000000001</v>
      </c>
      <c r="AE176" s="8">
        <f t="shared" si="676"/>
        <v>48893.034</v>
      </c>
      <c r="AF176" s="8">
        <f t="shared" si="676"/>
        <v>49846.775999999998</v>
      </c>
      <c r="AG176" s="23">
        <f>3774.717+18153.453</f>
        <v>21928.170000000002</v>
      </c>
      <c r="AH176" s="23">
        <f>3872.586+17835.714</f>
        <v>21708.3</v>
      </c>
      <c r="AI176" s="23">
        <f>18614.823+4025.042</f>
        <v>22639.865000000002</v>
      </c>
      <c r="AJ176" s="46">
        <f>I176</f>
        <v>25340.366000000002</v>
      </c>
      <c r="AK176" s="23">
        <f>24747.224+5272.429</f>
        <v>30019.652999999998</v>
      </c>
      <c r="AL176" s="23">
        <f>24242.76+5247.914</f>
        <v>29490.673999999999</v>
      </c>
      <c r="AM176" s="23">
        <f>5333.514+24862.589</f>
        <v>30196.102999999999</v>
      </c>
      <c r="AN176" s="46">
        <f>K176</f>
        <v>29088.665000000001</v>
      </c>
      <c r="AO176" s="23">
        <f>24236.872+5377.665</f>
        <v>29614.537</v>
      </c>
      <c r="AP176" s="23">
        <f>23246.553+5328.468</f>
        <v>28575.021000000001</v>
      </c>
      <c r="AQ176" s="23">
        <f>23548.266+5693.625</f>
        <v>29241.891</v>
      </c>
      <c r="AR176" s="46">
        <f>M176</f>
        <v>31149.323</v>
      </c>
      <c r="AS176" s="23">
        <v>30686.784</v>
      </c>
      <c r="AT176" s="23">
        <v>30267.366999999998</v>
      </c>
      <c r="AU176" s="23">
        <v>30516.573</v>
      </c>
      <c r="AV176" s="46">
        <f>N176</f>
        <v>29185.276999999998</v>
      </c>
      <c r="AW176" s="23">
        <f>21902.087+5732.332</f>
        <v>27634.419000000002</v>
      </c>
      <c r="AX176" s="23">
        <f>20990.608+5530.75</f>
        <v>26521.358</v>
      </c>
      <c r="AY176" s="23">
        <f>21665.891+5633.449</f>
        <v>27299.34</v>
      </c>
      <c r="AZ176" s="46">
        <f>P176</f>
        <v>26814.373</v>
      </c>
      <c r="BA176" s="23">
        <f>21113.029+5844.838</f>
        <v>26957.866999999998</v>
      </c>
      <c r="BB176" s="23">
        <f>(23902738000+6277550000)/1000000</f>
        <v>30180.288</v>
      </c>
      <c r="BC176" s="23">
        <f>26325.252+6963.426</f>
        <v>33288.678</v>
      </c>
      <c r="BD176" s="46">
        <f>Q176</f>
        <v>35800.572</v>
      </c>
      <c r="BE176" s="23">
        <f>29223.671+7249.681</f>
        <v>36473.351999999999</v>
      </c>
      <c r="BF176" s="23">
        <f>28865.086+6940.863</f>
        <v>35805.949000000001</v>
      </c>
      <c r="BG176" s="23">
        <f>6996.999+29404.876</f>
        <v>36401.875</v>
      </c>
      <c r="BH176" s="8">
        <f>R176</f>
        <v>34789.834999999999</v>
      </c>
      <c r="BI176" s="23">
        <f>27290.002+7167.159</f>
        <v>34457.161</v>
      </c>
      <c r="BJ176" s="23"/>
      <c r="BK176" s="8"/>
      <c r="BL176" s="8"/>
      <c r="BM176" s="8"/>
      <c r="BN176" s="8"/>
      <c r="BO176" s="8"/>
      <c r="BP176" s="8"/>
      <c r="BQ176" s="41"/>
      <c r="BR176" s="8"/>
      <c r="BS176" s="8"/>
      <c r="BT176" s="23"/>
      <c r="BU176" s="23"/>
      <c r="BV176" s="8"/>
      <c r="BW176" s="23"/>
      <c r="BX176" s="8"/>
      <c r="BY176" s="23"/>
      <c r="BZ176" s="23"/>
      <c r="CA176" s="8"/>
      <c r="CB176" s="8"/>
      <c r="CC176" s="23"/>
      <c r="CD176" s="23"/>
      <c r="CE176" s="8"/>
      <c r="CF176" s="8"/>
      <c r="CG176" s="23"/>
      <c r="CH176" s="23"/>
      <c r="CI176" s="8"/>
    </row>
    <row r="177" spans="2:87" ht="13.5" customHeight="1">
      <c r="B177" s="5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N177" s="23"/>
      <c r="BO177" s="23"/>
      <c r="BP177" s="23"/>
      <c r="BQ177" s="41"/>
      <c r="BR177" s="23"/>
      <c r="BS177" s="23"/>
      <c r="BT177" s="23"/>
      <c r="BU177" s="23"/>
      <c r="BV177" s="23"/>
      <c r="BW177" s="23"/>
      <c r="BX177" s="23"/>
      <c r="BY177" s="23"/>
      <c r="BZ177" s="23"/>
      <c r="CA177" s="23"/>
      <c r="CB177" s="23"/>
      <c r="CC177" s="23"/>
      <c r="CD177" s="23"/>
      <c r="CE177" s="23"/>
      <c r="CF177" s="23"/>
      <c r="CG177" s="23"/>
      <c r="CH177" s="23"/>
      <c r="CI177" s="23"/>
    </row>
    <row r="178" spans="2:87" ht="13.5" customHeight="1">
      <c r="B178" s="5" t="s">
        <v>385</v>
      </c>
      <c r="C178" s="8">
        <f>C176+C172</f>
        <v>87512</v>
      </c>
      <c r="D178" s="8">
        <f>D176+D172</f>
        <v>97024</v>
      </c>
      <c r="E178" s="8">
        <f>E176+E172</f>
        <v>114574.73</v>
      </c>
      <c r="F178" s="8">
        <f t="shared" ref="F178:K178" si="677">F176+F172</f>
        <v>133128.33899999998</v>
      </c>
      <c r="G178" s="8">
        <f t="shared" si="677"/>
        <v>141290.984</v>
      </c>
      <c r="H178" s="8">
        <f t="shared" si="677"/>
        <v>141246.818</v>
      </c>
      <c r="I178" s="8">
        <f t="shared" si="677"/>
        <v>114691.99799999999</v>
      </c>
      <c r="J178" s="8">
        <f t="shared" si="677"/>
        <v>114691.99799999999</v>
      </c>
      <c r="K178" s="8">
        <f t="shared" si="677"/>
        <v>114045.14199999999</v>
      </c>
      <c r="L178" s="8">
        <f t="shared" ref="L178:N178" si="678">L176+L172</f>
        <v>124123.804</v>
      </c>
      <c r="M178" s="8">
        <f t="shared" ref="M178" si="679">M176+M172</f>
        <v>124123.804</v>
      </c>
      <c r="N178" s="8">
        <f t="shared" si="678"/>
        <v>108992.54</v>
      </c>
      <c r="O178" s="8">
        <f t="shared" ref="O178" si="680">O176+O172</f>
        <v>108992.54</v>
      </c>
      <c r="P178" s="8">
        <f t="shared" ref="P178:R178" si="681">P176+P172</f>
        <v>130396.57</v>
      </c>
      <c r="Q178" s="8">
        <f t="shared" si="681"/>
        <v>178649.08100000001</v>
      </c>
      <c r="R178" s="8">
        <f t="shared" si="681"/>
        <v>179917.88800000001</v>
      </c>
      <c r="S178" s="8">
        <f>S176+S172</f>
        <v>172208.34400000001</v>
      </c>
      <c r="U178" s="8">
        <f t="shared" ref="U178:AA178" si="682">U176+U172</f>
        <v>101231</v>
      </c>
      <c r="V178" s="8">
        <f t="shared" si="682"/>
        <v>108221</v>
      </c>
      <c r="W178" s="8">
        <f t="shared" si="682"/>
        <v>111450</v>
      </c>
      <c r="X178" s="8">
        <f t="shared" si="682"/>
        <v>114574.73</v>
      </c>
      <c r="Y178" s="8">
        <f t="shared" si="682"/>
        <v>110324.95199999999</v>
      </c>
      <c r="Z178" s="8">
        <f t="shared" si="682"/>
        <v>109772.90399999999</v>
      </c>
      <c r="AA178" s="8">
        <f t="shared" si="682"/>
        <v>114116.856</v>
      </c>
      <c r="AB178" s="8">
        <f t="shared" ref="AB178:AG178" si="683">AB176+AB172</f>
        <v>133128.33899999998</v>
      </c>
      <c r="AC178" s="8">
        <f t="shared" si="683"/>
        <v>131509.41500000001</v>
      </c>
      <c r="AD178" s="8">
        <f t="shared" si="683"/>
        <v>141852.427</v>
      </c>
      <c r="AE178" s="8">
        <f t="shared" si="683"/>
        <v>137956.19900000002</v>
      </c>
      <c r="AF178" s="8">
        <f t="shared" si="683"/>
        <v>141290.984</v>
      </c>
      <c r="AG178" s="8">
        <f t="shared" si="683"/>
        <v>114050.50600000001</v>
      </c>
      <c r="AH178" s="8">
        <f t="shared" ref="AH178:AM178" si="684">AH176+AH172</f>
        <v>114322.61500000001</v>
      </c>
      <c r="AI178" s="8">
        <f t="shared" si="684"/>
        <v>116642.976</v>
      </c>
      <c r="AJ178" s="8">
        <f t="shared" si="684"/>
        <v>114691.99799999999</v>
      </c>
      <c r="AK178" s="8">
        <f t="shared" si="684"/>
        <v>134302.16899999999</v>
      </c>
      <c r="AL178" s="8">
        <f t="shared" si="684"/>
        <v>131850.09</v>
      </c>
      <c r="AM178" s="8">
        <f t="shared" si="684"/>
        <v>124221.77100000001</v>
      </c>
      <c r="AN178" s="8">
        <f t="shared" ref="AN178:AS178" si="685">AN176+AN172</f>
        <v>114045.14199999999</v>
      </c>
      <c r="AO178" s="8">
        <f t="shared" si="685"/>
        <v>115428.71</v>
      </c>
      <c r="AP178" s="8">
        <f t="shared" si="685"/>
        <v>114025.43099999998</v>
      </c>
      <c r="AQ178" s="8">
        <f t="shared" si="685"/>
        <v>117889.93500000001</v>
      </c>
      <c r="AR178" s="8">
        <f t="shared" si="685"/>
        <v>124123.804</v>
      </c>
      <c r="AS178" s="8">
        <f t="shared" si="685"/>
        <v>121332.969</v>
      </c>
      <c r="AT178" s="8">
        <f t="shared" ref="AT178:AW178" si="686">AT176+AT172</f>
        <v>125807.988</v>
      </c>
      <c r="AU178" s="8">
        <f t="shared" si="686"/>
        <v>131332.01300000001</v>
      </c>
      <c r="AV178" s="8">
        <f t="shared" si="686"/>
        <v>108992.54</v>
      </c>
      <c r="AW178" s="8">
        <f t="shared" si="686"/>
        <v>122291.038</v>
      </c>
      <c r="AX178" s="8">
        <f>AX176+AX172</f>
        <v>120515.58499999999</v>
      </c>
      <c r="AY178" s="8">
        <f t="shared" ref="AY178:BA178" si="687">AY176+AY172</f>
        <v>128331.76999999999</v>
      </c>
      <c r="AZ178" s="8">
        <f t="shared" si="687"/>
        <v>130396.57</v>
      </c>
      <c r="BA178" s="8">
        <f t="shared" si="687"/>
        <v>137781.68599999999</v>
      </c>
      <c r="BB178" s="8">
        <f>BB176+BB172</f>
        <v>158059.986</v>
      </c>
      <c r="BC178" s="8">
        <f t="shared" ref="BC178:BF178" si="688">BC176+BC172</f>
        <v>170489.87099999998</v>
      </c>
      <c r="BD178" s="8">
        <f t="shared" si="688"/>
        <v>178649.08100000001</v>
      </c>
      <c r="BE178" s="8">
        <f t="shared" si="688"/>
        <v>179932.826</v>
      </c>
      <c r="BF178" s="8">
        <f t="shared" si="688"/>
        <v>185247.29</v>
      </c>
      <c r="BG178" s="8">
        <f t="shared" ref="BG178:BI178" si="689">BG176+BG172</f>
        <v>179473.24000000002</v>
      </c>
      <c r="BH178" s="8">
        <f t="shared" si="689"/>
        <v>179917.88800000001</v>
      </c>
      <c r="BI178" s="8">
        <f t="shared" si="689"/>
        <v>172208.34400000001</v>
      </c>
      <c r="BJ178" s="8"/>
      <c r="BK178" s="8"/>
      <c r="BL178" s="8"/>
      <c r="BM178" s="8"/>
      <c r="BN178" s="8"/>
      <c r="BO178" s="8"/>
      <c r="BP178" s="8"/>
      <c r="BQ178" s="41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</row>
    <row r="179" spans="2:87" ht="13.5" customHeight="1">
      <c r="B179" s="5" t="s">
        <v>386</v>
      </c>
      <c r="C179" s="8">
        <f>C176+C173</f>
        <v>90084</v>
      </c>
      <c r="D179" s="8">
        <f>D176+D173</f>
        <v>100849</v>
      </c>
      <c r="E179" s="8">
        <f>E176+E173</f>
        <v>121389</v>
      </c>
      <c r="F179" s="8">
        <f t="shared" ref="F179:K179" si="690">F176+F173</f>
        <v>140344.54499999998</v>
      </c>
      <c r="G179" s="8">
        <f t="shared" si="690"/>
        <v>148874.80099999998</v>
      </c>
      <c r="H179" s="8">
        <f t="shared" si="690"/>
        <v>148830.63500000001</v>
      </c>
      <c r="I179" s="8">
        <f t="shared" si="690"/>
        <v>120943.283</v>
      </c>
      <c r="J179" s="8">
        <f t="shared" si="690"/>
        <v>120943.283</v>
      </c>
      <c r="K179" s="8">
        <f t="shared" si="690"/>
        <v>123312.68599999999</v>
      </c>
      <c r="L179" s="8">
        <f t="shared" ref="L179:N179" si="691">L176+L173</f>
        <v>132871.269</v>
      </c>
      <c r="M179" s="8">
        <f t="shared" ref="M179" si="692">M176+M173</f>
        <v>132871.269</v>
      </c>
      <c r="N179" s="8">
        <f t="shared" si="691"/>
        <v>121305.678</v>
      </c>
      <c r="O179" s="8">
        <f t="shared" ref="O179" si="693">O176+O173</f>
        <v>121305.678</v>
      </c>
      <c r="P179" s="8">
        <f t="shared" ref="P179:R179" si="694">P176+P173</f>
        <v>136749.69399999999</v>
      </c>
      <c r="Q179" s="8">
        <f t="shared" si="694"/>
        <v>186706.12400000001</v>
      </c>
      <c r="R179" s="8">
        <f t="shared" si="694"/>
        <v>188452.927</v>
      </c>
      <c r="S179" s="8">
        <f>S176+S173</f>
        <v>191782.30100000001</v>
      </c>
      <c r="U179" s="8">
        <f t="shared" ref="U179:AA179" si="695">U176+U173</f>
        <v>107638</v>
      </c>
      <c r="V179" s="8">
        <f t="shared" si="695"/>
        <v>112852</v>
      </c>
      <c r="W179" s="8">
        <f t="shared" si="695"/>
        <v>120345</v>
      </c>
      <c r="X179" s="8">
        <f t="shared" si="695"/>
        <v>121389</v>
      </c>
      <c r="Y179" s="8">
        <f t="shared" si="695"/>
        <v>118108.95199999999</v>
      </c>
      <c r="Z179" s="8">
        <f t="shared" si="695"/>
        <v>115401.90399999999</v>
      </c>
      <c r="AA179" s="8">
        <f t="shared" si="695"/>
        <v>119801.856</v>
      </c>
      <c r="AB179" s="8">
        <f t="shared" ref="AB179:AG179" si="696">AB176+AB173</f>
        <v>140344.54499999998</v>
      </c>
      <c r="AC179" s="8">
        <f t="shared" si="696"/>
        <v>136526.14500000002</v>
      </c>
      <c r="AD179" s="8">
        <f t="shared" si="696"/>
        <v>149928.5</v>
      </c>
      <c r="AE179" s="8">
        <f t="shared" si="696"/>
        <v>145929.91500000001</v>
      </c>
      <c r="AF179" s="8">
        <f t="shared" si="696"/>
        <v>148874.80099999998</v>
      </c>
      <c r="AG179" s="8">
        <f t="shared" si="696"/>
        <v>121155.40400000001</v>
      </c>
      <c r="AH179" s="8">
        <f t="shared" ref="AH179:AM179" si="697">AH176+AH173</f>
        <v>120011.42200000001</v>
      </c>
      <c r="AI179" s="8">
        <f t="shared" si="697"/>
        <v>133703.16999999998</v>
      </c>
      <c r="AJ179" s="8">
        <f t="shared" si="697"/>
        <v>120943.283</v>
      </c>
      <c r="AK179" s="8">
        <f t="shared" si="697"/>
        <v>159744.98800000001</v>
      </c>
      <c r="AL179" s="8">
        <f t="shared" si="697"/>
        <v>142186.19999999998</v>
      </c>
      <c r="AM179" s="8">
        <f t="shared" si="697"/>
        <v>136253.514</v>
      </c>
      <c r="AN179" s="8">
        <f t="shared" ref="AN179:AS179" si="698">AN176+AN173</f>
        <v>123312.68599999999</v>
      </c>
      <c r="AO179" s="8">
        <f t="shared" si="698"/>
        <v>126746.539</v>
      </c>
      <c r="AP179" s="8">
        <f t="shared" si="698"/>
        <v>125938.777</v>
      </c>
      <c r="AQ179" s="8">
        <f t="shared" si="698"/>
        <v>129043.45300000001</v>
      </c>
      <c r="AR179" s="8">
        <f t="shared" si="698"/>
        <v>132871.269</v>
      </c>
      <c r="AS179" s="8">
        <f t="shared" si="698"/>
        <v>130431.841</v>
      </c>
      <c r="AT179" s="8">
        <f t="shared" ref="AT179:AW179" si="699">AT176+AT173</f>
        <v>132580.66399999999</v>
      </c>
      <c r="AU179" s="8">
        <f t="shared" si="699"/>
        <v>138659.05100000001</v>
      </c>
      <c r="AV179" s="8">
        <f t="shared" si="699"/>
        <v>121305.678</v>
      </c>
      <c r="AW179" s="8">
        <f t="shared" si="699"/>
        <v>128272.201</v>
      </c>
      <c r="AX179" s="8">
        <f>AX176+AX173</f>
        <v>127001.372</v>
      </c>
      <c r="AY179" s="8">
        <f t="shared" ref="AY179:BA179" si="700">AY176+AY173</f>
        <v>134581.05900000001</v>
      </c>
      <c r="AZ179" s="8">
        <f>AZ176+AZ173</f>
        <v>136749.69399999999</v>
      </c>
      <c r="BA179" s="8">
        <f t="shared" si="700"/>
        <v>155349.29800000001</v>
      </c>
      <c r="BB179" s="8">
        <f>BB176+BB173</f>
        <v>165675.606</v>
      </c>
      <c r="BC179" s="8">
        <f t="shared" ref="BC179" si="701">BC176+BC173</f>
        <v>178924.18800000002</v>
      </c>
      <c r="BD179" s="8">
        <f>BD176+BD173</f>
        <v>186706.12400000001</v>
      </c>
      <c r="BE179" s="8">
        <f t="shared" ref="BE179:BG179" si="702">BE176+BE173</f>
        <v>197711.77100000001</v>
      </c>
      <c r="BF179" s="8">
        <f t="shared" si="702"/>
        <v>192741.06200000001</v>
      </c>
      <c r="BG179" s="8">
        <f t="shared" si="702"/>
        <v>193089.99900000001</v>
      </c>
      <c r="BH179" s="8">
        <f t="shared" ref="BH179:BI179" si="703">BH176+BH173</f>
        <v>188452.927</v>
      </c>
      <c r="BI179" s="8">
        <f t="shared" si="703"/>
        <v>191782.30100000001</v>
      </c>
      <c r="BJ179" s="8"/>
      <c r="BK179" s="8"/>
      <c r="BL179" s="8"/>
      <c r="BM179" s="8"/>
      <c r="BN179" s="8"/>
      <c r="BO179" s="8"/>
      <c r="BP179" s="8"/>
      <c r="BQ179" s="41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</row>
    <row r="180" spans="2:87" ht="13.5" customHeight="1"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  <c r="BI180" s="23"/>
      <c r="BJ180" s="23"/>
      <c r="BK180" s="23"/>
      <c r="BL180" s="23"/>
      <c r="BM180" s="23"/>
      <c r="BN180" s="23"/>
      <c r="BO180" s="23"/>
      <c r="BP180" s="23"/>
      <c r="BQ180" s="23"/>
      <c r="BR180" s="23"/>
      <c r="BS180" s="23"/>
      <c r="BT180" s="23"/>
      <c r="BU180" s="23"/>
      <c r="BV180" s="23"/>
      <c r="BW180" s="23"/>
      <c r="BX180" s="23"/>
      <c r="BY180" s="23"/>
      <c r="BZ180" s="23"/>
      <c r="CA180" s="23"/>
      <c r="CB180" s="23"/>
      <c r="CC180" s="23"/>
      <c r="CD180" s="23"/>
      <c r="CE180" s="23"/>
      <c r="CF180" s="23"/>
      <c r="CG180" s="23"/>
      <c r="CH180" s="23"/>
      <c r="CI180" s="23"/>
    </row>
    <row r="181" spans="2:87" ht="13.5" customHeight="1">
      <c r="B181" s="1" t="s">
        <v>387</v>
      </c>
      <c r="C181" s="23">
        <f>1113.466+153.219+311.553+313.778+6663.227+42250.251</f>
        <v>50805.493999999999</v>
      </c>
      <c r="D181" s="23">
        <f>2088.602+443.862+235.6+2031.271+2246.791+49521.526</f>
        <v>56567.652000000002</v>
      </c>
      <c r="E181" s="23">
        <f>1559.326+586.169+407.339+3027.96+3800.264+16399.015+43130.031</f>
        <v>68910.104000000007</v>
      </c>
      <c r="F181" s="23">
        <f>2070.759+550.061+24.066+2732.984+553.982+15770.604+53960.273</f>
        <v>75662.728999999992</v>
      </c>
      <c r="G181" s="23">
        <f>1152.704+215.11+519.931+239.238+656.022+15735.935+15695.284+38118.789</f>
        <v>72333.013000000006</v>
      </c>
      <c r="H181" s="23">
        <f>1152.704+215.11+519.931+239.238+656.022+15735.935+15695.284+38118.789</f>
        <v>72333.013000000006</v>
      </c>
      <c r="I181" s="23">
        <f>869.842+62.066+781.382+233.536+244.795+3768.276+15046.207+15037.984+32521.347</f>
        <v>68565.434999999998</v>
      </c>
      <c r="J181" s="23">
        <f>869.842+62.066+781.382+233.536+244.795+3768.276+15046.207+15037.984+32521.347</f>
        <v>68565.434999999998</v>
      </c>
      <c r="K181" s="23">
        <f>601.976+295.187+202.047+570.835+37.584+15899.782+15929.428+34398.636</f>
        <v>67935.475000000006</v>
      </c>
      <c r="L181" s="23">
        <f>6553.785+149.201+680.652+88.005-32.228+4071.467+16445.911+47583.115</f>
        <v>75539.907999999996</v>
      </c>
      <c r="M181" s="23">
        <f>6553.785+149.201+680.652+88.005-32.228+4071.467+16445.911+47583.115</f>
        <v>75539.907999999996</v>
      </c>
      <c r="N181" s="23">
        <f>6435.31+642.65+114.979+44.806+251.15+0+15476.955+43768.175</f>
        <v>66734.024999999994</v>
      </c>
      <c r="O181" s="23">
        <f>6435.31+642.65+114.979+44.806+251.15+0+15476.955+43768.175</f>
        <v>66734.024999999994</v>
      </c>
      <c r="P181" s="23">
        <f>3052.454+201.926+275.062+1957.492+7332.275+6896.519+54945.301</f>
        <v>74661.028999999995</v>
      </c>
      <c r="Q181" s="23">
        <f>2014.185+4815.039+3842.699+4578.205+4092.137+91431.665</f>
        <v>110773.93</v>
      </c>
      <c r="R181" s="23">
        <f>1931.727+2754.338+9149.793+3570.659+2979.449+64676.11+16323.795</f>
        <v>101385.871</v>
      </c>
      <c r="S181" s="8">
        <f>BI181</f>
        <v>100771.106</v>
      </c>
      <c r="U181" s="4">
        <f>2224.411+411.704+2100.177+2205.163+572.938+50079.484</f>
        <v>57593.876999999993</v>
      </c>
      <c r="V181" s="4">
        <f>2351.821+20.88+8526.657+201.001+3026.382+15005.452+39466.554</f>
        <v>68598.747000000003</v>
      </c>
      <c r="W181" s="4">
        <f>2493.917+623.653+5635.432+2542.147+572.888+15471.559+40693.217</f>
        <v>68032.812999999995</v>
      </c>
      <c r="X181" s="8">
        <f>+E181</f>
        <v>68910.104000000007</v>
      </c>
      <c r="Y181" s="4">
        <f>2386.752+947.665+81.055+6310.621+1.526+14919.767+39244.135</f>
        <v>63891.521000000001</v>
      </c>
      <c r="Z181" s="4">
        <f>1970.289+459.515+354.806+4808.857+331.606+14194.839+37338.329</f>
        <v>59458.240999999995</v>
      </c>
      <c r="AA181" s="4">
        <f>1856.317+745.092+2928.739+3229.587+220.695+14538.771+37967.516</f>
        <v>61486.717000000004</v>
      </c>
      <c r="AB181" s="8">
        <f>+F181</f>
        <v>75662.728999999992</v>
      </c>
      <c r="AC181" s="4">
        <f>2414.962+537.479+227.34+2841.402+208.351+14659.717+50142.8479999999</f>
        <v>71032.0989999999</v>
      </c>
      <c r="AD181" s="4">
        <f>1573.663+960.121+183.308+631.744+575.947+15876.589+54291.271</f>
        <v>74092.642999999996</v>
      </c>
      <c r="AE181" s="4">
        <f>1082.221+452.292+321.99+429.228+658.579+15037.382+15001.676+36407.971</f>
        <v>69391.339000000007</v>
      </c>
      <c r="AF181" s="6">
        <f>G181</f>
        <v>72333.013000000006</v>
      </c>
      <c r="AG181" s="4">
        <f>2339.896+948.99+436.132+252.457+32.09+15494.887+15456.59+37532.035</f>
        <v>72493.077000000005</v>
      </c>
      <c r="AH181" s="4">
        <f>3168.136+15328.08+521.16+15292.136+121.099+223.795+15269.604+31.683+21856.635</f>
        <v>71812.327999999994</v>
      </c>
      <c r="AI181" s="4">
        <f>2592.366+15704.153+603.651+15670.562+243.856+214.579+15647.315+67.641+33904.511</f>
        <v>84648.634000000005</v>
      </c>
      <c r="AJ181" s="114">
        <f>I181</f>
        <v>68565.434999999998</v>
      </c>
      <c r="AK181" s="4">
        <f>2150.428+896.848+14666.033+37.604+35.817+4702.134+18783.402+18773.745+40692.686</f>
        <v>100738.697</v>
      </c>
      <c r="AL181" s="4">
        <f>1480.23+851.316+5194.715+38.754+34.762+18304.24+18343.346+39669.483</f>
        <v>83916.84599999999</v>
      </c>
      <c r="AM181" s="4">
        <f>961.235+1036.75+2354.342+41.61+42.483+17897.59+17934.147+38775.57</f>
        <v>79043.727000000014</v>
      </c>
      <c r="AN181" s="114">
        <f>K181</f>
        <v>67935.475000000006</v>
      </c>
      <c r="AO181" s="4">
        <f>1287.996+291.845+693.544+41.047+44.587+16426.73+16456.389+35518.11</f>
        <v>70760.247999999992</v>
      </c>
      <c r="AP181" s="4">
        <f>4765.464+3915.837+801.081+42.174+15816.95+36.406+7.655+45763.837</f>
        <v>71149.403999999995</v>
      </c>
      <c r="AQ181" s="4">
        <f>5536.542+812.56+41.516+36.361-20.778+4015.985+16221.751+46930.168</f>
        <v>73574.104999999996</v>
      </c>
      <c r="AR181" s="114">
        <f>M181</f>
        <v>75539.907999999996</v>
      </c>
      <c r="AS181" s="4">
        <f>(6423809000+623311000+134793000+111490000+4220649000+15976632000+46214535000+21351.651)/1000000</f>
        <v>73705.240351650995</v>
      </c>
      <c r="AT181" s="4">
        <f>7647.415+532.252+137.938+110.57+4219.995+15971.193+45275.761+0.22109019</f>
        <v>73895.345090189992</v>
      </c>
      <c r="AU181" s="4">
        <f>5683.019+502.445+130.355+108.55+13178.236+16230.234+45956.329</f>
        <v>81789.168000000005</v>
      </c>
      <c r="AV181" s="114">
        <f>N181</f>
        <v>66734.024999999994</v>
      </c>
      <c r="AW181" s="4">
        <f>18264.345+593.913+168.97+107.237+701.066+14474.076+40907.707</f>
        <v>75217.314000000013</v>
      </c>
      <c r="AX181" s="4">
        <f>6162.679+607.061+668.506+1813.383+577.146+38556.127+13649.676</f>
        <v>62034.578000000001</v>
      </c>
      <c r="AY181" s="23">
        <f>6474.82+184.293+179.3+3540.602+2873.471+14089.838+39811.195</f>
        <v>67153.519</v>
      </c>
      <c r="AZ181" s="114">
        <f>P181</f>
        <v>74661.028999999995</v>
      </c>
      <c r="BA181" s="23">
        <f>2559.179+361.031+2464.137+8202.328+537.932+6809.803+75163.048</f>
        <v>96097.457999999999</v>
      </c>
      <c r="BB181" s="23">
        <f>(2532313000+4378300000+3279910000+9135856000+1008035000+82864251000)/1000000</f>
        <v>103198.66499999999</v>
      </c>
      <c r="BC181" s="23">
        <f>(2527491000+2888291000+3721949000+9464956000+4003258000+88535896000+2194337000)/1000000</f>
        <v>113336.178</v>
      </c>
      <c r="BD181" s="46">
        <f t="shared" ref="BD181:BD182" si="704">Q181</f>
        <v>110773.93</v>
      </c>
      <c r="BE181" s="23">
        <f>3280.589+5236.762+4698.697+4085.379+17.005+18504.937+73151.463</f>
        <v>108974.83200000001</v>
      </c>
      <c r="BF181" s="23">
        <f>2822.726+4606.902+7735.869+21015.292+68006.046</f>
        <v>104186.83500000001</v>
      </c>
      <c r="BG181" s="23">
        <f>2645.832+3860.603+7432.053+20355.795+70122.149</f>
        <v>104416.432</v>
      </c>
      <c r="BH181" s="8">
        <f>R181</f>
        <v>101385.871</v>
      </c>
      <c r="BI181" s="23">
        <f>2214.272+10831.743+3449.949+2821.79+1.054+16401.985+65050.313</f>
        <v>100771.106</v>
      </c>
      <c r="BJ181" s="4"/>
      <c r="BK181" s="6"/>
      <c r="BL181" s="6"/>
      <c r="BM181" s="6"/>
      <c r="BN181" s="6"/>
      <c r="BO181" s="6"/>
      <c r="BP181" s="6"/>
      <c r="BQ181" s="23"/>
      <c r="BR181" s="6"/>
      <c r="BS181" s="6"/>
      <c r="BT181" s="4"/>
      <c r="BU181" s="4"/>
      <c r="BV181" s="6"/>
      <c r="BW181" s="6"/>
      <c r="BX181" s="6"/>
      <c r="BY181" s="4"/>
      <c r="BZ181" s="4"/>
      <c r="CA181" s="6"/>
      <c r="CB181" s="6"/>
      <c r="CC181" s="4"/>
      <c r="CD181" s="4"/>
      <c r="CE181" s="6"/>
      <c r="CF181" s="6"/>
      <c r="CG181" s="4"/>
      <c r="CH181" s="4"/>
      <c r="CI181" s="6"/>
    </row>
    <row r="182" spans="2:87" ht="13.5" customHeight="1">
      <c r="B182" s="1" t="s">
        <v>388</v>
      </c>
      <c r="C182" s="23">
        <f>675.873+5722.473+5000</f>
        <v>11398.346</v>
      </c>
      <c r="D182" s="23">
        <f>392.762+5800.736+5000</f>
        <v>11193.498</v>
      </c>
      <c r="E182" s="23">
        <f>590.231+5000+8000</f>
        <v>13590.231</v>
      </c>
      <c r="F182" s="23">
        <f>695.591+17954.417</f>
        <v>18650.008000000002</v>
      </c>
      <c r="G182" s="23">
        <v>17512.789000000001</v>
      </c>
      <c r="H182" s="23">
        <v>17512.789000000001</v>
      </c>
      <c r="I182" s="23">
        <f>770+31.432+17304.91</f>
        <v>18106.342000000001</v>
      </c>
      <c r="J182" s="23">
        <f>770+31.432+17304.91</f>
        <v>18106.342000000001</v>
      </c>
      <c r="K182" s="23">
        <f>17310.09-1.937-14.841</f>
        <v>17293.311999999998</v>
      </c>
      <c r="L182" s="23">
        <f>7695.431+9619.838</f>
        <v>17315.269</v>
      </c>
      <c r="M182" s="23">
        <f>7695.431+9619.838</f>
        <v>17315.269</v>
      </c>
      <c r="N182" s="23">
        <f>7697.768+9622.681</f>
        <v>17320.449000000001</v>
      </c>
      <c r="O182" s="23">
        <f>7697.768+9622.681</f>
        <v>17320.449000000001</v>
      </c>
      <c r="P182" s="23">
        <f>10693.577+9625.523+11972.192+2983</f>
        <v>35274.292000000001</v>
      </c>
      <c r="Q182" s="23">
        <f>10698.527+9628.365+11975.119+2848.002+4981.609</f>
        <v>40131.622000000003</v>
      </c>
      <c r="R182" s="23">
        <f>10703.604+9631.554+2234.837+24720.098+4987.128</f>
        <v>52277.220999999998</v>
      </c>
      <c r="S182" s="8">
        <f>BI182</f>
        <v>56554.034</v>
      </c>
      <c r="U182" s="4">
        <f>311.402+5845.368+5000</f>
        <v>11156.77</v>
      </c>
      <c r="V182" s="4">
        <f>365.516+5000</f>
        <v>5365.5159999999996</v>
      </c>
      <c r="W182" s="4">
        <f>424.377+5000+8000</f>
        <v>13424.377</v>
      </c>
      <c r="X182" s="8">
        <f>+E182</f>
        <v>13590.231</v>
      </c>
      <c r="Y182" s="4">
        <f>542.854+5000+8000</f>
        <v>13542.853999999999</v>
      </c>
      <c r="Z182" s="4">
        <f>483.244+5000+8000</f>
        <v>13483.243999999999</v>
      </c>
      <c r="AA182" s="4">
        <f>523.428+568.121+5000+7977.439</f>
        <v>14068.988000000001</v>
      </c>
      <c r="AB182" s="8">
        <f>+F182</f>
        <v>18650.008000000002</v>
      </c>
      <c r="AC182" s="4">
        <f>552.854+17955.642</f>
        <v>18508.495999999999</v>
      </c>
      <c r="AD182" s="4">
        <f>681.982+17956.867</f>
        <v>18638.848999999998</v>
      </c>
      <c r="AE182" s="4">
        <f>585.68+17958.092</f>
        <v>18543.772000000001</v>
      </c>
      <c r="AF182" s="6">
        <f>G182</f>
        <v>17512.789000000001</v>
      </c>
      <c r="AG182" s="4">
        <v>17514.093000000001</v>
      </c>
      <c r="AH182" s="4">
        <v>17302.32</v>
      </c>
      <c r="AI182" s="4">
        <v>17303.615000000002</v>
      </c>
      <c r="AJ182" s="114">
        <f>I182</f>
        <v>18106.342000000001</v>
      </c>
      <c r="AK182" s="4">
        <f>120+1971.67+17306.205</f>
        <v>19397.875</v>
      </c>
      <c r="AL182" s="4">
        <f>1968.515+17307.5</f>
        <v>19276.014999999999</v>
      </c>
      <c r="AM182" s="4">
        <f>318.946+17308.794</f>
        <v>17627.740000000002</v>
      </c>
      <c r="AN182" s="114">
        <f>K182</f>
        <v>17293.311999999998</v>
      </c>
      <c r="AO182" s="4">
        <f>17311.385</f>
        <v>17311.384999999998</v>
      </c>
      <c r="AP182" s="4">
        <v>17312.679</v>
      </c>
      <c r="AQ182" s="4">
        <v>17313.974999999999</v>
      </c>
      <c r="AR182" s="114">
        <f>M182</f>
        <v>17315.269</v>
      </c>
      <c r="AS182" s="4">
        <f>17316.564</f>
        <v>17316.563999999998</v>
      </c>
      <c r="AT182" s="4">
        <f>17317.659+2460</f>
        <v>19777.659</v>
      </c>
      <c r="AU182" s="4">
        <f>17319.154+610</f>
        <v>17929.153999999999</v>
      </c>
      <c r="AV182" s="114">
        <f>N182</f>
        <v>17320.449000000001</v>
      </c>
      <c r="AW182" s="4">
        <f>7698.353+9623.391</f>
        <v>17321.743999999999</v>
      </c>
      <c r="AX182" s="4">
        <f>4973.331+10691.527+21595.078+1185.5</f>
        <v>38445.436000000002</v>
      </c>
      <c r="AY182" s="23">
        <f>4974.711+21596.272+10692.341+2864.876</f>
        <v>40128.199999999997</v>
      </c>
      <c r="AZ182" s="114">
        <f>P182</f>
        <v>35274.292000000001</v>
      </c>
      <c r="BA182" s="23">
        <f>11972.924+9626.233+10694.816</f>
        <v>32293.972999999998</v>
      </c>
      <c r="BB182" s="23">
        <f>(11973656000+9626944000+10696053000)/1000000</f>
        <v>32296.652999999998</v>
      </c>
      <c r="BC182" s="23">
        <f>(10697290000+9627654000+11974388000)/1000000</f>
        <v>32299.331999999999</v>
      </c>
      <c r="BD182" s="46">
        <f t="shared" si="704"/>
        <v>40131.622000000003</v>
      </c>
      <c r="BE182" s="23">
        <f>4982.987+20328.839+2234.119+24717.592</f>
        <v>52263.536999999997</v>
      </c>
      <c r="BF182" s="23">
        <f>4984.367+482+20330.787+2234.108+24717.016</f>
        <v>52748.278000000006</v>
      </c>
      <c r="BG182" s="23">
        <f>10702.287+9630.633+2234.474+24718.554+4985.744</f>
        <v>52271.692000000003</v>
      </c>
      <c r="BH182" s="8">
        <f>R182</f>
        <v>52277.220999999998</v>
      </c>
      <c r="BI182" s="23">
        <f>4988.517+2999.195+11866.942+4125.639+32573.741</f>
        <v>56554.034</v>
      </c>
      <c r="BJ182" s="4"/>
      <c r="BK182" s="6"/>
      <c r="BL182" s="6"/>
      <c r="BM182" s="6"/>
      <c r="BN182" s="6"/>
      <c r="BO182" s="6"/>
      <c r="BP182" s="6"/>
      <c r="BQ182" s="23"/>
      <c r="BR182" s="6"/>
      <c r="BS182" s="6"/>
      <c r="BT182" s="4"/>
      <c r="BU182" s="4"/>
      <c r="BV182" s="6"/>
      <c r="BW182" s="6"/>
      <c r="BX182" s="6"/>
      <c r="BY182" s="4"/>
      <c r="BZ182" s="4"/>
      <c r="CA182" s="6"/>
      <c r="CB182" s="6"/>
      <c r="CC182" s="4"/>
      <c r="CD182" s="4"/>
      <c r="CE182" s="6"/>
      <c r="CF182" s="6"/>
      <c r="CG182" s="4"/>
      <c r="CH182" s="4"/>
      <c r="CI182" s="6"/>
    </row>
    <row r="183" spans="2:87" s="360" customFormat="1" ht="13.5" customHeight="1">
      <c r="B183" s="348" t="s">
        <v>59</v>
      </c>
      <c r="C183" s="349">
        <f t="shared" ref="C183:S183" si="705">+C181+C182-C114-C115</f>
        <v>-0.16000000000349246</v>
      </c>
      <c r="D183" s="349">
        <f t="shared" si="705"/>
        <v>0.14999999999417923</v>
      </c>
      <c r="E183" s="349">
        <f t="shared" si="705"/>
        <v>-0.66499999999359716</v>
      </c>
      <c r="F183" s="349">
        <f t="shared" si="705"/>
        <v>0</v>
      </c>
      <c r="G183" s="349">
        <f t="shared" si="705"/>
        <v>0</v>
      </c>
      <c r="H183" s="349">
        <f t="shared" si="705"/>
        <v>0</v>
      </c>
      <c r="I183" s="349">
        <f t="shared" si="705"/>
        <v>0</v>
      </c>
      <c r="J183" s="349">
        <f t="shared" si="705"/>
        <v>0</v>
      </c>
      <c r="K183" s="349">
        <f t="shared" si="705"/>
        <v>3.6000000021886081E-2</v>
      </c>
      <c r="L183" s="349">
        <f t="shared" si="705"/>
        <v>0</v>
      </c>
      <c r="M183" s="349">
        <f t="shared" si="705"/>
        <v>0</v>
      </c>
      <c r="N183" s="349">
        <f t="shared" si="705"/>
        <v>0</v>
      </c>
      <c r="O183" s="349">
        <f t="shared" si="705"/>
        <v>0</v>
      </c>
      <c r="P183" s="349">
        <f t="shared" si="705"/>
        <v>0</v>
      </c>
      <c r="Q183" s="349">
        <f t="shared" si="705"/>
        <v>0</v>
      </c>
      <c r="R183" s="349">
        <f t="shared" si="705"/>
        <v>0</v>
      </c>
      <c r="S183" s="349">
        <f t="shared" si="705"/>
        <v>0</v>
      </c>
      <c r="T183" s="358"/>
      <c r="U183" s="349">
        <f t="shared" ref="U183:BH183" si="706">+U181+U182-U114-U115</f>
        <v>0.64699999999720603</v>
      </c>
      <c r="V183" s="349">
        <f t="shared" si="706"/>
        <v>0.26300000000628643</v>
      </c>
      <c r="W183" s="349">
        <f t="shared" si="706"/>
        <v>0.19000000000232831</v>
      </c>
      <c r="X183" s="349">
        <f t="shared" si="706"/>
        <v>-0.66499999999359716</v>
      </c>
      <c r="Y183" s="349">
        <f t="shared" si="706"/>
        <v>-0.625</v>
      </c>
      <c r="Z183" s="349">
        <f t="shared" si="706"/>
        <v>-0.51500000001396984</v>
      </c>
      <c r="AA183" s="349">
        <f t="shared" si="706"/>
        <v>-0.29499999999825377</v>
      </c>
      <c r="AB183" s="349">
        <f t="shared" si="706"/>
        <v>0</v>
      </c>
      <c r="AC183" s="349">
        <f t="shared" si="706"/>
        <v>0</v>
      </c>
      <c r="AD183" s="349">
        <f t="shared" si="706"/>
        <v>0</v>
      </c>
      <c r="AE183" s="349">
        <f t="shared" si="706"/>
        <v>0</v>
      </c>
      <c r="AF183" s="349">
        <f t="shared" si="706"/>
        <v>0</v>
      </c>
      <c r="AG183" s="349">
        <f t="shared" si="706"/>
        <v>1.0000000038417056E-3</v>
      </c>
      <c r="AH183" s="349">
        <f t="shared" si="706"/>
        <v>0</v>
      </c>
      <c r="AI183" s="349">
        <f t="shared" si="706"/>
        <v>0</v>
      </c>
      <c r="AJ183" s="349">
        <f t="shared" si="706"/>
        <v>0</v>
      </c>
      <c r="AK183" s="349">
        <f t="shared" si="706"/>
        <v>0</v>
      </c>
      <c r="AL183" s="349">
        <f t="shared" si="706"/>
        <v>0</v>
      </c>
      <c r="AM183" s="349">
        <f t="shared" si="706"/>
        <v>0</v>
      </c>
      <c r="AN183" s="349">
        <f t="shared" si="706"/>
        <v>3.6000000021886081E-2</v>
      </c>
      <c r="AO183" s="349">
        <f t="shared" si="706"/>
        <v>0</v>
      </c>
      <c r="AP183" s="349">
        <f t="shared" si="706"/>
        <v>0</v>
      </c>
      <c r="AQ183" s="349">
        <f t="shared" si="706"/>
        <v>0</v>
      </c>
      <c r="AR183" s="349">
        <f t="shared" si="706"/>
        <v>0</v>
      </c>
      <c r="AS183" s="349">
        <f t="shared" si="706"/>
        <v>2.1351650997530669E-2</v>
      </c>
      <c r="AT183" s="349">
        <f t="shared" si="706"/>
        <v>2.1090189984533936E-2</v>
      </c>
      <c r="AU183" s="349">
        <f t="shared" si="706"/>
        <v>0</v>
      </c>
      <c r="AV183" s="349">
        <f t="shared" si="706"/>
        <v>0</v>
      </c>
      <c r="AW183" s="349">
        <f t="shared" si="706"/>
        <v>0</v>
      </c>
      <c r="AX183" s="349">
        <f t="shared" si="706"/>
        <v>0</v>
      </c>
      <c r="AY183" s="349">
        <f t="shared" si="706"/>
        <v>0</v>
      </c>
      <c r="AZ183" s="349">
        <f t="shared" si="706"/>
        <v>0</v>
      </c>
      <c r="BA183" s="349">
        <f t="shared" si="706"/>
        <v>0</v>
      </c>
      <c r="BB183" s="349">
        <f t="shared" si="706"/>
        <v>0</v>
      </c>
      <c r="BC183" s="349">
        <f t="shared" si="706"/>
        <v>0</v>
      </c>
      <c r="BD183" s="349">
        <f t="shared" si="706"/>
        <v>0</v>
      </c>
      <c r="BE183" s="349">
        <f t="shared" si="706"/>
        <v>-5.0000000017462298E-2</v>
      </c>
      <c r="BF183" s="349">
        <f t="shared" si="706"/>
        <v>0</v>
      </c>
      <c r="BG183" s="349">
        <f t="shared" si="706"/>
        <v>0</v>
      </c>
      <c r="BH183" s="349">
        <f t="shared" si="706"/>
        <v>0</v>
      </c>
      <c r="BI183" s="349">
        <f t="shared" ref="BI183" si="707">+BI181+BI182-BI114-BI115</f>
        <v>0</v>
      </c>
      <c r="BJ183" s="349"/>
      <c r="BK183" s="349"/>
      <c r="BL183" s="349"/>
      <c r="BM183" s="349"/>
      <c r="BN183" s="349"/>
      <c r="BO183" s="349"/>
      <c r="BP183" s="349"/>
      <c r="BQ183" s="359"/>
      <c r="BR183" s="349"/>
      <c r="BS183" s="349"/>
      <c r="BT183" s="349"/>
      <c r="BU183" s="349"/>
      <c r="BV183" s="349"/>
      <c r="BW183" s="349"/>
      <c r="BX183" s="349"/>
      <c r="BY183" s="349"/>
      <c r="BZ183" s="349"/>
      <c r="CA183" s="349"/>
      <c r="CB183" s="349"/>
      <c r="CC183" s="349"/>
      <c r="CD183" s="349"/>
      <c r="CE183" s="349"/>
      <c r="CF183" s="349"/>
      <c r="CG183" s="349"/>
      <c r="CH183" s="349"/>
      <c r="CI183" s="349"/>
    </row>
    <row r="184" spans="2:87" ht="13.5" customHeight="1"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  <c r="BI184" s="23"/>
      <c r="BJ184" s="23"/>
      <c r="BK184" s="23"/>
      <c r="BL184" s="23"/>
      <c r="BM184" s="23"/>
      <c r="BN184" s="23"/>
      <c r="BO184" s="23"/>
      <c r="BP184" s="23"/>
      <c r="BQ184" s="23"/>
      <c r="BR184" s="23"/>
      <c r="BS184" s="23"/>
      <c r="BT184" s="23"/>
      <c r="BU184" s="23"/>
      <c r="BV184" s="23"/>
      <c r="BW184" s="23"/>
      <c r="BX184" s="23"/>
      <c r="BY184" s="23"/>
      <c r="BZ184" s="23"/>
      <c r="CA184" s="23"/>
      <c r="CB184" s="23"/>
      <c r="CC184" s="23"/>
      <c r="CD184" s="23"/>
      <c r="CE184" s="23"/>
      <c r="CF184" s="23"/>
      <c r="CG184" s="23"/>
      <c r="CH184" s="23"/>
      <c r="CI184" s="23"/>
    </row>
    <row r="185" spans="2:87" ht="13.5" customHeight="1">
      <c r="B185" s="1" t="s">
        <v>389</v>
      </c>
      <c r="C185" s="4">
        <v>191420.2</v>
      </c>
      <c r="D185" s="4">
        <v>216112</v>
      </c>
      <c r="E185" s="4">
        <v>221097.4</v>
      </c>
      <c r="F185" s="6">
        <v>204636.2</v>
      </c>
      <c r="G185" s="6">
        <v>182931.20000000001</v>
      </c>
      <c r="H185" s="6">
        <f>G185</f>
        <v>182931.20000000001</v>
      </c>
      <c r="I185" s="6">
        <v>155447</v>
      </c>
      <c r="J185" s="6">
        <v>155447</v>
      </c>
      <c r="K185" s="267">
        <v>195459</v>
      </c>
      <c r="L185" s="267">
        <v>290030</v>
      </c>
      <c r="M185" s="267">
        <v>290030</v>
      </c>
      <c r="N185" s="267">
        <v>384950</v>
      </c>
      <c r="O185" s="114">
        <v>384950</v>
      </c>
      <c r="P185" s="114">
        <v>335336.2</v>
      </c>
      <c r="Q185" s="114">
        <v>235450</v>
      </c>
      <c r="R185" s="114">
        <v>258668.4</v>
      </c>
      <c r="S185" s="6">
        <f>BI185</f>
        <v>258660</v>
      </c>
      <c r="U185" s="4">
        <v>240192.4</v>
      </c>
      <c r="V185" s="4">
        <v>269117.09999999998</v>
      </c>
      <c r="W185" s="4">
        <v>240380.6</v>
      </c>
      <c r="X185" s="6">
        <f>+E185</f>
        <v>221097.4</v>
      </c>
      <c r="Y185" s="4">
        <v>219122.1</v>
      </c>
      <c r="Z185" s="4">
        <v>214465.9</v>
      </c>
      <c r="AA185" s="4">
        <v>206799.7</v>
      </c>
      <c r="AB185" s="6">
        <f>+F185</f>
        <v>204636.2</v>
      </c>
      <c r="AC185" s="4">
        <v>187093.3</v>
      </c>
      <c r="AD185" s="4">
        <v>181966.8</v>
      </c>
      <c r="AE185" s="4">
        <v>187704.7</v>
      </c>
      <c r="AF185" s="6">
        <f>G185</f>
        <v>182931.20000000001</v>
      </c>
      <c r="AG185" s="4">
        <v>189613</v>
      </c>
      <c r="AH185" s="4">
        <v>186692.4</v>
      </c>
      <c r="AI185" s="4">
        <v>163711.6</v>
      </c>
      <c r="AJ185" s="114">
        <f>I185</f>
        <v>155447</v>
      </c>
      <c r="AK185" s="4">
        <v>154006</v>
      </c>
      <c r="AL185" s="4">
        <v>195725</v>
      </c>
      <c r="AM185" s="4">
        <v>187432.7</v>
      </c>
      <c r="AN185" s="114">
        <f>K185</f>
        <v>195459</v>
      </c>
      <c r="AO185" s="4">
        <v>182155</v>
      </c>
      <c r="AP185" s="4">
        <v>219987</v>
      </c>
      <c r="AQ185" s="4">
        <v>254614</v>
      </c>
      <c r="AR185" s="114">
        <f>M185</f>
        <v>290030</v>
      </c>
      <c r="AS185" s="4">
        <v>268772.64360000001</v>
      </c>
      <c r="AT185" s="4">
        <v>329400</v>
      </c>
      <c r="AU185" s="4">
        <v>330352.59999999998</v>
      </c>
      <c r="AV185" s="114">
        <f>N185</f>
        <v>384950</v>
      </c>
      <c r="AW185" s="4">
        <v>214400</v>
      </c>
      <c r="AX185" s="4">
        <v>397359</v>
      </c>
      <c r="AY185" s="4">
        <v>364143.70422043948</v>
      </c>
      <c r="AZ185" s="114">
        <f>P185</f>
        <v>335336.2</v>
      </c>
      <c r="BA185" s="114">
        <f>21090/BA267</f>
        <v>349751.24378109456</v>
      </c>
      <c r="BB185" s="114">
        <v>284558</v>
      </c>
      <c r="BC185" s="114">
        <v>282345.8</v>
      </c>
      <c r="BD185" s="114">
        <f>Q185</f>
        <v>235450</v>
      </c>
      <c r="BE185" s="114">
        <v>260157.9</v>
      </c>
      <c r="BF185" s="114">
        <v>225419.5</v>
      </c>
      <c r="BG185" s="114">
        <v>251827.5</v>
      </c>
      <c r="BH185" s="114">
        <f>R185</f>
        <v>258668.4</v>
      </c>
      <c r="BI185" s="114">
        <v>258660</v>
      </c>
      <c r="BJ185" s="4"/>
      <c r="BK185" s="6"/>
      <c r="BL185" s="6"/>
      <c r="BM185" s="6"/>
      <c r="BN185" s="6"/>
      <c r="BO185" s="6"/>
      <c r="BP185" s="6"/>
      <c r="BQ185" s="159"/>
      <c r="BR185" s="6"/>
      <c r="BS185" s="6"/>
      <c r="BT185" s="31"/>
      <c r="BU185" s="31"/>
      <c r="BV185" s="6"/>
      <c r="BW185" s="6"/>
      <c r="BX185" s="6"/>
      <c r="BY185" s="31"/>
      <c r="BZ185" s="31"/>
      <c r="CA185" s="6"/>
      <c r="CB185" s="6"/>
      <c r="CC185" s="31"/>
      <c r="CD185" s="31"/>
      <c r="CE185" s="6"/>
      <c r="CF185" s="6"/>
      <c r="CG185" s="31"/>
      <c r="CH185" s="31"/>
      <c r="CI185" s="6"/>
    </row>
    <row r="186" spans="2:87" ht="13.5" customHeight="1" outlineLevel="1">
      <c r="B186" s="1" t="s">
        <v>390</v>
      </c>
      <c r="C186" s="4">
        <v>53602</v>
      </c>
      <c r="D186" s="4">
        <v>61858</v>
      </c>
      <c r="E186" s="4">
        <v>75075</v>
      </c>
      <c r="F186" s="4">
        <v>77022.755999999994</v>
      </c>
      <c r="G186" s="4">
        <v>84573.872000000003</v>
      </c>
      <c r="H186" s="4">
        <v>84573.872000000003</v>
      </c>
      <c r="I186" s="4">
        <v>78311.436000000002</v>
      </c>
      <c r="J186" s="4">
        <v>78311.436000000002</v>
      </c>
      <c r="K186" s="4">
        <v>88011.09</v>
      </c>
      <c r="L186" s="267">
        <v>101605.473</v>
      </c>
      <c r="M186" s="267">
        <v>101605.473</v>
      </c>
      <c r="N186" s="267">
        <v>127601.88099999999</v>
      </c>
      <c r="O186" s="4">
        <v>127601.88099999999</v>
      </c>
      <c r="P186" s="4">
        <v>111627.851</v>
      </c>
      <c r="Q186" s="4">
        <v>127697.67</v>
      </c>
      <c r="R186" s="4">
        <v>120254.47100000001</v>
      </c>
      <c r="S186" s="6">
        <f>BI186</f>
        <v>123486.639</v>
      </c>
      <c r="U186" s="4">
        <v>65064</v>
      </c>
      <c r="V186" s="4">
        <v>69925</v>
      </c>
      <c r="W186" s="4">
        <v>74232</v>
      </c>
      <c r="X186" s="6">
        <f>+E186</f>
        <v>75075</v>
      </c>
      <c r="Y186" s="4">
        <v>70122</v>
      </c>
      <c r="Z186" s="4">
        <v>66352</v>
      </c>
      <c r="AA186" s="4">
        <v>69463</v>
      </c>
      <c r="AB186" s="6">
        <f>+F186</f>
        <v>77022.755999999994</v>
      </c>
      <c r="AC186" s="4">
        <v>72521.963000000003</v>
      </c>
      <c r="AD186" s="4">
        <f>83920.581-AD170</f>
        <v>74662.865000000005</v>
      </c>
      <c r="AE186" s="4">
        <v>19847.745999999999</v>
      </c>
      <c r="AF186" s="6">
        <f>G186</f>
        <v>84573.872000000003</v>
      </c>
      <c r="AG186" s="4">
        <v>84077.974000000002</v>
      </c>
      <c r="AH186" s="4">
        <v>81446.982999999993</v>
      </c>
      <c r="AI186" s="4">
        <v>81751.436000000002</v>
      </c>
      <c r="AJ186" s="114">
        <f>I186</f>
        <v>78311.436000000002</v>
      </c>
      <c r="AK186" s="4">
        <v>96419.002999999997</v>
      </c>
      <c r="AL186" s="4">
        <v>90926.214999999997</v>
      </c>
      <c r="AM186" s="4">
        <v>93496.456999999995</v>
      </c>
      <c r="AN186" s="114">
        <f>K186</f>
        <v>88011.09</v>
      </c>
      <c r="AO186" s="4">
        <v>95495.724000000002</v>
      </c>
      <c r="AP186" s="4">
        <v>89684.358999999997</v>
      </c>
      <c r="AQ186" s="4">
        <v>96349.502999999997</v>
      </c>
      <c r="AR186" s="114">
        <f>M186</f>
        <v>101605.473</v>
      </c>
      <c r="AS186" s="4">
        <f>105013.422</f>
        <v>105013.42200000001</v>
      </c>
      <c r="AT186" s="4">
        <v>103508.906</v>
      </c>
      <c r="AU186" s="4">
        <v>106303.413</v>
      </c>
      <c r="AV186" s="114">
        <f>N186</f>
        <v>127601.88099999999</v>
      </c>
      <c r="AW186" s="4">
        <v>113258.447</v>
      </c>
      <c r="AX186" s="4">
        <v>106626.711</v>
      </c>
      <c r="AY186" s="267">
        <v>112735.033</v>
      </c>
      <c r="AZ186" s="114">
        <f>P186</f>
        <v>111627.851</v>
      </c>
      <c r="BA186" s="4">
        <v>110623.04700000001</v>
      </c>
      <c r="BB186" s="4">
        <v>116667.886</v>
      </c>
      <c r="BC186" s="4">
        <v>127715.015</v>
      </c>
      <c r="BD186" s="114">
        <f>Q186</f>
        <v>127697.67</v>
      </c>
      <c r="BE186" s="4">
        <v>129279.026</v>
      </c>
      <c r="BF186" s="4">
        <v>119516.317</v>
      </c>
      <c r="BG186" s="4">
        <v>117748.124</v>
      </c>
      <c r="BH186" s="6">
        <f>R186</f>
        <v>120254.47100000001</v>
      </c>
      <c r="BI186" s="4">
        <v>123486.639</v>
      </c>
      <c r="BJ186" s="4"/>
      <c r="BK186" s="6"/>
      <c r="BL186" s="6"/>
      <c r="BM186" s="6"/>
      <c r="BN186" s="6"/>
      <c r="BO186" s="6"/>
      <c r="BP186" s="6"/>
      <c r="BQ186" s="4"/>
      <c r="BR186" s="6"/>
      <c r="BS186" s="6"/>
      <c r="BT186" s="31"/>
      <c r="BU186" s="31"/>
      <c r="BV186" s="6"/>
      <c r="BW186" s="6"/>
      <c r="BX186" s="6"/>
      <c r="BY186" s="31"/>
      <c r="BZ186" s="31"/>
      <c r="CA186" s="6"/>
      <c r="CB186" s="6"/>
      <c r="CC186" s="31"/>
      <c r="CD186" s="31"/>
      <c r="CE186" s="6"/>
      <c r="CF186" s="6"/>
      <c r="CG186" s="31"/>
      <c r="CH186" s="31"/>
      <c r="CI186" s="6"/>
    </row>
    <row r="187" spans="2:87" s="5" customFormat="1" ht="13.5" customHeight="1" outlineLevel="1">
      <c r="B187" s="5" t="s">
        <v>391</v>
      </c>
      <c r="C187" s="8">
        <f t="shared" ref="C187:G187" si="708">C173+C186</f>
        <v>115806</v>
      </c>
      <c r="D187" s="8">
        <f t="shared" si="708"/>
        <v>129619</v>
      </c>
      <c r="E187" s="8">
        <f t="shared" si="708"/>
        <v>157576</v>
      </c>
      <c r="F187" s="8">
        <f t="shared" si="708"/>
        <v>171335.49299999999</v>
      </c>
      <c r="G187" s="8">
        <f t="shared" si="708"/>
        <v>183601.897</v>
      </c>
      <c r="H187" s="8">
        <f t="shared" ref="H187:N187" si="709">H173+H186</f>
        <v>183557.731</v>
      </c>
      <c r="I187" s="8">
        <f t="shared" si="709"/>
        <v>173914.353</v>
      </c>
      <c r="J187" s="8">
        <f t="shared" si="709"/>
        <v>173914.353</v>
      </c>
      <c r="K187" s="8">
        <f t="shared" si="709"/>
        <v>182235.11099999998</v>
      </c>
      <c r="L187" s="8">
        <f t="shared" si="709"/>
        <v>203327.41899999999</v>
      </c>
      <c r="M187" s="8">
        <f t="shared" si="709"/>
        <v>203327.41899999999</v>
      </c>
      <c r="N187" s="8">
        <f t="shared" si="709"/>
        <v>219722.28200000001</v>
      </c>
      <c r="O187" s="8">
        <f t="shared" ref="O187" si="710">O173+O186</f>
        <v>219722.28200000001</v>
      </c>
      <c r="P187" s="8">
        <f>P173+P186</f>
        <v>221563.17199999999</v>
      </c>
      <c r="Q187" s="8">
        <f>Q173+Q186</f>
        <v>278603.22200000001</v>
      </c>
      <c r="R187" s="8">
        <f>R173+R186</f>
        <v>273917.56300000002</v>
      </c>
      <c r="S187" s="8">
        <f t="shared" ref="S187" si="711">S173+S186</f>
        <v>280811.77899999998</v>
      </c>
      <c r="U187" s="8">
        <f t="shared" ref="U187:AA187" si="712">U173+U186</f>
        <v>133814</v>
      </c>
      <c r="V187" s="8">
        <f t="shared" si="712"/>
        <v>143889</v>
      </c>
      <c r="W187" s="8">
        <f t="shared" si="712"/>
        <v>155689</v>
      </c>
      <c r="X187" s="8">
        <f t="shared" si="712"/>
        <v>157576</v>
      </c>
      <c r="Y187" s="8">
        <f t="shared" si="712"/>
        <v>147557</v>
      </c>
      <c r="Z187" s="8">
        <f t="shared" si="712"/>
        <v>139294</v>
      </c>
      <c r="AA187" s="8">
        <f t="shared" si="712"/>
        <v>145019</v>
      </c>
      <c r="AB187" s="8">
        <f t="shared" ref="AB187:AG187" si="713">AB173+AB186</f>
        <v>171335.49299999999</v>
      </c>
      <c r="AC187" s="8">
        <f t="shared" si="713"/>
        <v>162062.55800000002</v>
      </c>
      <c r="AD187" s="8">
        <f t="shared" si="713"/>
        <v>176652.073</v>
      </c>
      <c r="AE187" s="8">
        <f t="shared" si="713"/>
        <v>116884.62700000001</v>
      </c>
      <c r="AF187" s="8">
        <f t="shared" si="713"/>
        <v>183601.897</v>
      </c>
      <c r="AG187" s="8">
        <f t="shared" si="713"/>
        <v>183305.20800000001</v>
      </c>
      <c r="AH187" s="8">
        <f t="shared" ref="AH187:AM187" si="714">AH173+AH186</f>
        <v>179750.10499999998</v>
      </c>
      <c r="AI187" s="8">
        <f t="shared" si="714"/>
        <v>192814.74099999998</v>
      </c>
      <c r="AJ187" s="8">
        <f t="shared" si="714"/>
        <v>173914.353</v>
      </c>
      <c r="AK187" s="8">
        <f t="shared" si="714"/>
        <v>226144.33799999999</v>
      </c>
      <c r="AL187" s="8">
        <f t="shared" si="714"/>
        <v>203621.74099999998</v>
      </c>
      <c r="AM187" s="8">
        <f t="shared" si="714"/>
        <v>199553.86800000002</v>
      </c>
      <c r="AN187" s="8">
        <f t="shared" ref="AN187:AT187" si="715">AN173+AN186</f>
        <v>182235.11099999998</v>
      </c>
      <c r="AO187" s="8">
        <f t="shared" si="715"/>
        <v>192627.72600000002</v>
      </c>
      <c r="AP187" s="8">
        <f t="shared" si="715"/>
        <v>187048.11499999999</v>
      </c>
      <c r="AQ187" s="8">
        <f t="shared" si="715"/>
        <v>196151.065</v>
      </c>
      <c r="AR187" s="8">
        <f t="shared" si="715"/>
        <v>203327.41899999999</v>
      </c>
      <c r="AS187" s="8">
        <f t="shared" si="715"/>
        <v>204758.47899999999</v>
      </c>
      <c r="AT187" s="8">
        <f t="shared" si="715"/>
        <v>205822.20300000001</v>
      </c>
      <c r="AU187" s="8">
        <f t="shared" ref="AU187:AW187" si="716">AU173+AU186</f>
        <v>214445.891</v>
      </c>
      <c r="AV187" s="8">
        <f t="shared" si="716"/>
        <v>219722.28200000001</v>
      </c>
      <c r="AW187" s="8">
        <f t="shared" si="716"/>
        <v>213896.22899999999</v>
      </c>
      <c r="AX187" s="8">
        <f>AX173+AX186</f>
        <v>207106.72499999998</v>
      </c>
      <c r="AY187" s="8">
        <f t="shared" ref="AY187:BA187" si="717">AY173+AY186</f>
        <v>220016.75199999998</v>
      </c>
      <c r="AZ187" s="8">
        <f t="shared" si="717"/>
        <v>221563.17199999999</v>
      </c>
      <c r="BA187" s="8">
        <f t="shared" si="717"/>
        <v>239014.478</v>
      </c>
      <c r="BB187" s="8">
        <f>BB173+BB186</f>
        <v>252163.204</v>
      </c>
      <c r="BC187" s="8">
        <f t="shared" ref="BC187:BE187" si="718">BC173+BC186</f>
        <v>273350.52500000002</v>
      </c>
      <c r="BD187" s="8">
        <f t="shared" si="718"/>
        <v>278603.22200000001</v>
      </c>
      <c r="BE187" s="8">
        <f t="shared" si="718"/>
        <v>290517.44500000001</v>
      </c>
      <c r="BF187" s="8">
        <f>BF173+BF186</f>
        <v>276451.43</v>
      </c>
      <c r="BG187" s="8">
        <f t="shared" ref="BG187:BI187" si="719">BG173+BG186</f>
        <v>274436.24800000002</v>
      </c>
      <c r="BH187" s="8">
        <f t="shared" si="719"/>
        <v>273917.56300000002</v>
      </c>
      <c r="BI187" s="8">
        <f t="shared" si="719"/>
        <v>280811.77899999998</v>
      </c>
      <c r="BJ187" s="8"/>
      <c r="BK187" s="8"/>
      <c r="BL187" s="8"/>
      <c r="BM187" s="8"/>
      <c r="BN187" s="8"/>
      <c r="BO187" s="8"/>
      <c r="BP187" s="8"/>
      <c r="BQ187" s="4"/>
      <c r="BR187" s="8"/>
      <c r="BS187" s="8"/>
      <c r="BT187" s="31"/>
      <c r="BU187" s="31"/>
      <c r="BV187" s="8"/>
      <c r="BW187" s="8"/>
      <c r="BX187" s="8"/>
      <c r="BY187" s="31"/>
      <c r="BZ187" s="31"/>
      <c r="CA187" s="8"/>
      <c r="CB187" s="8"/>
      <c r="CC187" s="31"/>
      <c r="CD187" s="31"/>
      <c r="CE187" s="8"/>
      <c r="CF187" s="8"/>
      <c r="CG187" s="31"/>
      <c r="CH187" s="31"/>
      <c r="CI187" s="8"/>
    </row>
    <row r="188" spans="2:87" s="5" customFormat="1" ht="13.5" customHeight="1" outlineLevel="1">
      <c r="B188" s="5" t="s">
        <v>392</v>
      </c>
      <c r="C188" s="8">
        <f t="shared" ref="C188:G188" si="720">C172+C185</f>
        <v>251052.2</v>
      </c>
      <c r="D188" s="8">
        <f t="shared" si="720"/>
        <v>280048</v>
      </c>
      <c r="E188" s="8">
        <f t="shared" si="720"/>
        <v>296784.13</v>
      </c>
      <c r="F188" s="8">
        <f t="shared" si="720"/>
        <v>291732.73100000003</v>
      </c>
      <c r="G188" s="8">
        <f t="shared" si="720"/>
        <v>274375.408</v>
      </c>
      <c r="H188" s="8">
        <f t="shared" ref="H188:N188" si="721">H172+H185</f>
        <v>274331.24200000003</v>
      </c>
      <c r="I188" s="8">
        <f t="shared" si="721"/>
        <v>244798.63199999998</v>
      </c>
      <c r="J188" s="8">
        <f t="shared" si="721"/>
        <v>244798.63199999998</v>
      </c>
      <c r="K188" s="8">
        <f t="shared" si="721"/>
        <v>280415.47700000001</v>
      </c>
      <c r="L188" s="8">
        <f t="shared" si="721"/>
        <v>383004.48100000003</v>
      </c>
      <c r="M188" s="8">
        <f t="shared" ref="M188" si="722">M172+M185</f>
        <v>383004.48100000003</v>
      </c>
      <c r="N188" s="8">
        <f t="shared" si="721"/>
        <v>464757.26299999998</v>
      </c>
      <c r="O188" s="8">
        <f t="shared" ref="O188" si="723">O172+O185</f>
        <v>464757.26299999998</v>
      </c>
      <c r="P188" s="8">
        <f>P172+P185</f>
        <v>438918.397</v>
      </c>
      <c r="Q188" s="8">
        <f>Q172+Q185</f>
        <v>378298.50900000002</v>
      </c>
      <c r="R188" s="8">
        <f>R172+R185</f>
        <v>403796.45299999998</v>
      </c>
      <c r="S188" s="8">
        <f t="shared" ref="S188" si="724">S172+S185</f>
        <v>396411.18300000002</v>
      </c>
      <c r="U188" s="8">
        <f t="shared" ref="U188:AA188" si="725">U172+U185</f>
        <v>302535.40000000002</v>
      </c>
      <c r="V188" s="8">
        <f t="shared" si="725"/>
        <v>338450.1</v>
      </c>
      <c r="W188" s="8">
        <f t="shared" si="725"/>
        <v>312942.59999999998</v>
      </c>
      <c r="X188" s="8">
        <f t="shared" si="725"/>
        <v>296784.13</v>
      </c>
      <c r="Y188" s="8">
        <f t="shared" si="725"/>
        <v>288773.09999999998</v>
      </c>
      <c r="Z188" s="8">
        <f t="shared" si="725"/>
        <v>281778.90000000002</v>
      </c>
      <c r="AA188" s="8">
        <f t="shared" si="725"/>
        <v>276670.7</v>
      </c>
      <c r="AB188" s="8">
        <f t="shared" ref="AB188:AG188" si="726">AB172+AB185</f>
        <v>291732.73100000003</v>
      </c>
      <c r="AC188" s="8">
        <f t="shared" si="726"/>
        <v>271617.16499999998</v>
      </c>
      <c r="AD188" s="8">
        <f t="shared" si="726"/>
        <v>275879.935</v>
      </c>
      <c r="AE188" s="8">
        <f t="shared" si="726"/>
        <v>276767.86499999999</v>
      </c>
      <c r="AF188" s="8">
        <f t="shared" si="726"/>
        <v>274375.408</v>
      </c>
      <c r="AG188" s="8">
        <f t="shared" si="726"/>
        <v>281735.33600000001</v>
      </c>
      <c r="AH188" s="8">
        <f t="shared" ref="AH188:AM188" si="727">AH172+AH185</f>
        <v>279306.71499999997</v>
      </c>
      <c r="AI188" s="8">
        <f t="shared" si="727"/>
        <v>257714.71100000001</v>
      </c>
      <c r="AJ188" s="8">
        <f t="shared" si="727"/>
        <v>244798.63199999998</v>
      </c>
      <c r="AK188" s="8">
        <f t="shared" si="727"/>
        <v>258288.516</v>
      </c>
      <c r="AL188" s="8">
        <f t="shared" si="727"/>
        <v>298084.41599999997</v>
      </c>
      <c r="AM188" s="8">
        <f t="shared" si="727"/>
        <v>281458.36800000002</v>
      </c>
      <c r="AN188" s="8">
        <f t="shared" ref="AN188:AS188" si="728">AN172+AN185</f>
        <v>280415.47700000001</v>
      </c>
      <c r="AO188" s="8">
        <f t="shared" si="728"/>
        <v>267969.17300000001</v>
      </c>
      <c r="AP188" s="8">
        <f t="shared" si="728"/>
        <v>305437.40999999997</v>
      </c>
      <c r="AQ188" s="8">
        <f t="shared" si="728"/>
        <v>343262.04399999999</v>
      </c>
      <c r="AR188" s="8">
        <f t="shared" si="728"/>
        <v>383004.48100000003</v>
      </c>
      <c r="AS188" s="8">
        <f t="shared" si="728"/>
        <v>359418.82860000001</v>
      </c>
      <c r="AT188" s="8">
        <f t="shared" ref="AT188:AW188" si="729">AT172+AT185</f>
        <v>424940.62099999998</v>
      </c>
      <c r="AU188" s="8">
        <f t="shared" si="729"/>
        <v>431168.04</v>
      </c>
      <c r="AV188" s="8">
        <f t="shared" si="729"/>
        <v>464757.26299999998</v>
      </c>
      <c r="AW188" s="8">
        <f t="shared" si="729"/>
        <v>309056.61900000001</v>
      </c>
      <c r="AX188" s="8">
        <f>AX172+AX185</f>
        <v>491353.22700000001</v>
      </c>
      <c r="AY188" s="8">
        <f t="shared" ref="AY188:BA188" si="730">AY172+AY185</f>
        <v>465176.13422043948</v>
      </c>
      <c r="AZ188" s="8">
        <f t="shared" si="730"/>
        <v>438918.397</v>
      </c>
      <c r="BA188" s="8">
        <f t="shared" si="730"/>
        <v>460575.06278109457</v>
      </c>
      <c r="BB188" s="8">
        <f>BB172+BB185</f>
        <v>412437.69799999997</v>
      </c>
      <c r="BC188" s="8">
        <f t="shared" ref="BC188:BE188" si="731">BC172+BC185</f>
        <v>419546.99300000002</v>
      </c>
      <c r="BD188" s="8">
        <f t="shared" si="731"/>
        <v>378298.50900000002</v>
      </c>
      <c r="BE188" s="8">
        <f t="shared" si="731"/>
        <v>403617.37400000001</v>
      </c>
      <c r="BF188" s="8">
        <f>BF172+BF185</f>
        <v>374860.84100000001</v>
      </c>
      <c r="BG188" s="8">
        <f t="shared" ref="BG188:BI188" si="732">BG172+BG185</f>
        <v>394898.86499999999</v>
      </c>
      <c r="BH188" s="8">
        <f t="shared" si="732"/>
        <v>403796.45299999998</v>
      </c>
      <c r="BI188" s="8">
        <f t="shared" si="732"/>
        <v>396411.18300000002</v>
      </c>
      <c r="BJ188" s="8"/>
      <c r="BK188" s="8"/>
      <c r="BL188" s="8"/>
      <c r="BM188" s="8"/>
      <c r="BN188" s="8"/>
      <c r="BO188" s="8"/>
      <c r="BP188" s="8"/>
      <c r="BQ188" s="4"/>
      <c r="BR188" s="8"/>
      <c r="BS188" s="8"/>
      <c r="BT188" s="31"/>
      <c r="BU188" s="31"/>
      <c r="BV188" s="8"/>
      <c r="BW188" s="8"/>
      <c r="BX188" s="8"/>
      <c r="BY188" s="31"/>
      <c r="BZ188" s="31"/>
      <c r="CA188" s="8"/>
      <c r="CB188" s="8"/>
      <c r="CC188" s="31"/>
      <c r="CD188" s="31"/>
      <c r="CE188" s="8"/>
      <c r="CF188" s="8"/>
      <c r="CG188" s="31"/>
      <c r="CH188" s="31"/>
      <c r="CI188" s="8"/>
    </row>
    <row r="189" spans="2:87" ht="13.5" customHeight="1"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</row>
    <row r="190" spans="2:87" ht="13.5" customHeight="1">
      <c r="B190" s="16" t="s">
        <v>393</v>
      </c>
      <c r="C190" s="38">
        <f t="shared" ref="C190:R190" si="733">C3</f>
        <v>41975</v>
      </c>
      <c r="D190" s="38">
        <f t="shared" si="733"/>
        <v>42341</v>
      </c>
      <c r="E190" s="38">
        <f t="shared" si="733"/>
        <v>42708</v>
      </c>
      <c r="F190" s="38">
        <f t="shared" si="733"/>
        <v>43074</v>
      </c>
      <c r="G190" s="38">
        <f t="shared" si="733"/>
        <v>43439</v>
      </c>
      <c r="H190" s="38">
        <f t="shared" si="733"/>
        <v>43439</v>
      </c>
      <c r="I190" s="38">
        <f t="shared" si="733"/>
        <v>43804</v>
      </c>
      <c r="J190" s="38">
        <f t="shared" si="733"/>
        <v>43804</v>
      </c>
      <c r="K190" s="38">
        <f t="shared" si="733"/>
        <v>44170</v>
      </c>
      <c r="L190" s="38">
        <f t="shared" si="733"/>
        <v>44535</v>
      </c>
      <c r="M190" s="38">
        <f t="shared" si="733"/>
        <v>44535</v>
      </c>
      <c r="N190" s="38">
        <f t="shared" si="733"/>
        <v>44900</v>
      </c>
      <c r="O190" s="38">
        <f t="shared" si="733"/>
        <v>44900</v>
      </c>
      <c r="P190" s="38">
        <f t="shared" si="733"/>
        <v>45265</v>
      </c>
      <c r="Q190" s="38">
        <f t="shared" si="733"/>
        <v>45631</v>
      </c>
      <c r="R190" s="38">
        <f t="shared" si="733"/>
        <v>45996</v>
      </c>
      <c r="S190" s="197" t="s">
        <v>277</v>
      </c>
      <c r="U190" s="38">
        <f t="shared" ref="U190:BH190" si="734">U3</f>
        <v>42437</v>
      </c>
      <c r="V190" s="38">
        <f t="shared" si="734"/>
        <v>42527</v>
      </c>
      <c r="W190" s="38">
        <f t="shared" si="734"/>
        <v>42622</v>
      </c>
      <c r="X190" s="38">
        <f t="shared" si="734"/>
        <v>42714</v>
      </c>
      <c r="Y190" s="38">
        <f t="shared" si="734"/>
        <v>42801</v>
      </c>
      <c r="Z190" s="38">
        <f t="shared" si="734"/>
        <v>42892</v>
      </c>
      <c r="AA190" s="38">
        <f t="shared" si="734"/>
        <v>42987</v>
      </c>
      <c r="AB190" s="38">
        <f t="shared" si="734"/>
        <v>43100</v>
      </c>
      <c r="AC190" s="38">
        <f t="shared" si="734"/>
        <v>43190</v>
      </c>
      <c r="AD190" s="38">
        <f t="shared" si="734"/>
        <v>43281</v>
      </c>
      <c r="AE190" s="38">
        <f t="shared" si="734"/>
        <v>43373</v>
      </c>
      <c r="AF190" s="38">
        <f t="shared" si="734"/>
        <v>43465</v>
      </c>
      <c r="AG190" s="38">
        <f t="shared" si="734"/>
        <v>43555</v>
      </c>
      <c r="AH190" s="38">
        <f t="shared" si="734"/>
        <v>43646</v>
      </c>
      <c r="AI190" s="38">
        <f t="shared" si="734"/>
        <v>43738</v>
      </c>
      <c r="AJ190" s="38">
        <f t="shared" si="734"/>
        <v>43830</v>
      </c>
      <c r="AK190" s="38">
        <f t="shared" si="734"/>
        <v>43921</v>
      </c>
      <c r="AL190" s="38">
        <f t="shared" si="734"/>
        <v>44012</v>
      </c>
      <c r="AM190" s="38">
        <f t="shared" si="734"/>
        <v>44104</v>
      </c>
      <c r="AN190" s="38">
        <f t="shared" si="734"/>
        <v>44196</v>
      </c>
      <c r="AO190" s="38">
        <f t="shared" si="734"/>
        <v>44286</v>
      </c>
      <c r="AP190" s="38">
        <f t="shared" si="734"/>
        <v>44377</v>
      </c>
      <c r="AQ190" s="38">
        <f t="shared" si="734"/>
        <v>44469</v>
      </c>
      <c r="AR190" s="38">
        <f t="shared" si="734"/>
        <v>44561</v>
      </c>
      <c r="AS190" s="38">
        <f t="shared" si="734"/>
        <v>44651</v>
      </c>
      <c r="AT190" s="38">
        <f t="shared" si="734"/>
        <v>44742</v>
      </c>
      <c r="AU190" s="38">
        <f t="shared" si="734"/>
        <v>44834</v>
      </c>
      <c r="AV190" s="38">
        <f t="shared" si="734"/>
        <v>44926</v>
      </c>
      <c r="AW190" s="38">
        <f t="shared" si="734"/>
        <v>45016</v>
      </c>
      <c r="AX190" s="38">
        <f t="shared" si="734"/>
        <v>45107</v>
      </c>
      <c r="AY190" s="38">
        <f t="shared" si="734"/>
        <v>45199</v>
      </c>
      <c r="AZ190" s="38">
        <f t="shared" si="734"/>
        <v>45291</v>
      </c>
      <c r="BA190" s="197">
        <f t="shared" si="734"/>
        <v>45382</v>
      </c>
      <c r="BB190" s="197">
        <f t="shared" si="734"/>
        <v>45473</v>
      </c>
      <c r="BC190" s="197">
        <f t="shared" si="734"/>
        <v>45565</v>
      </c>
      <c r="BD190" s="197">
        <f t="shared" si="734"/>
        <v>45657</v>
      </c>
      <c r="BE190" s="197">
        <f t="shared" si="734"/>
        <v>45747</v>
      </c>
      <c r="BF190" s="197">
        <f t="shared" si="734"/>
        <v>45838</v>
      </c>
      <c r="BG190" s="197">
        <f t="shared" si="734"/>
        <v>45930</v>
      </c>
      <c r="BH190" s="197">
        <f t="shared" si="734"/>
        <v>46022</v>
      </c>
      <c r="BI190" s="197">
        <f t="shared" ref="BI190" si="735">BI3</f>
        <v>46112</v>
      </c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</row>
    <row r="191" spans="2:87" ht="13.5" customHeight="1">
      <c r="B191" s="5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</row>
    <row r="192" spans="2:87" s="5" customFormat="1" ht="13.5" customHeight="1">
      <c r="B192" s="5" t="s">
        <v>394</v>
      </c>
      <c r="C192" s="382">
        <f t="shared" ref="C192:Q192" si="736">+C167/C91</f>
        <v>3.2373507057546145</v>
      </c>
      <c r="D192" s="382">
        <f t="shared" si="736"/>
        <v>2.7359322178955026</v>
      </c>
      <c r="E192" s="382">
        <f t="shared" si="736"/>
        <v>2.583341183698546</v>
      </c>
      <c r="F192" s="382">
        <f t="shared" si="736"/>
        <v>3.1917520888302544</v>
      </c>
      <c r="G192" s="382">
        <f t="shared" si="736"/>
        <v>2.5946060558271564</v>
      </c>
      <c r="H192" s="382">
        <f t="shared" si="736"/>
        <v>2.5950152996845426</v>
      </c>
      <c r="I192" s="382">
        <f t="shared" si="736"/>
        <v>2.4059262849279004</v>
      </c>
      <c r="J192" s="382">
        <f t="shared" si="736"/>
        <v>2.123425448208486</v>
      </c>
      <c r="K192" s="382">
        <f t="shared" si="736"/>
        <v>1.6808179806607217</v>
      </c>
      <c r="L192" s="382">
        <f t="shared" si="736"/>
        <v>1.7102710968319168</v>
      </c>
      <c r="M192" s="382">
        <f t="shared" si="736"/>
        <v>1.7754731064763996</v>
      </c>
      <c r="N192" s="382">
        <f t="shared" si="736"/>
        <v>1.3423395266161473</v>
      </c>
      <c r="O192" s="382">
        <f t="shared" si="736"/>
        <v>1.3423395266161473</v>
      </c>
      <c r="P192" s="382">
        <f t="shared" si="736"/>
        <v>1.8853008081249318</v>
      </c>
      <c r="Q192" s="382">
        <f t="shared" si="736"/>
        <v>2.5750533403035658</v>
      </c>
      <c r="R192" s="382">
        <f>+R167/R91</f>
        <v>2.4409320001345534</v>
      </c>
      <c r="S192" s="382">
        <f>+S167/S91</f>
        <v>2.2703120395550065</v>
      </c>
      <c r="T192" s="383"/>
      <c r="U192" s="384"/>
      <c r="V192" s="382"/>
      <c r="W192" s="382"/>
      <c r="X192" s="382">
        <f t="shared" ref="X192:AJ192" si="737">+X167/X91</f>
        <v>2.583341183698546</v>
      </c>
      <c r="Y192" s="382">
        <f t="shared" si="737"/>
        <v>2.3764372718277662</v>
      </c>
      <c r="Z192" s="382">
        <f t="shared" si="737"/>
        <v>2.2960398403656583</v>
      </c>
      <c r="AA192" s="382">
        <f t="shared" si="737"/>
        <v>2.4603331103207862</v>
      </c>
      <c r="AB192" s="382">
        <f t="shared" si="737"/>
        <v>3.1917520888302544</v>
      </c>
      <c r="AC192" s="382">
        <f t="shared" si="737"/>
        <v>3.0191407701100159</v>
      </c>
      <c r="AD192" s="382">
        <f t="shared" si="737"/>
        <v>2.9620510496850945</v>
      </c>
      <c r="AE192" s="382">
        <f t="shared" si="737"/>
        <v>2.6851605157997249</v>
      </c>
      <c r="AF192" s="382">
        <f t="shared" si="737"/>
        <v>2.5946060558271564</v>
      </c>
      <c r="AG192" s="382">
        <f t="shared" si="737"/>
        <v>2.5799729561509976</v>
      </c>
      <c r="AH192" s="382">
        <f t="shared" si="737"/>
        <v>2.5765416164798172</v>
      </c>
      <c r="AI192" s="382">
        <f t="shared" si="737"/>
        <v>2.5559887694577421</v>
      </c>
      <c r="AJ192" s="382">
        <f t="shared" si="737"/>
        <v>2.4059262849279004</v>
      </c>
      <c r="AK192" s="382"/>
      <c r="AL192" s="382"/>
      <c r="AM192" s="382"/>
      <c r="AN192" s="382"/>
      <c r="AO192" s="382"/>
      <c r="AP192" s="382"/>
      <c r="AQ192" s="382"/>
      <c r="AR192" s="382"/>
      <c r="AS192" s="382">
        <f t="shared" ref="AS192:BG192" si="738">+AS167/AS91</f>
        <v>6.8860142052618301</v>
      </c>
      <c r="AT192" s="382">
        <f t="shared" si="738"/>
        <v>3.4915146048455141</v>
      </c>
      <c r="AU192" s="382">
        <f t="shared" si="738"/>
        <v>2.3453136010559983</v>
      </c>
      <c r="AV192" s="382">
        <f t="shared" si="738"/>
        <v>1.3423395266161473</v>
      </c>
      <c r="AW192" s="382">
        <f t="shared" si="738"/>
        <v>1.5909915448947707</v>
      </c>
      <c r="AX192" s="382">
        <f t="shared" si="738"/>
        <v>1.6961874402237662</v>
      </c>
      <c r="AY192" s="382">
        <f t="shared" si="738"/>
        <v>1.8244475143109955</v>
      </c>
      <c r="AZ192" s="382">
        <f t="shared" si="738"/>
        <v>1.8853008081249318</v>
      </c>
      <c r="BA192" s="382">
        <f t="shared" si="738"/>
        <v>2.053928480085994</v>
      </c>
      <c r="BB192" s="382">
        <f t="shared" si="738"/>
        <v>2.3721840543147588</v>
      </c>
      <c r="BC192" s="382">
        <f t="shared" si="738"/>
        <v>2.4908987309598589</v>
      </c>
      <c r="BD192" s="382">
        <f t="shared" si="738"/>
        <v>2.5750533403035658</v>
      </c>
      <c r="BE192" s="382">
        <f t="shared" si="738"/>
        <v>2.5427510944894451</v>
      </c>
      <c r="BF192" s="382">
        <f t="shared" si="738"/>
        <v>2.6051869846416684</v>
      </c>
      <c r="BG192" s="382">
        <f t="shared" si="738"/>
        <v>2.4882409259291469</v>
      </c>
      <c r="BH192" s="382">
        <f t="shared" ref="BH192" si="739">+BH167/BH91</f>
        <v>2.4409320001345534</v>
      </c>
      <c r="BI192" s="382">
        <f>+BI167/BI91</f>
        <v>2.2703120395550065</v>
      </c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</row>
    <row r="193" spans="2:87" ht="13.5" customHeight="1">
      <c r="B193" s="1" t="s">
        <v>395</v>
      </c>
      <c r="C193" s="25">
        <f t="shared" ref="C193:Q193" si="740">+C168/C91</f>
        <v>3.3769815418023885</v>
      </c>
      <c r="D193" s="25">
        <f t="shared" si="740"/>
        <v>2.8996105952330011</v>
      </c>
      <c r="E193" s="25">
        <f t="shared" si="740"/>
        <v>2.8159260017748653</v>
      </c>
      <c r="F193" s="25">
        <f t="shared" si="740"/>
        <v>3.4561982189973612</v>
      </c>
      <c r="G193" s="25">
        <f t="shared" si="740"/>
        <v>2.8338054565525943</v>
      </c>
      <c r="H193" s="25">
        <f t="shared" si="740"/>
        <v>2.8342524290220821</v>
      </c>
      <c r="I193" s="25">
        <f t="shared" si="740"/>
        <v>2.5929449231137438</v>
      </c>
      <c r="J193" s="25">
        <f t="shared" si="740"/>
        <v>2.288484593245848</v>
      </c>
      <c r="K193" s="25">
        <f t="shared" si="740"/>
        <v>1.8858838979487971</v>
      </c>
      <c r="L193" s="25">
        <f t="shared" si="740"/>
        <v>1.8881446378461912</v>
      </c>
      <c r="M193" s="25">
        <f t="shared" si="740"/>
        <v>1.960127860339441</v>
      </c>
      <c r="N193" s="25">
        <f t="shared" si="740"/>
        <v>1.5727284872298626</v>
      </c>
      <c r="O193" s="25">
        <f t="shared" si="740"/>
        <v>1.5727284872298626</v>
      </c>
      <c r="P193" s="25">
        <f t="shared" si="740"/>
        <v>2.0009340941356339</v>
      </c>
      <c r="Q193" s="25">
        <f t="shared" si="740"/>
        <v>2.7202933266034544</v>
      </c>
      <c r="R193" s="25">
        <f t="shared" ref="R193" si="741">+R168/R91</f>
        <v>2.5844841899892357</v>
      </c>
      <c r="S193" s="25">
        <f>+S168/S91</f>
        <v>2.5929153687680264</v>
      </c>
      <c r="U193" s="227"/>
      <c r="V193" s="25"/>
      <c r="W193" s="25"/>
      <c r="X193" s="25">
        <f t="shared" ref="X193:AJ193" si="742">+X168/X91</f>
        <v>2.8159260017748653</v>
      </c>
      <c r="Y193" s="25">
        <f t="shared" si="742"/>
        <v>2.6420212221501926</v>
      </c>
      <c r="Z193" s="25">
        <f t="shared" si="742"/>
        <v>2.4880444793123444</v>
      </c>
      <c r="AA193" s="25">
        <f t="shared" si="742"/>
        <v>2.6605162153596957</v>
      </c>
      <c r="AB193" s="25">
        <f t="shared" si="742"/>
        <v>3.4561982189973612</v>
      </c>
      <c r="AC193" s="25">
        <f t="shared" si="742"/>
        <v>3.1983352978997002</v>
      </c>
      <c r="AD193" s="25">
        <f t="shared" si="742"/>
        <v>3.2446288313505947</v>
      </c>
      <c r="AE193" s="25">
        <f t="shared" si="742"/>
        <v>2.9529235703012193</v>
      </c>
      <c r="AF193" s="25">
        <f t="shared" si="742"/>
        <v>2.8338054565525943</v>
      </c>
      <c r="AG193" s="25">
        <f t="shared" si="742"/>
        <v>2.8010820340459968</v>
      </c>
      <c r="AH193" s="25">
        <f t="shared" si="742"/>
        <v>2.7522359554031937</v>
      </c>
      <c r="AI193" s="25">
        <f t="shared" si="742"/>
        <v>3.0696489025381628</v>
      </c>
      <c r="AJ193" s="25">
        <f t="shared" si="742"/>
        <v>2.5929449231137438</v>
      </c>
      <c r="AK193" s="25"/>
      <c r="AL193" s="25"/>
      <c r="AM193" s="25"/>
      <c r="AN193" s="24"/>
      <c r="AO193" s="25"/>
      <c r="AP193" s="25"/>
      <c r="AQ193" s="25"/>
      <c r="AR193" s="24"/>
      <c r="AS193" s="25">
        <f t="shared" ref="AS193:BG193" si="743">+AS168/AS91</f>
        <v>7.6508181054047233</v>
      </c>
      <c r="AT193" s="25">
        <f t="shared" si="743"/>
        <v>3.7636298364739447</v>
      </c>
      <c r="AU193" s="25">
        <f t="shared" si="743"/>
        <v>2.5313073564502209</v>
      </c>
      <c r="AV193" s="24">
        <f t="shared" si="743"/>
        <v>1.5727284872298626</v>
      </c>
      <c r="AW193" s="25">
        <f t="shared" si="743"/>
        <v>1.7009292895873542</v>
      </c>
      <c r="AX193" s="25">
        <f t="shared" si="743"/>
        <v>1.8132277181268608</v>
      </c>
      <c r="AY193" s="25">
        <f t="shared" si="743"/>
        <v>1.9372974158946854</v>
      </c>
      <c r="AZ193" s="24">
        <f t="shared" si="743"/>
        <v>2.0009340941356339</v>
      </c>
      <c r="BA193" s="25">
        <f t="shared" si="743"/>
        <v>2.3795138906907352</v>
      </c>
      <c r="BB193" s="25">
        <f t="shared" si="743"/>
        <v>2.5134547377012688</v>
      </c>
      <c r="BC193" s="25">
        <f t="shared" si="743"/>
        <v>2.6440244367386216</v>
      </c>
      <c r="BD193" s="24">
        <f t="shared" si="743"/>
        <v>2.7202933266034544</v>
      </c>
      <c r="BE193" s="25">
        <f t="shared" si="743"/>
        <v>2.8578744571864094</v>
      </c>
      <c r="BF193" s="25">
        <f t="shared" si="743"/>
        <v>2.7358247127939617</v>
      </c>
      <c r="BG193" s="25">
        <f t="shared" si="743"/>
        <v>2.7250582444912088</v>
      </c>
      <c r="BH193" s="25">
        <f t="shared" ref="BH193:BI193" si="744">+BH168/BH91</f>
        <v>2.5844841899892357</v>
      </c>
      <c r="BI193" s="25">
        <f t="shared" si="744"/>
        <v>2.5929153687680264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</row>
    <row r="194" spans="2:87" ht="13.5" customHeight="1"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5"/>
      <c r="BH194" s="25"/>
      <c r="BI194" s="25"/>
      <c r="BJ194" s="25"/>
      <c r="BK194" s="25"/>
      <c r="BL194" s="25"/>
      <c r="BM194" s="25"/>
      <c r="BN194" s="25"/>
      <c r="BO194" s="25"/>
      <c r="BP194" s="25"/>
      <c r="BQ194" s="25"/>
      <c r="BR194" s="25"/>
      <c r="BS194" s="25"/>
      <c r="BT194" s="6"/>
      <c r="BU194" s="6"/>
      <c r="BV194" s="25"/>
      <c r="BW194" s="25"/>
      <c r="BX194" s="25"/>
      <c r="BY194" s="6"/>
      <c r="BZ194" s="6"/>
      <c r="CA194" s="25"/>
      <c r="CB194" s="25"/>
      <c r="CC194" s="6"/>
      <c r="CD194" s="6"/>
      <c r="CE194" s="25"/>
      <c r="CF194" s="25"/>
      <c r="CG194" s="6"/>
      <c r="CH194" s="6"/>
      <c r="CI194" s="25"/>
    </row>
    <row r="195" spans="2:87" s="5" customFormat="1" ht="13.5" customHeight="1">
      <c r="B195" s="5" t="s">
        <v>382</v>
      </c>
      <c r="C195" s="24">
        <f t="shared" ref="C195:Q195" si="745">C172/C91</f>
        <v>3.2373507057546145</v>
      </c>
      <c r="D195" s="24">
        <f t="shared" si="745"/>
        <v>2.7359322178955026</v>
      </c>
      <c r="E195" s="24">
        <f t="shared" si="745"/>
        <v>2.583341183698546</v>
      </c>
      <c r="F195" s="24">
        <f t="shared" si="745"/>
        <v>3.1917520888302544</v>
      </c>
      <c r="G195" s="382">
        <f t="shared" si="745"/>
        <v>2.8842204068758872</v>
      </c>
      <c r="H195" s="382">
        <f t="shared" si="745"/>
        <v>2.8832820820189276</v>
      </c>
      <c r="I195" s="382">
        <f t="shared" si="745"/>
        <v>2.6731176928139773</v>
      </c>
      <c r="J195" s="382">
        <f t="shared" si="745"/>
        <v>2.3592435772185989</v>
      </c>
      <c r="K195" s="382">
        <f t="shared" si="745"/>
        <v>1.8798592038590047</v>
      </c>
      <c r="L195" s="382">
        <f t="shared" si="745"/>
        <v>1.8905706006750986</v>
      </c>
      <c r="M195" s="382">
        <f t="shared" si="745"/>
        <v>1.9626463100565734</v>
      </c>
      <c r="N195" s="382">
        <f t="shared" si="745"/>
        <v>1.4932596688184112</v>
      </c>
      <c r="O195" s="382">
        <f t="shared" si="745"/>
        <v>1.4932596688184112</v>
      </c>
      <c r="P195" s="382">
        <f t="shared" si="745"/>
        <v>1.8853008081249318</v>
      </c>
      <c r="Q195" s="382">
        <f t="shared" si="745"/>
        <v>2.5750533403035658</v>
      </c>
      <c r="R195" s="382">
        <f t="shared" ref="R195" si="746">R172/R91</f>
        <v>2.4409320001345534</v>
      </c>
      <c r="S195" s="382">
        <f>S172/S91</f>
        <v>2.2703120395550065</v>
      </c>
      <c r="T195" s="382"/>
      <c r="U195" s="382"/>
      <c r="V195" s="382"/>
      <c r="W195" s="382"/>
      <c r="X195" s="383">
        <f t="shared" ref="X195:AJ195" si="747">X172/X91</f>
        <v>2.583341183698546</v>
      </c>
      <c r="Y195" s="384">
        <f t="shared" si="747"/>
        <v>2.3764372718277662</v>
      </c>
      <c r="Z195" s="382">
        <f t="shared" si="747"/>
        <v>2.2960398403656583</v>
      </c>
      <c r="AA195" s="382">
        <f t="shared" si="747"/>
        <v>2.4603331103207862</v>
      </c>
      <c r="AB195" s="382">
        <f t="shared" si="747"/>
        <v>3.1917520888302544</v>
      </c>
      <c r="AC195" s="382">
        <f t="shared" si="747"/>
        <v>3.0191407701100159</v>
      </c>
      <c r="AD195" s="382">
        <f t="shared" si="747"/>
        <v>3.2859739328201538</v>
      </c>
      <c r="AE195" s="382">
        <f t="shared" si="747"/>
        <v>2.9908044259377418</v>
      </c>
      <c r="AF195" s="382">
        <f t="shared" si="747"/>
        <v>2.8842204068758872</v>
      </c>
      <c r="AG195" s="382">
        <f t="shared" si="747"/>
        <v>2.866907416052034</v>
      </c>
      <c r="AH195" s="382">
        <f t="shared" si="747"/>
        <v>2.860320423731431</v>
      </c>
      <c r="AI195" s="382">
        <f t="shared" si="747"/>
        <v>2.8303107518140482</v>
      </c>
      <c r="AJ195" s="382">
        <f t="shared" si="747"/>
        <v>2.6731176928139773</v>
      </c>
      <c r="AK195" s="382"/>
      <c r="AL195" s="382"/>
      <c r="AM195" s="382"/>
      <c r="AN195" s="382"/>
      <c r="AO195" s="382"/>
      <c r="AP195" s="382"/>
      <c r="AQ195" s="382"/>
      <c r="AR195" s="382"/>
      <c r="AS195" s="382">
        <f t="shared" ref="AS195:BG195" si="748">AS172/AS91</f>
        <v>7.6192472892325798</v>
      </c>
      <c r="AT195" s="382">
        <f t="shared" si="748"/>
        <v>3.8386685282654986</v>
      </c>
      <c r="AU195" s="382">
        <f t="shared" si="748"/>
        <v>2.5591572320657967</v>
      </c>
      <c r="AV195" s="382">
        <f t="shared" si="748"/>
        <v>1.4932596688184112</v>
      </c>
      <c r="AW195" s="382">
        <f t="shared" si="748"/>
        <v>1.7398514658579176</v>
      </c>
      <c r="AX195" s="382">
        <f t="shared" si="748"/>
        <v>1.6961874402237662</v>
      </c>
      <c r="AY195" s="382">
        <f t="shared" si="748"/>
        <v>1.8244475143109955</v>
      </c>
      <c r="AZ195" s="382">
        <f t="shared" si="748"/>
        <v>1.8853008081249318</v>
      </c>
      <c r="BA195" s="382">
        <f t="shared" si="748"/>
        <v>2.053928480085994</v>
      </c>
      <c r="BB195" s="382">
        <f t="shared" si="748"/>
        <v>2.3721840543147588</v>
      </c>
      <c r="BC195" s="382">
        <f t="shared" si="748"/>
        <v>2.4908987309598589</v>
      </c>
      <c r="BD195" s="382">
        <f t="shared" si="748"/>
        <v>2.5750533403035658</v>
      </c>
      <c r="BE195" s="382">
        <f t="shared" si="748"/>
        <v>2.5427510944894451</v>
      </c>
      <c r="BF195" s="382">
        <f t="shared" si="748"/>
        <v>2.6051869846416684</v>
      </c>
      <c r="BG195" s="382">
        <f t="shared" si="748"/>
        <v>2.4882409259291469</v>
      </c>
      <c r="BH195" s="382">
        <f t="shared" ref="BH195:BI195" si="749">BH172/BH91</f>
        <v>2.4409320001345534</v>
      </c>
      <c r="BI195" s="382">
        <f t="shared" si="749"/>
        <v>2.2703120395550065</v>
      </c>
      <c r="BJ195" s="382"/>
      <c r="BK195" s="382"/>
      <c r="BL195" s="382"/>
      <c r="BM195" s="382"/>
      <c r="BN195" s="24"/>
      <c r="BO195" s="24"/>
      <c r="BP195" s="24"/>
      <c r="BQ195" s="24" t="e">
        <f>BQ172/BQ91</f>
        <v>#REF!</v>
      </c>
      <c r="BR195" s="24"/>
      <c r="BS195" s="24"/>
      <c r="BT195" s="8"/>
      <c r="BU195" s="8"/>
      <c r="BV195" s="24"/>
      <c r="BW195" s="24"/>
      <c r="BX195" s="24"/>
      <c r="BY195" s="8"/>
      <c r="BZ195" s="8"/>
      <c r="CA195" s="24"/>
      <c r="CB195" s="24"/>
      <c r="CC195" s="8"/>
      <c r="CD195" s="8"/>
      <c r="CE195" s="24"/>
      <c r="CF195" s="24"/>
      <c r="CG195" s="8"/>
      <c r="CH195" s="8"/>
      <c r="CI195" s="24"/>
    </row>
    <row r="196" spans="2:87" ht="13.5" customHeight="1">
      <c r="B196" s="1" t="s">
        <v>383</v>
      </c>
      <c r="C196" s="25">
        <f t="shared" ref="C196:Q196" si="750">C173/C91</f>
        <v>3.3769815418023885</v>
      </c>
      <c r="D196" s="25">
        <f t="shared" si="750"/>
        <v>2.8996105952330011</v>
      </c>
      <c r="E196" s="25">
        <f t="shared" si="750"/>
        <v>2.8159260017748653</v>
      </c>
      <c r="F196" s="25">
        <f t="shared" si="750"/>
        <v>3.4561982189973612</v>
      </c>
      <c r="G196" s="25">
        <f t="shared" si="750"/>
        <v>3.1234198076013246</v>
      </c>
      <c r="H196" s="25">
        <f t="shared" si="750"/>
        <v>3.1225192113564666</v>
      </c>
      <c r="I196" s="25">
        <f t="shared" si="750"/>
        <v>2.8601363309998207</v>
      </c>
      <c r="J196" s="25">
        <f t="shared" si="750"/>
        <v>2.5243027222559609</v>
      </c>
      <c r="K196" s="25">
        <f t="shared" si="750"/>
        <v>2.0849251211470801</v>
      </c>
      <c r="L196" s="25">
        <f t="shared" si="750"/>
        <v>2.0684441416893731</v>
      </c>
      <c r="M196" s="25">
        <f t="shared" si="750"/>
        <v>2.1473010639196151</v>
      </c>
      <c r="N196" s="25">
        <f t="shared" si="750"/>
        <v>1.7236486294321265</v>
      </c>
      <c r="O196" s="25">
        <f t="shared" si="750"/>
        <v>1.7236486294321265</v>
      </c>
      <c r="P196" s="25">
        <f t="shared" si="750"/>
        <v>2.0009340941356339</v>
      </c>
      <c r="Q196" s="25">
        <f t="shared" si="750"/>
        <v>2.7202933266034544</v>
      </c>
      <c r="R196" s="25">
        <f t="shared" ref="R196" si="751">R173/R91</f>
        <v>2.5844841899892357</v>
      </c>
      <c r="S196" s="25">
        <f>S173/S91</f>
        <v>2.5929153687680264</v>
      </c>
      <c r="U196" s="227"/>
      <c r="V196" s="25"/>
      <c r="W196" s="25"/>
      <c r="X196" s="25">
        <f t="shared" ref="X196:AJ196" si="752">X173/X91</f>
        <v>2.8159260017748653</v>
      </c>
      <c r="Y196" s="25">
        <f t="shared" si="752"/>
        <v>2.6420212221501926</v>
      </c>
      <c r="Z196" s="25">
        <f t="shared" si="752"/>
        <v>2.4880444793123444</v>
      </c>
      <c r="AA196" s="25">
        <f t="shared" si="752"/>
        <v>2.6605162153596957</v>
      </c>
      <c r="AB196" s="25">
        <f t="shared" si="752"/>
        <v>3.4561982189973612</v>
      </c>
      <c r="AC196" s="25">
        <f t="shared" si="752"/>
        <v>3.1983352978997002</v>
      </c>
      <c r="AD196" s="25">
        <f t="shared" si="752"/>
        <v>3.5685517144856544</v>
      </c>
      <c r="AE196" s="25">
        <f t="shared" si="752"/>
        <v>3.2585674804392362</v>
      </c>
      <c r="AF196" s="25">
        <f t="shared" si="752"/>
        <v>3.1234198076013246</v>
      </c>
      <c r="AG196" s="25">
        <f t="shared" si="752"/>
        <v>3.0880164939470331</v>
      </c>
      <c r="AH196" s="25">
        <f t="shared" si="752"/>
        <v>3.0360147626548071</v>
      </c>
      <c r="AI196" s="25">
        <f t="shared" si="752"/>
        <v>3.3439708848944689</v>
      </c>
      <c r="AJ196" s="25">
        <f t="shared" si="752"/>
        <v>2.8601363309998207</v>
      </c>
      <c r="AK196" s="25"/>
      <c r="AL196" s="25"/>
      <c r="AM196" s="25"/>
      <c r="AN196" s="25"/>
      <c r="AO196" s="25"/>
      <c r="AP196" s="25"/>
      <c r="AQ196" s="25"/>
      <c r="AR196" s="25"/>
      <c r="AS196" s="25">
        <f t="shared" ref="AS196:BG196" si="753">AS173/AS91</f>
        <v>8.384051189375473</v>
      </c>
      <c r="AT196" s="25">
        <f t="shared" si="753"/>
        <v>4.1107837598939296</v>
      </c>
      <c r="AU196" s="25">
        <f t="shared" si="753"/>
        <v>2.7451509874600193</v>
      </c>
      <c r="AV196" s="25">
        <f t="shared" si="753"/>
        <v>1.7236486294321265</v>
      </c>
      <c r="AW196" s="25">
        <f t="shared" si="753"/>
        <v>1.8497892105505009</v>
      </c>
      <c r="AX196" s="25">
        <f t="shared" si="753"/>
        <v>1.8132277181268608</v>
      </c>
      <c r="AY196" s="25">
        <f t="shared" si="753"/>
        <v>1.9372974158946854</v>
      </c>
      <c r="AZ196" s="25">
        <f t="shared" si="753"/>
        <v>2.0009340941356339</v>
      </c>
      <c r="BA196" s="25">
        <f t="shared" si="753"/>
        <v>2.3795138906907352</v>
      </c>
      <c r="BB196" s="25">
        <f t="shared" si="753"/>
        <v>2.5134547377012688</v>
      </c>
      <c r="BC196" s="25">
        <f t="shared" si="753"/>
        <v>2.6440244367386216</v>
      </c>
      <c r="BD196" s="25">
        <f t="shared" si="753"/>
        <v>2.7202933266034544</v>
      </c>
      <c r="BE196" s="25">
        <f t="shared" si="753"/>
        <v>2.8578744571864094</v>
      </c>
      <c r="BF196" s="25">
        <f t="shared" si="753"/>
        <v>2.7358247127939617</v>
      </c>
      <c r="BG196" s="25">
        <f t="shared" si="753"/>
        <v>2.7250582444912088</v>
      </c>
      <c r="BH196" s="25">
        <f t="shared" ref="BH196:BI196" si="754">BH173/BH91</f>
        <v>2.5844841899892357</v>
      </c>
      <c r="BI196" s="25">
        <f t="shared" si="754"/>
        <v>2.5929153687680264</v>
      </c>
      <c r="BJ196" s="25"/>
      <c r="BK196" s="25"/>
      <c r="BL196" s="25"/>
      <c r="BM196" s="25"/>
      <c r="BN196" s="25"/>
      <c r="BO196" s="25"/>
      <c r="BP196" s="25"/>
      <c r="BQ196" s="25" t="e">
        <f>BQ173/BQ91</f>
        <v>#REF!</v>
      </c>
      <c r="BR196" s="25"/>
      <c r="BS196" s="25"/>
      <c r="BT196" s="6"/>
      <c r="BU196" s="6"/>
      <c r="BV196" s="25"/>
      <c r="BW196" s="25"/>
      <c r="BX196" s="25"/>
      <c r="BY196" s="6"/>
      <c r="BZ196" s="6"/>
      <c r="CA196" s="25"/>
      <c r="CB196" s="25"/>
      <c r="CC196" s="6"/>
      <c r="CD196" s="6"/>
      <c r="CE196" s="25"/>
      <c r="CF196" s="25"/>
      <c r="CG196" s="6"/>
      <c r="CH196" s="6"/>
      <c r="CI196" s="25"/>
    </row>
    <row r="197" spans="2:87" ht="13.5" customHeight="1"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U197" s="227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5"/>
      <c r="BH197" s="25"/>
      <c r="BI197" s="25"/>
      <c r="BJ197" s="25"/>
      <c r="BK197" s="25"/>
      <c r="BL197" s="25"/>
      <c r="BM197" s="25"/>
      <c r="BN197" s="25"/>
      <c r="BO197" s="25"/>
      <c r="BP197" s="25"/>
      <c r="BQ197" s="25"/>
      <c r="BR197" s="25"/>
      <c r="BS197" s="25"/>
      <c r="BT197" s="6"/>
      <c r="BU197" s="6"/>
      <c r="BV197" s="25"/>
      <c r="BW197" s="25"/>
      <c r="BX197" s="25"/>
      <c r="BY197" s="6"/>
      <c r="BZ197" s="6"/>
      <c r="CA197" s="25"/>
      <c r="CB197" s="25"/>
      <c r="CC197" s="6"/>
      <c r="CD197" s="6"/>
      <c r="CE197" s="25"/>
      <c r="CF197" s="25"/>
      <c r="CG197" s="6"/>
      <c r="CH197" s="6"/>
      <c r="CI197" s="25"/>
    </row>
    <row r="198" spans="2:87" s="5" customFormat="1" ht="13.5" customHeight="1">
      <c r="B198" s="5" t="s">
        <v>396</v>
      </c>
      <c r="C198" s="24">
        <f t="shared" ref="C198:Q198" si="755">C178/C92</f>
        <v>3.9950696188084911</v>
      </c>
      <c r="D198" s="24">
        <f t="shared" si="755"/>
        <v>3.5275040901654244</v>
      </c>
      <c r="E198" s="24">
        <f t="shared" si="755"/>
        <v>3.3541593723469654</v>
      </c>
      <c r="F198" s="24">
        <f t="shared" si="755"/>
        <v>4.0290671175355843</v>
      </c>
      <c r="G198" s="382">
        <f t="shared" si="755"/>
        <v>3.7244715796117585</v>
      </c>
      <c r="H198" s="382">
        <f t="shared" si="755"/>
        <v>3.7237981529914159</v>
      </c>
      <c r="I198" s="382">
        <f t="shared" si="755"/>
        <v>3.0283314762495706</v>
      </c>
      <c r="J198" s="382">
        <f t="shared" si="755"/>
        <v>3.0283314762495706</v>
      </c>
      <c r="K198" s="382">
        <f t="shared" si="755"/>
        <v>2.5235134202199454</v>
      </c>
      <c r="L198" s="382">
        <f t="shared" si="755"/>
        <v>2.5239701492537314</v>
      </c>
      <c r="M198" s="382">
        <f t="shared" si="755"/>
        <v>2.620193447606181</v>
      </c>
      <c r="N198" s="382">
        <f t="shared" si="755"/>
        <v>2.0393402563382916</v>
      </c>
      <c r="O198" s="382">
        <f t="shared" si="755"/>
        <v>2.0393402563382916</v>
      </c>
      <c r="P198" s="382">
        <f t="shared" si="755"/>
        <v>2.3733495322339921</v>
      </c>
      <c r="Q198" s="382">
        <f t="shared" si="755"/>
        <v>3.2204110213793848</v>
      </c>
      <c r="R198" s="382">
        <f t="shared" ref="R198" si="756">R178/R92</f>
        <v>3.0260678148546827</v>
      </c>
      <c r="S198" s="382">
        <f>S178/S92</f>
        <v>2.8382092130201899</v>
      </c>
      <c r="T198" s="382"/>
      <c r="U198" s="382"/>
      <c r="V198" s="382"/>
      <c r="W198" s="382"/>
      <c r="X198" s="383">
        <f>X178/X91</f>
        <v>3.9106672810430743</v>
      </c>
      <c r="Y198" s="384">
        <f t="shared" ref="Y198:BG198" si="757">Y178/Y92</f>
        <v>3.2077506849891795</v>
      </c>
      <c r="Z198" s="382">
        <f t="shared" si="757"/>
        <v>3.1703834580889687</v>
      </c>
      <c r="AA198" s="382">
        <f t="shared" si="757"/>
        <v>3.3633291297437897</v>
      </c>
      <c r="AB198" s="382">
        <f t="shared" si="757"/>
        <v>4.0290671175355843</v>
      </c>
      <c r="AC198" s="382">
        <f t="shared" si="757"/>
        <v>3.8828622839597409</v>
      </c>
      <c r="AD198" s="382">
        <f t="shared" si="757"/>
        <v>4.1030527187841663</v>
      </c>
      <c r="AE198" s="382">
        <f t="shared" si="757"/>
        <v>3.8437943798380187</v>
      </c>
      <c r="AF198" s="382">
        <f t="shared" si="757"/>
        <v>3.7244715796117585</v>
      </c>
      <c r="AG198" s="382">
        <f t="shared" si="757"/>
        <v>3.0125759033522397</v>
      </c>
      <c r="AH198" s="382">
        <f t="shared" si="757"/>
        <v>3.0394099861715596</v>
      </c>
      <c r="AI198" s="382">
        <f t="shared" si="757"/>
        <v>3.0689291890875281</v>
      </c>
      <c r="AJ198" s="382">
        <f t="shared" si="757"/>
        <v>3.0283314762495706</v>
      </c>
      <c r="AK198" s="382">
        <f t="shared" si="757"/>
        <v>3.4625562430711319</v>
      </c>
      <c r="AL198" s="382">
        <f t="shared" si="757"/>
        <v>3.1880960901419346</v>
      </c>
      <c r="AM198" s="382">
        <f t="shared" si="757"/>
        <v>2.8757036599763874</v>
      </c>
      <c r="AN198" s="382">
        <f t="shared" si="757"/>
        <v>2.5235134202199454</v>
      </c>
      <c r="AO198" s="382">
        <f t="shared" si="757"/>
        <v>2.4587025795045476</v>
      </c>
      <c r="AP198" s="382">
        <f t="shared" si="757"/>
        <v>2.3940839632149151</v>
      </c>
      <c r="AQ198" s="382">
        <f t="shared" si="757"/>
        <v>2.4316729234132963</v>
      </c>
      <c r="AR198" s="382">
        <f t="shared" si="757"/>
        <v>2.620193447606181</v>
      </c>
      <c r="AS198" s="382">
        <f t="shared" si="757"/>
        <v>2.4957415048543687</v>
      </c>
      <c r="AT198" s="382">
        <f t="shared" si="757"/>
        <v>2.5389083790765254</v>
      </c>
      <c r="AU198" s="382">
        <f t="shared" si="757"/>
        <v>2.5703999099698596</v>
      </c>
      <c r="AV198" s="382">
        <f t="shared" si="757"/>
        <v>2.0393402563382916</v>
      </c>
      <c r="AW198" s="382">
        <f t="shared" si="757"/>
        <v>2.2477904236742945</v>
      </c>
      <c r="AX198" s="382">
        <f t="shared" si="757"/>
        <v>2.1747827303076783</v>
      </c>
      <c r="AY198" s="382">
        <f t="shared" si="757"/>
        <v>2.3174200480343825</v>
      </c>
      <c r="AZ198" s="382">
        <f t="shared" si="757"/>
        <v>2.3733495322339921</v>
      </c>
      <c r="BA198" s="382">
        <f t="shared" si="757"/>
        <v>2.5535460829920118</v>
      </c>
      <c r="BB198" s="382">
        <f t="shared" si="757"/>
        <v>2.9320320917118052</v>
      </c>
      <c r="BC198" s="382">
        <f t="shared" si="757"/>
        <v>3.0952573664239935</v>
      </c>
      <c r="BD198" s="382">
        <f t="shared" si="757"/>
        <v>3.2204110213793848</v>
      </c>
      <c r="BE198" s="382">
        <f t="shared" si="757"/>
        <v>3.1892239493787553</v>
      </c>
      <c r="BF198" s="382">
        <f t="shared" si="757"/>
        <v>3.2293863640325648</v>
      </c>
      <c r="BG198" s="382">
        <f t="shared" si="757"/>
        <v>3.1213280230960541</v>
      </c>
      <c r="BH198" s="382">
        <f t="shared" ref="BH198" si="758">BH178/BH92</f>
        <v>3.0260678148546827</v>
      </c>
      <c r="BI198" s="382">
        <f>BI178/BI92</f>
        <v>2.8382092130201899</v>
      </c>
      <c r="BJ198" s="382"/>
      <c r="BK198" s="382"/>
      <c r="BL198" s="382"/>
      <c r="BM198" s="382"/>
      <c r="BN198" s="24"/>
      <c r="BO198" s="24"/>
      <c r="BP198" s="24"/>
      <c r="BQ198" s="24" t="e">
        <f>BQ178/BQ91</f>
        <v>#REF!</v>
      </c>
      <c r="BR198" s="24"/>
      <c r="BS198" s="24"/>
      <c r="BT198" s="8"/>
      <c r="BU198" s="8"/>
      <c r="BV198" s="24"/>
      <c r="BW198" s="24"/>
      <c r="BX198" s="24"/>
      <c r="BY198" s="8"/>
      <c r="BZ198" s="8"/>
      <c r="CA198" s="24"/>
      <c r="CB198" s="24"/>
      <c r="CC198" s="8"/>
      <c r="CD198" s="8"/>
      <c r="CE198" s="24"/>
      <c r="CF198" s="24"/>
      <c r="CG198" s="8"/>
      <c r="CH198" s="8"/>
      <c r="CI198" s="24"/>
    </row>
    <row r="199" spans="2:87" ht="13.5" customHeight="1">
      <c r="B199" s="1" t="s">
        <v>397</v>
      </c>
      <c r="C199" s="25">
        <f t="shared" ref="C199:Q199" si="759">C179/C92</f>
        <v>4.1124857338507192</v>
      </c>
      <c r="D199" s="25">
        <f t="shared" si="759"/>
        <v>3.6665697145973462</v>
      </c>
      <c r="E199" s="25">
        <f t="shared" si="759"/>
        <v>3.5536461840217806</v>
      </c>
      <c r="F199" s="25">
        <f t="shared" si="759"/>
        <v>4.2474622280459249</v>
      </c>
      <c r="G199" s="25">
        <f t="shared" si="759"/>
        <v>3.9243832093692275</v>
      </c>
      <c r="H199" s="25">
        <f t="shared" si="759"/>
        <v>3.9237361348666959</v>
      </c>
      <c r="I199" s="25">
        <f t="shared" si="759"/>
        <v>3.1933906212869325</v>
      </c>
      <c r="J199" s="25">
        <f t="shared" si="759"/>
        <v>3.1933906212869325</v>
      </c>
      <c r="K199" s="25">
        <f t="shared" si="759"/>
        <v>2.728579337508021</v>
      </c>
      <c r="L199" s="25">
        <f t="shared" si="759"/>
        <v>2.7018436902680061</v>
      </c>
      <c r="M199" s="25">
        <f t="shared" si="759"/>
        <v>2.8048482014692224</v>
      </c>
      <c r="N199" s="25">
        <f t="shared" si="759"/>
        <v>2.2697292169520069</v>
      </c>
      <c r="O199" s="25">
        <f t="shared" si="759"/>
        <v>2.2697292169520069</v>
      </c>
      <c r="P199" s="25">
        <f t="shared" si="759"/>
        <v>2.4889828182446943</v>
      </c>
      <c r="Q199" s="25">
        <f t="shared" si="759"/>
        <v>3.3656510076792734</v>
      </c>
      <c r="R199" s="25">
        <f>R179/R92</f>
        <v>3.169620004709365</v>
      </c>
      <c r="S199" s="25">
        <f>S179/S92</f>
        <v>3.1608125422332098</v>
      </c>
      <c r="U199" s="227"/>
      <c r="V199" s="25"/>
      <c r="W199" s="25"/>
      <c r="X199" s="25">
        <f>X179/X91</f>
        <v>4.143252099119394</v>
      </c>
      <c r="Y199" s="25">
        <f t="shared" ref="Y199:BG199" si="760">Y179/Y92</f>
        <v>3.4340742036430179</v>
      </c>
      <c r="Z199" s="25">
        <f t="shared" si="760"/>
        <v>3.3329562591654787</v>
      </c>
      <c r="AA199" s="25">
        <f t="shared" si="760"/>
        <v>3.5308812931384197</v>
      </c>
      <c r="AB199" s="25">
        <f t="shared" si="760"/>
        <v>4.2474622280459249</v>
      </c>
      <c r="AC199" s="25">
        <f t="shared" si="760"/>
        <v>4.0309830227358159</v>
      </c>
      <c r="AD199" s="25">
        <f t="shared" si="760"/>
        <v>4.3366514945016199</v>
      </c>
      <c r="AE199" s="25">
        <f t="shared" si="760"/>
        <v>4.0659614514838855</v>
      </c>
      <c r="AF199" s="25">
        <f t="shared" si="760"/>
        <v>3.9243832093692275</v>
      </c>
      <c r="AG199" s="25">
        <f t="shared" si="760"/>
        <v>3.2002475346431654</v>
      </c>
      <c r="AH199" s="25">
        <f t="shared" si="760"/>
        <v>3.1906540493449103</v>
      </c>
      <c r="AI199" s="25">
        <f t="shared" si="760"/>
        <v>3.5177905704886325</v>
      </c>
      <c r="AJ199" s="25">
        <f t="shared" si="760"/>
        <v>3.1933906212869325</v>
      </c>
      <c r="AK199" s="25">
        <f t="shared" si="760"/>
        <v>4.1185187820661566</v>
      </c>
      <c r="AL199" s="25">
        <f t="shared" si="760"/>
        <v>3.438020165872766</v>
      </c>
      <c r="AM199" s="25">
        <f t="shared" si="760"/>
        <v>3.1542355719147164</v>
      </c>
      <c r="AN199" s="25">
        <f t="shared" si="760"/>
        <v>2.728579337508021</v>
      </c>
      <c r="AO199" s="25">
        <f t="shared" si="760"/>
        <v>2.6997793043218952</v>
      </c>
      <c r="AP199" s="25">
        <f t="shared" si="760"/>
        <v>2.6442172041656171</v>
      </c>
      <c r="AQ199" s="25">
        <f t="shared" si="760"/>
        <v>2.6617324931416433</v>
      </c>
      <c r="AR199" s="25">
        <f t="shared" si="760"/>
        <v>2.8048482014692224</v>
      </c>
      <c r="AS199" s="25">
        <f t="shared" si="760"/>
        <v>2.6828994775382591</v>
      </c>
      <c r="AT199" s="25">
        <f t="shared" si="760"/>
        <v>2.6755865353567967</v>
      </c>
      <c r="AU199" s="25">
        <f t="shared" si="760"/>
        <v>2.7138030101381769</v>
      </c>
      <c r="AV199" s="25">
        <f t="shared" si="760"/>
        <v>2.2697292169520069</v>
      </c>
      <c r="AW199" s="25">
        <f t="shared" si="760"/>
        <v>2.357728168366878</v>
      </c>
      <c r="AX199" s="25">
        <f t="shared" si="760"/>
        <v>2.2918230082107733</v>
      </c>
      <c r="AY199" s="25">
        <f t="shared" si="760"/>
        <v>2.4302699496180726</v>
      </c>
      <c r="AZ199" s="25">
        <f t="shared" si="760"/>
        <v>2.4889828182446943</v>
      </c>
      <c r="BA199" s="25">
        <f t="shared" si="760"/>
        <v>2.8791314935967534</v>
      </c>
      <c r="BB199" s="25">
        <f t="shared" si="760"/>
        <v>3.0733027750983157</v>
      </c>
      <c r="BC199" s="25">
        <f t="shared" si="760"/>
        <v>3.2483830722027562</v>
      </c>
      <c r="BD199" s="25">
        <f t="shared" si="760"/>
        <v>3.3656510076792734</v>
      </c>
      <c r="BE199" s="25">
        <f t="shared" si="760"/>
        <v>3.5043473120757191</v>
      </c>
      <c r="BF199" s="25">
        <f t="shared" si="760"/>
        <v>3.3600240921848581</v>
      </c>
      <c r="BG199" s="25">
        <f t="shared" si="760"/>
        <v>3.358145341658116</v>
      </c>
      <c r="BH199" s="25">
        <f t="shared" ref="BH199:BI199" si="761">BH179/BH92</f>
        <v>3.169620004709365</v>
      </c>
      <c r="BI199" s="25">
        <f t="shared" si="761"/>
        <v>3.1608125422332098</v>
      </c>
      <c r="BJ199" s="25"/>
      <c r="BK199" s="25"/>
      <c r="BL199" s="25"/>
      <c r="BM199" s="25"/>
      <c r="BN199" s="25"/>
      <c r="BO199" s="25"/>
      <c r="BP199" s="25"/>
      <c r="BQ199" s="25" t="e">
        <f>BQ179/BQ91</f>
        <v>#REF!</v>
      </c>
      <c r="BR199" s="25"/>
      <c r="BS199" s="25"/>
      <c r="BT199" s="6"/>
      <c r="BU199" s="6"/>
      <c r="BV199" s="25"/>
      <c r="BW199" s="25"/>
      <c r="BX199" s="25"/>
      <c r="BY199" s="6"/>
      <c r="BZ199" s="6"/>
      <c r="CA199" s="25"/>
      <c r="CB199" s="25"/>
      <c r="CC199" s="6"/>
      <c r="CD199" s="6"/>
      <c r="CE199" s="25"/>
      <c r="CF199" s="25"/>
      <c r="CG199" s="6"/>
      <c r="CH199" s="6"/>
      <c r="CI199" s="25"/>
    </row>
    <row r="200" spans="2:87" ht="13.5" customHeight="1"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U200" s="227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5"/>
      <c r="BH200" s="25"/>
      <c r="BI200" s="25"/>
      <c r="BJ200" s="25"/>
      <c r="BK200" s="25"/>
      <c r="BL200" s="25"/>
      <c r="BM200" s="25"/>
      <c r="BN200" s="25"/>
      <c r="BO200" s="25"/>
      <c r="BP200" s="25"/>
      <c r="BQ200" s="25"/>
      <c r="BR200" s="25"/>
      <c r="BS200" s="25"/>
      <c r="BT200" s="6"/>
      <c r="BU200" s="6"/>
      <c r="BV200" s="25"/>
      <c r="BW200" s="25"/>
      <c r="BX200" s="25"/>
      <c r="BY200" s="6"/>
      <c r="BZ200" s="6"/>
      <c r="CA200" s="25"/>
      <c r="CB200" s="25"/>
      <c r="CC200" s="6"/>
      <c r="CD200" s="6"/>
      <c r="CE200" s="25"/>
      <c r="CF200" s="25"/>
      <c r="CG200" s="6"/>
      <c r="CH200" s="6"/>
      <c r="CI200" s="25"/>
    </row>
    <row r="201" spans="2:87" s="5" customFormat="1" ht="13.5" customHeight="1">
      <c r="B201" s="5" t="s">
        <v>398</v>
      </c>
      <c r="C201" s="24">
        <f t="shared" ref="C201:Q201" si="762">+(C91-C96)/C94</f>
        <v>4.0358112276802185</v>
      </c>
      <c r="D201" s="24">
        <f t="shared" si="762"/>
        <v>3.5302811056693044</v>
      </c>
      <c r="E201" s="24">
        <f t="shared" si="762"/>
        <v>3.7134770316655827</v>
      </c>
      <c r="F201" s="24">
        <f t="shared" si="762"/>
        <v>3.0968196215536152</v>
      </c>
      <c r="G201" s="382">
        <f t="shared" si="762"/>
        <v>2.3675647892827492</v>
      </c>
      <c r="H201" s="382">
        <f t="shared" si="762"/>
        <v>2.4521304193273608</v>
      </c>
      <c r="I201" s="382">
        <f t="shared" si="762"/>
        <v>3.3063280911377002</v>
      </c>
      <c r="J201" s="382">
        <f t="shared" si="762"/>
        <v>4.0323441504695223</v>
      </c>
      <c r="K201" s="382">
        <f t="shared" si="762"/>
        <v>4.6244925715576146</v>
      </c>
      <c r="L201" s="382">
        <f t="shared" si="762"/>
        <v>3.8859094167255281</v>
      </c>
      <c r="M201" s="382">
        <f t="shared" si="762"/>
        <v>3.6793530918078412</v>
      </c>
      <c r="N201" s="382">
        <f t="shared" si="762"/>
        <v>3.7483055980067457</v>
      </c>
      <c r="O201" s="382">
        <f t="shared" si="762"/>
        <v>3.7497094653209975</v>
      </c>
      <c r="P201" s="382">
        <f t="shared" si="762"/>
        <v>2.5071935235050655</v>
      </c>
      <c r="Q201" s="382">
        <f t="shared" si="762"/>
        <v>2.962951603686176</v>
      </c>
      <c r="R201" s="382">
        <f t="shared" ref="R201" si="763">+(R91-R96)/R94</f>
        <v>3.1183989587115768</v>
      </c>
      <c r="S201" s="382">
        <f>+(S91-S96)/S94</f>
        <v>3.4735906441688229</v>
      </c>
      <c r="T201" s="382"/>
      <c r="U201" s="382"/>
      <c r="V201" s="382"/>
      <c r="W201" s="382"/>
      <c r="X201" s="383">
        <f t="shared" ref="X201:BG201" si="764">+(X91-X96)/X94</f>
        <v>3.7134770316655827</v>
      </c>
      <c r="Y201" s="384">
        <f t="shared" si="764"/>
        <v>3.2522183322103486</v>
      </c>
      <c r="Z201" s="382">
        <f t="shared" si="764"/>
        <v>3.4199999303211155</v>
      </c>
      <c r="AA201" s="382">
        <f t="shared" si="764"/>
        <v>3.1932321940417605</v>
      </c>
      <c r="AB201" s="382">
        <f t="shared" si="764"/>
        <v>3.0968196215536152</v>
      </c>
      <c r="AC201" s="382">
        <f t="shared" si="764"/>
        <v>2.965254525088433</v>
      </c>
      <c r="AD201" s="382">
        <f t="shared" si="764"/>
        <v>2.4790436845716148</v>
      </c>
      <c r="AE201" s="382">
        <f t="shared" si="764"/>
        <v>2.3811652521586177</v>
      </c>
      <c r="AF201" s="382">
        <f t="shared" si="764"/>
        <v>2.3675647892827492</v>
      </c>
      <c r="AG201" s="382">
        <f t="shared" si="764"/>
        <v>2.6842096928466006</v>
      </c>
      <c r="AH201" s="382">
        <f t="shared" si="764"/>
        <v>2.7168342599918338</v>
      </c>
      <c r="AI201" s="382">
        <f t="shared" si="764"/>
        <v>3.1655222325472145</v>
      </c>
      <c r="AJ201" s="382">
        <f t="shared" si="764"/>
        <v>3.3063280911377002</v>
      </c>
      <c r="AK201" s="382">
        <f t="shared" si="764"/>
        <v>-2.0726048604689158</v>
      </c>
      <c r="AL201" s="382">
        <f t="shared" si="764"/>
        <v>-1.905754741235957</v>
      </c>
      <c r="AM201" s="382">
        <f t="shared" si="764"/>
        <v>-1.6896816176353109</v>
      </c>
      <c r="AN201" s="382">
        <f t="shared" si="764"/>
        <v>-1.8022470337851422</v>
      </c>
      <c r="AO201" s="382">
        <f t="shared" si="764"/>
        <v>-1.7702676916310711</v>
      </c>
      <c r="AP201" s="382">
        <f t="shared" si="764"/>
        <v>-2.0152068759016788</v>
      </c>
      <c r="AQ201" s="382">
        <f t="shared" si="764"/>
        <v>-2.2838081605436957</v>
      </c>
      <c r="AR201" s="382">
        <f t="shared" si="764"/>
        <v>-2.8393775253510389</v>
      </c>
      <c r="AS201" s="382">
        <f t="shared" si="764"/>
        <v>-1.3694944334320149</v>
      </c>
      <c r="AT201" s="382">
        <f t="shared" si="764"/>
        <v>0.18960616963388208</v>
      </c>
      <c r="AU201" s="382">
        <f t="shared" si="764"/>
        <v>1.915157433993087</v>
      </c>
      <c r="AV201" s="382">
        <f t="shared" si="764"/>
        <v>3.7483055980067457</v>
      </c>
      <c r="AW201" s="382">
        <f t="shared" si="764"/>
        <v>3.7871457166730593</v>
      </c>
      <c r="AX201" s="382">
        <f t="shared" si="764"/>
        <v>3.0019219119570626</v>
      </c>
      <c r="AY201" s="382">
        <f t="shared" si="764"/>
        <v>2.9973244429170345</v>
      </c>
      <c r="AZ201" s="382">
        <f t="shared" si="764"/>
        <v>2.5071935235050655</v>
      </c>
      <c r="BA201" s="382">
        <f t="shared" si="764"/>
        <v>2.3828625106820764</v>
      </c>
      <c r="BB201" s="382">
        <f t="shared" si="764"/>
        <v>2.6483872229772891</v>
      </c>
      <c r="BC201" s="382">
        <f t="shared" si="764"/>
        <v>2.4472646142980965</v>
      </c>
      <c r="BD201" s="382">
        <f t="shared" si="764"/>
        <v>2.962951603686176</v>
      </c>
      <c r="BE201" s="382">
        <f t="shared" si="764"/>
        <v>2.555470815309886</v>
      </c>
      <c r="BF201" s="382">
        <f t="shared" si="764"/>
        <v>2.8380090235522992</v>
      </c>
      <c r="BG201" s="382">
        <f t="shared" si="764"/>
        <v>3.1294867313917671</v>
      </c>
      <c r="BH201" s="382">
        <f t="shared" ref="BH201:BI201" si="765">+(BH91-BH96)/BH94</f>
        <v>3.1183989587115768</v>
      </c>
      <c r="BI201" s="382">
        <f t="shared" si="765"/>
        <v>3.4735906441688229</v>
      </c>
      <c r="BJ201" s="382"/>
      <c r="BK201" s="382"/>
      <c r="BL201" s="382"/>
      <c r="BM201" s="382"/>
      <c r="BN201" s="24"/>
      <c r="BO201" s="24"/>
      <c r="BP201" s="24"/>
      <c r="BQ201" s="24" t="e">
        <f>+(BQ91-BQ96)/BQ94</f>
        <v>#REF!</v>
      </c>
      <c r="BR201" s="24"/>
      <c r="BS201" s="24"/>
      <c r="BT201" s="6"/>
      <c r="BU201" s="6"/>
      <c r="BV201" s="24"/>
      <c r="BW201" s="24"/>
      <c r="BX201" s="24"/>
      <c r="BY201" s="6"/>
      <c r="BZ201" s="6"/>
      <c r="CA201" s="24"/>
      <c r="CB201" s="24"/>
      <c r="CC201" s="6"/>
      <c r="CD201" s="6"/>
      <c r="CE201" s="24"/>
      <c r="CF201" s="24"/>
      <c r="CG201" s="6"/>
      <c r="CH201" s="6"/>
      <c r="CI201" s="24"/>
    </row>
    <row r="202" spans="2:87" ht="13.5" customHeight="1">
      <c r="B202" s="1" t="s">
        <v>399</v>
      </c>
      <c r="C202" s="25">
        <f t="shared" ref="C202:H202" si="766">+C91/C94</f>
        <v>6.4133899884266512</v>
      </c>
      <c r="D202" s="25">
        <f t="shared" si="766"/>
        <v>5.9935389091446281</v>
      </c>
      <c r="E202" s="25">
        <f t="shared" si="766"/>
        <v>6.7385618329403387</v>
      </c>
      <c r="F202" s="25">
        <f t="shared" si="766"/>
        <v>6.1614272257049469</v>
      </c>
      <c r="G202" s="25">
        <f t="shared" si="766"/>
        <v>4.5115784135238348</v>
      </c>
      <c r="H202" s="25">
        <f t="shared" si="766"/>
        <v>4.5109773281410135</v>
      </c>
      <c r="I202" s="25">
        <f t="shared" ref="I202:Q202" si="767">+I92/I94</f>
        <v>6.0262761104686273</v>
      </c>
      <c r="J202" s="25">
        <f t="shared" si="767"/>
        <v>6.0539282838161119</v>
      </c>
      <c r="K202" s="25">
        <f t="shared" si="767"/>
        <v>6.4267396053427559</v>
      </c>
      <c r="L202" s="25">
        <f t="shared" si="767"/>
        <v>6.7672493095212243</v>
      </c>
      <c r="M202" s="25">
        <f t="shared" si="767"/>
        <v>6.518730617158881</v>
      </c>
      <c r="N202" s="25">
        <f t="shared" si="767"/>
        <v>8.3403388850802891</v>
      </c>
      <c r="O202" s="25">
        <f t="shared" si="767"/>
        <v>8.3403388850802891</v>
      </c>
      <c r="P202" s="25">
        <f t="shared" si="767"/>
        <v>6.9576630093621104</v>
      </c>
      <c r="Q202" s="25">
        <f t="shared" si="767"/>
        <v>6.1555361987561108</v>
      </c>
      <c r="R202" s="25">
        <f t="shared" ref="R202" si="768">+R92/R94</f>
        <v>4.9825235405717079</v>
      </c>
      <c r="S202" s="25">
        <f>+S92/S94</f>
        <v>5.0191073508270421</v>
      </c>
      <c r="U202" s="227"/>
      <c r="V202" s="25"/>
      <c r="W202" s="25"/>
      <c r="X202" s="25">
        <f t="shared" ref="X202:AF202" si="769">+X91/X94</f>
        <v>6.7385618329403387</v>
      </c>
      <c r="Y202" s="25">
        <f t="shared" si="769"/>
        <v>6.2832112056352312</v>
      </c>
      <c r="Z202" s="25">
        <f t="shared" si="769"/>
        <v>6.3836745856719306</v>
      </c>
      <c r="AA202" s="25">
        <f t="shared" si="769"/>
        <v>6.0983780320098813</v>
      </c>
      <c r="AB202" s="25">
        <f t="shared" si="769"/>
        <v>6.1614272257049469</v>
      </c>
      <c r="AC202" s="25">
        <f t="shared" si="769"/>
        <v>6.0098377927692193</v>
      </c>
      <c r="AD202" s="25">
        <f t="shared" si="769"/>
        <v>5.2851249068445885</v>
      </c>
      <c r="AE202" s="25">
        <f t="shared" si="769"/>
        <v>5.0115169469177037</v>
      </c>
      <c r="AF202" s="25">
        <f t="shared" si="769"/>
        <v>4.5115784135238348</v>
      </c>
      <c r="AG202" s="25">
        <f t="shared" ref="AG202:BG202" si="770">+AG92/AG94</f>
        <v>5.4501654205241508</v>
      </c>
      <c r="AH202" s="25">
        <f t="shared" si="770"/>
        <v>5.4354461869718662</v>
      </c>
      <c r="AI202" s="25">
        <f t="shared" si="770"/>
        <v>6.0322184854744281</v>
      </c>
      <c r="AJ202" s="25">
        <f t="shared" si="770"/>
        <v>6.0262761104686273</v>
      </c>
      <c r="AK202" s="25">
        <f t="shared" si="770"/>
        <v>6.1524380862042438</v>
      </c>
      <c r="AL202" s="25">
        <f t="shared" si="770"/>
        <v>6.503322265666462</v>
      </c>
      <c r="AM202" s="25">
        <f t="shared" si="770"/>
        <v>6.1622531218544641</v>
      </c>
      <c r="AN202" s="25">
        <f t="shared" si="770"/>
        <v>6.4267396053427559</v>
      </c>
      <c r="AO202" s="25">
        <f t="shared" si="770"/>
        <v>6.4402542848947242</v>
      </c>
      <c r="AP202" s="25">
        <f t="shared" si="770"/>
        <v>6.4822930560470367</v>
      </c>
      <c r="AQ202" s="25">
        <f t="shared" si="770"/>
        <v>6.6434151931004175</v>
      </c>
      <c r="AR202" s="25">
        <f t="shared" si="770"/>
        <v>6.5187306171588801</v>
      </c>
      <c r="AS202" s="25">
        <f t="shared" si="770"/>
        <v>6.6718669974238045</v>
      </c>
      <c r="AT202" s="25">
        <f t="shared" si="770"/>
        <v>7.692946605653427</v>
      </c>
      <c r="AU202" s="25">
        <f t="shared" si="770"/>
        <v>7.4631847235354103</v>
      </c>
      <c r="AV202" s="25">
        <f t="shared" si="770"/>
        <v>8.3403388850802891</v>
      </c>
      <c r="AW202" s="25">
        <f t="shared" si="770"/>
        <v>8.7505760132404635</v>
      </c>
      <c r="AX202" s="25">
        <f t="shared" si="770"/>
        <v>7.1272670213901614</v>
      </c>
      <c r="AY202" s="25">
        <f t="shared" si="770"/>
        <v>7.6800914671059184</v>
      </c>
      <c r="AZ202" s="25">
        <f t="shared" si="770"/>
        <v>6.9576630093621104</v>
      </c>
      <c r="BA202" s="25">
        <f t="shared" si="770"/>
        <v>6.9119804629619068</v>
      </c>
      <c r="BB202" s="25">
        <f t="shared" si="770"/>
        <v>7.2227414797696783</v>
      </c>
      <c r="BC202" s="25">
        <f t="shared" si="770"/>
        <v>5.8939787914780695</v>
      </c>
      <c r="BD202" s="25">
        <f t="shared" si="770"/>
        <v>6.1555361987561108</v>
      </c>
      <c r="BE202" s="25">
        <f t="shared" si="770"/>
        <v>5.1642629961732336</v>
      </c>
      <c r="BF202" s="25">
        <f t="shared" si="770"/>
        <v>5.2764325234212235</v>
      </c>
      <c r="BG202" s="25">
        <f t="shared" si="770"/>
        <v>5.3720207772823283</v>
      </c>
      <c r="BH202" s="25">
        <f t="shared" ref="BH202:BI202" si="771">+BH92/BH94</f>
        <v>4.9825235405717079</v>
      </c>
      <c r="BI202" s="25">
        <f t="shared" si="771"/>
        <v>5.0191073508270421</v>
      </c>
      <c r="BJ202" s="25"/>
      <c r="BK202" s="25"/>
      <c r="BL202" s="25"/>
      <c r="BM202" s="25"/>
      <c r="BN202" s="25"/>
      <c r="BO202" s="25"/>
      <c r="BP202" s="25"/>
      <c r="BQ202" s="25" t="e">
        <f>+BQ91/BQ94</f>
        <v>#REF!</v>
      </c>
      <c r="BR202" s="25"/>
      <c r="BS202" s="25"/>
      <c r="BT202" s="6"/>
      <c r="BU202" s="6"/>
      <c r="BV202" s="25"/>
      <c r="BW202" s="25"/>
      <c r="BX202" s="25"/>
      <c r="BY202" s="6"/>
      <c r="BZ202" s="6"/>
      <c r="CA202" s="25"/>
      <c r="CB202" s="25"/>
      <c r="CC202" s="6"/>
      <c r="CD202" s="6"/>
      <c r="CE202" s="25"/>
      <c r="CF202" s="25"/>
      <c r="CG202" s="6"/>
      <c r="CH202" s="6"/>
      <c r="CI202" s="25"/>
    </row>
    <row r="203" spans="2:87" ht="13.5" customHeight="1"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U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6"/>
      <c r="BU203" s="6"/>
      <c r="BV203" s="9"/>
      <c r="BW203" s="9"/>
      <c r="BX203" s="9"/>
      <c r="BY203" s="6"/>
      <c r="BZ203" s="6"/>
      <c r="CA203" s="9"/>
      <c r="CB203" s="9"/>
      <c r="CC203" s="6"/>
      <c r="CD203" s="6"/>
      <c r="CE203" s="9"/>
      <c r="CF203" s="9"/>
      <c r="CG203" s="6"/>
      <c r="CH203" s="6"/>
      <c r="CI203" s="9"/>
    </row>
    <row r="204" spans="2:87" s="5" customFormat="1" ht="13.5" customHeight="1">
      <c r="B204" s="5" t="s">
        <v>400</v>
      </c>
      <c r="C204" s="56">
        <f>C172/C186</f>
        <v>1.112495802395433</v>
      </c>
      <c r="D204" s="56">
        <f>D172/D186</f>
        <v>1.033593067994439</v>
      </c>
      <c r="E204" s="56">
        <f>E172/E186</f>
        <v>1.0081482517482516</v>
      </c>
      <c r="F204" s="56">
        <f t="shared" ref="F204:K204" si="772">F172/F186</f>
        <v>1.1307895941817505</v>
      </c>
      <c r="G204" s="56">
        <f t="shared" si="772"/>
        <v>1.0812347340559267</v>
      </c>
      <c r="H204" s="56">
        <f t="shared" si="772"/>
        <v>1.0807125160356854</v>
      </c>
      <c r="I204" s="56">
        <f t="shared" si="772"/>
        <v>1.1409780814132944</v>
      </c>
      <c r="J204" s="56">
        <f t="shared" si="772"/>
        <v>1.1409780814132944</v>
      </c>
      <c r="K204" s="56">
        <f t="shared" si="772"/>
        <v>0.96529286252448421</v>
      </c>
      <c r="L204" s="56">
        <f t="shared" ref="L204:N204" si="773">L172/L186</f>
        <v>0.91505386722622706</v>
      </c>
      <c r="M204" s="56">
        <f t="shared" ref="M204" si="774">M172/M186</f>
        <v>0.91505386722622706</v>
      </c>
      <c r="N204" s="56">
        <f t="shared" si="773"/>
        <v>0.62543954975083793</v>
      </c>
      <c r="O204" s="56">
        <f t="shared" ref="O204" si="775">O172/O186</f>
        <v>0.62543954975083793</v>
      </c>
      <c r="P204" s="56">
        <f>P172/P186</f>
        <v>0.92792431344037973</v>
      </c>
      <c r="Q204" s="56">
        <f>Q172/Q186</f>
        <v>1.1186461663709293</v>
      </c>
      <c r="R204" s="56">
        <f>R172/R186</f>
        <v>1.2068412242235884</v>
      </c>
      <c r="S204" s="56">
        <f t="shared" ref="S204" si="776">S172/S186</f>
        <v>1.1155148776864841</v>
      </c>
      <c r="U204" s="56"/>
      <c r="X204" s="56">
        <f t="shared" ref="X204:AC204" si="777">X172/X186</f>
        <v>1.0081482517482516</v>
      </c>
      <c r="Y204" s="56">
        <f t="shared" si="777"/>
        <v>0.99328313510738431</v>
      </c>
      <c r="Z204" s="56">
        <f t="shared" si="777"/>
        <v>1.0144833614661202</v>
      </c>
      <c r="AA204" s="56">
        <f t="shared" si="777"/>
        <v>1.0058736305659128</v>
      </c>
      <c r="AB204" s="56">
        <f t="shared" si="777"/>
        <v>1.1307895941817505</v>
      </c>
      <c r="AC204" s="56">
        <f t="shared" si="777"/>
        <v>1.1654933416515492</v>
      </c>
      <c r="AD204" s="56">
        <f t="shared" ref="AD204:AI204" si="778">AD172/AD186</f>
        <v>1.2578292434934017</v>
      </c>
      <c r="AE204" s="56">
        <f t="shared" si="778"/>
        <v>4.4873188623030549</v>
      </c>
      <c r="AF204" s="56">
        <f t="shared" si="778"/>
        <v>1.0812347340559267</v>
      </c>
      <c r="AG204" s="56">
        <f t="shared" si="778"/>
        <v>1.0956774005995911</v>
      </c>
      <c r="AH204" s="56">
        <f t="shared" si="778"/>
        <v>1.1371116717730356</v>
      </c>
      <c r="AI204" s="56">
        <f t="shared" si="778"/>
        <v>1.1498649516077</v>
      </c>
      <c r="AJ204" s="56">
        <f t="shared" ref="AJ204:AO204" si="779">AJ172/AJ186</f>
        <v>1.1409780814132944</v>
      </c>
      <c r="AK204" s="56">
        <f t="shared" si="779"/>
        <v>1.0815556348368383</v>
      </c>
      <c r="AL204" s="56">
        <f t="shared" si="779"/>
        <v>1.1257415256975121</v>
      </c>
      <c r="AM204" s="56">
        <f t="shared" si="779"/>
        <v>1.0056602251783724</v>
      </c>
      <c r="AN204" s="56">
        <f t="shared" si="779"/>
        <v>0.96529286252448421</v>
      </c>
      <c r="AO204" s="56">
        <f t="shared" si="779"/>
        <v>0.89861796325037557</v>
      </c>
      <c r="AP204" s="56">
        <f>AP172/AP186</f>
        <v>0.95279055292127346</v>
      </c>
      <c r="AQ204" s="56">
        <f>AQ172/AQ186</f>
        <v>0.92006747559455504</v>
      </c>
      <c r="AR204" s="56">
        <f t="shared" ref="AR204:AS204" si="780">AR172/AR186</f>
        <v>0.91505386722622706</v>
      </c>
      <c r="AS204" s="56">
        <f t="shared" si="780"/>
        <v>0.86318666008236544</v>
      </c>
      <c r="AT204" s="56">
        <f>AT172/AT186</f>
        <v>0.92301836327011322</v>
      </c>
      <c r="AU204" s="56">
        <f>AU172/AU186</f>
        <v>0.94837444212633137</v>
      </c>
      <c r="AV204" s="56">
        <f t="shared" ref="AV204:AW204" si="781">AV172/AV186</f>
        <v>0.62543954975083793</v>
      </c>
      <c r="AW204" s="56">
        <f t="shared" si="781"/>
        <v>0.835757698496431</v>
      </c>
      <c r="AX204" s="56">
        <f>AX172/AX186</f>
        <v>0.88152608402222965</v>
      </c>
      <c r="AY204" s="56">
        <f>AY172/AY186</f>
        <v>0.89619373243098266</v>
      </c>
      <c r="AZ204" s="56">
        <f t="shared" ref="AZ204:BA204" si="782">AZ172/AZ186</f>
        <v>0.92792431344037973</v>
      </c>
      <c r="BA204" s="56">
        <f t="shared" si="782"/>
        <v>1.0018149201766244</v>
      </c>
      <c r="BB204" s="56">
        <f>BB172/BB186</f>
        <v>1.0961002413294778</v>
      </c>
      <c r="BC204" s="56">
        <f>BC172/BC186</f>
        <v>1.0742761373829068</v>
      </c>
      <c r="BD204" s="56">
        <f t="shared" ref="BD204:BE204" si="783">BD172/BD186</f>
        <v>1.1186461663709293</v>
      </c>
      <c r="BE204" s="56">
        <f t="shared" si="783"/>
        <v>1.1096886976855782</v>
      </c>
      <c r="BF204" s="56">
        <f>BF172/BF186</f>
        <v>1.2503844224048506</v>
      </c>
      <c r="BG204" s="56">
        <f>BG172/BG186</f>
        <v>1.2150627979431758</v>
      </c>
      <c r="BH204" s="56">
        <f>BH172/BH186</f>
        <v>1.2068412242235884</v>
      </c>
      <c r="BI204" s="56">
        <f t="shared" ref="BI204" si="784">BI172/BI186</f>
        <v>1.1155148776864841</v>
      </c>
      <c r="BJ204" s="56"/>
      <c r="BK204" s="56"/>
      <c r="BL204" s="56"/>
      <c r="BM204" s="56"/>
      <c r="BN204" s="56"/>
      <c r="BO204" s="56"/>
      <c r="BP204" s="56"/>
      <c r="BQ204" s="56" t="e">
        <f>BQ172/BQ186</f>
        <v>#DIV/0!</v>
      </c>
      <c r="BR204" s="56"/>
      <c r="BS204" s="56"/>
      <c r="BT204" s="6"/>
      <c r="BU204" s="6"/>
      <c r="BV204" s="56"/>
      <c r="BW204" s="56"/>
      <c r="BX204" s="56"/>
      <c r="BY204" s="6"/>
      <c r="BZ204" s="6"/>
      <c r="CA204" s="56"/>
      <c r="CB204" s="56"/>
      <c r="CC204" s="6"/>
      <c r="CD204" s="6"/>
      <c r="CE204" s="56"/>
      <c r="CF204" s="56"/>
      <c r="CG204" s="6"/>
      <c r="CH204" s="6"/>
      <c r="CI204" s="56"/>
    </row>
    <row r="205" spans="2:87" s="5" customFormat="1" ht="13.5" customHeight="1"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U205" s="29"/>
      <c r="Y205" s="29"/>
      <c r="Z205" s="29"/>
      <c r="AD205" s="29"/>
      <c r="BQ205" s="29"/>
      <c r="BT205" s="6"/>
      <c r="BU205" s="6"/>
      <c r="BY205" s="6"/>
      <c r="BZ205" s="6"/>
      <c r="CC205" s="6"/>
      <c r="CD205" s="6"/>
      <c r="CG205" s="6"/>
      <c r="CH205" s="6"/>
    </row>
    <row r="206" spans="2:87" ht="13.5" customHeight="1">
      <c r="B206" s="16" t="s">
        <v>401</v>
      </c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U206" s="38"/>
      <c r="V206" s="17"/>
      <c r="W206" s="17"/>
      <c r="X206" s="17"/>
      <c r="Y206" s="38"/>
      <c r="Z206" s="38"/>
      <c r="AA206" s="17"/>
      <c r="AB206" s="17"/>
      <c r="AC206" s="17"/>
      <c r="AD206" s="38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  <c r="BI206" s="17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</row>
    <row r="207" spans="2:87" ht="13.5" customHeight="1">
      <c r="B207" s="16" t="s">
        <v>402</v>
      </c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U207" s="38"/>
      <c r="V207" s="17"/>
      <c r="W207" s="17"/>
      <c r="X207" s="17"/>
      <c r="Y207" s="38"/>
      <c r="Z207" s="38"/>
      <c r="AA207" s="17"/>
      <c r="AB207" s="17"/>
      <c r="AC207" s="17"/>
      <c r="AD207" s="38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  <c r="BI207" s="17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</row>
    <row r="208" spans="2:87" s="2" customFormat="1" ht="13.5" customHeight="1">
      <c r="B208" s="75" t="s">
        <v>279</v>
      </c>
      <c r="C208" s="67">
        <f t="shared" ref="C208:R208" si="785">C3</f>
        <v>41975</v>
      </c>
      <c r="D208" s="67">
        <f t="shared" si="785"/>
        <v>42341</v>
      </c>
      <c r="E208" s="67">
        <f t="shared" si="785"/>
        <v>42708</v>
      </c>
      <c r="F208" s="67">
        <f t="shared" si="785"/>
        <v>43074</v>
      </c>
      <c r="G208" s="67">
        <f t="shared" si="785"/>
        <v>43439</v>
      </c>
      <c r="H208" s="67">
        <f t="shared" si="785"/>
        <v>43439</v>
      </c>
      <c r="I208" s="67">
        <f t="shared" si="785"/>
        <v>43804</v>
      </c>
      <c r="J208" s="67">
        <f t="shared" si="785"/>
        <v>43804</v>
      </c>
      <c r="K208" s="67">
        <f t="shared" si="785"/>
        <v>44170</v>
      </c>
      <c r="L208" s="67">
        <f t="shared" si="785"/>
        <v>44535</v>
      </c>
      <c r="M208" s="67">
        <f t="shared" si="785"/>
        <v>44535</v>
      </c>
      <c r="N208" s="67">
        <f t="shared" si="785"/>
        <v>44900</v>
      </c>
      <c r="O208" s="67">
        <f t="shared" si="785"/>
        <v>44900</v>
      </c>
      <c r="P208" s="67">
        <f t="shared" si="785"/>
        <v>45265</v>
      </c>
      <c r="Q208" s="67">
        <f t="shared" si="785"/>
        <v>45631</v>
      </c>
      <c r="R208" s="67">
        <f t="shared" si="785"/>
        <v>45996</v>
      </c>
      <c r="S208" s="197" t="s">
        <v>277</v>
      </c>
      <c r="U208" s="38">
        <f t="shared" ref="U208:BH208" si="786">U3</f>
        <v>42437</v>
      </c>
      <c r="V208" s="38">
        <f t="shared" si="786"/>
        <v>42527</v>
      </c>
      <c r="W208" s="38">
        <f t="shared" si="786"/>
        <v>42622</v>
      </c>
      <c r="X208" s="38">
        <f t="shared" si="786"/>
        <v>42714</v>
      </c>
      <c r="Y208" s="38">
        <f t="shared" si="786"/>
        <v>42801</v>
      </c>
      <c r="Z208" s="38">
        <f t="shared" si="786"/>
        <v>42892</v>
      </c>
      <c r="AA208" s="38">
        <f t="shared" si="786"/>
        <v>42987</v>
      </c>
      <c r="AB208" s="38">
        <f t="shared" si="786"/>
        <v>43100</v>
      </c>
      <c r="AC208" s="38">
        <f t="shared" si="786"/>
        <v>43190</v>
      </c>
      <c r="AD208" s="38">
        <f t="shared" si="786"/>
        <v>43281</v>
      </c>
      <c r="AE208" s="38">
        <f t="shared" si="786"/>
        <v>43373</v>
      </c>
      <c r="AF208" s="38">
        <f t="shared" si="786"/>
        <v>43465</v>
      </c>
      <c r="AG208" s="38">
        <f t="shared" si="786"/>
        <v>43555</v>
      </c>
      <c r="AH208" s="38">
        <f t="shared" si="786"/>
        <v>43646</v>
      </c>
      <c r="AI208" s="38">
        <f t="shared" si="786"/>
        <v>43738</v>
      </c>
      <c r="AJ208" s="38">
        <f t="shared" si="786"/>
        <v>43830</v>
      </c>
      <c r="AK208" s="38">
        <f t="shared" si="786"/>
        <v>43921</v>
      </c>
      <c r="AL208" s="38">
        <f t="shared" si="786"/>
        <v>44012</v>
      </c>
      <c r="AM208" s="38">
        <f t="shared" si="786"/>
        <v>44104</v>
      </c>
      <c r="AN208" s="38">
        <f t="shared" si="786"/>
        <v>44196</v>
      </c>
      <c r="AO208" s="38">
        <f t="shared" si="786"/>
        <v>44286</v>
      </c>
      <c r="AP208" s="38">
        <f t="shared" si="786"/>
        <v>44377</v>
      </c>
      <c r="AQ208" s="38">
        <f t="shared" si="786"/>
        <v>44469</v>
      </c>
      <c r="AR208" s="38">
        <f t="shared" si="786"/>
        <v>44561</v>
      </c>
      <c r="AS208" s="38">
        <f t="shared" si="786"/>
        <v>44651</v>
      </c>
      <c r="AT208" s="38">
        <f t="shared" si="786"/>
        <v>44742</v>
      </c>
      <c r="AU208" s="38">
        <f t="shared" si="786"/>
        <v>44834</v>
      </c>
      <c r="AV208" s="38">
        <f t="shared" si="786"/>
        <v>44926</v>
      </c>
      <c r="AW208" s="38">
        <f t="shared" si="786"/>
        <v>45016</v>
      </c>
      <c r="AX208" s="38">
        <f t="shared" si="786"/>
        <v>45107</v>
      </c>
      <c r="AY208" s="38">
        <f t="shared" si="786"/>
        <v>45199</v>
      </c>
      <c r="AZ208" s="38">
        <f t="shared" si="786"/>
        <v>45291</v>
      </c>
      <c r="BA208" s="299">
        <f t="shared" si="786"/>
        <v>45382</v>
      </c>
      <c r="BB208" s="299">
        <f t="shared" si="786"/>
        <v>45473</v>
      </c>
      <c r="BC208" s="299">
        <f t="shared" si="786"/>
        <v>45565</v>
      </c>
      <c r="BD208" s="299">
        <f t="shared" si="786"/>
        <v>45657</v>
      </c>
      <c r="BE208" s="299">
        <f t="shared" si="786"/>
        <v>45747</v>
      </c>
      <c r="BF208" s="299">
        <f t="shared" si="786"/>
        <v>45838</v>
      </c>
      <c r="BG208" s="299">
        <f t="shared" si="786"/>
        <v>45930</v>
      </c>
      <c r="BH208" s="299">
        <f t="shared" si="786"/>
        <v>46022</v>
      </c>
      <c r="BI208" s="299">
        <f t="shared" ref="BI208" si="787">BI3</f>
        <v>46112</v>
      </c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</row>
    <row r="209" spans="2:87" s="5" customFormat="1" ht="13.5" customHeight="1">
      <c r="B209" s="11"/>
      <c r="C209" s="14" t="s">
        <v>280</v>
      </c>
      <c r="D209" s="14" t="s">
        <v>280</v>
      </c>
      <c r="E209" s="14" t="s">
        <v>280</v>
      </c>
      <c r="F209" s="14" t="s">
        <v>280</v>
      </c>
      <c r="G209" s="14" t="s">
        <v>280</v>
      </c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4" t="s">
        <v>280</v>
      </c>
      <c r="V209" s="14" t="s">
        <v>280</v>
      </c>
      <c r="W209" s="14" t="s">
        <v>280</v>
      </c>
      <c r="X209" s="14" t="s">
        <v>280</v>
      </c>
      <c r="Y209" s="14" t="s">
        <v>280</v>
      </c>
      <c r="Z209" s="14" t="s">
        <v>280</v>
      </c>
      <c r="AA209" s="14" t="s">
        <v>280</v>
      </c>
      <c r="AB209" s="14" t="s">
        <v>280</v>
      </c>
      <c r="AC209" s="14" t="s">
        <v>280</v>
      </c>
      <c r="AD209" s="14" t="s">
        <v>280</v>
      </c>
      <c r="AE209" s="14" t="s">
        <v>280</v>
      </c>
      <c r="AF209" s="14" t="s">
        <v>280</v>
      </c>
      <c r="AG209" s="14" t="str">
        <f t="shared" ref="AG209:BH209" si="788">AG4</f>
        <v>Act</v>
      </c>
      <c r="AH209" s="14" t="str">
        <f t="shared" si="788"/>
        <v>Act</v>
      </c>
      <c r="AI209" s="14" t="str">
        <f t="shared" si="788"/>
        <v>Act</v>
      </c>
      <c r="AJ209" s="14" t="str">
        <f t="shared" si="788"/>
        <v>Act</v>
      </c>
      <c r="AK209" s="14" t="str">
        <f t="shared" si="788"/>
        <v>Act</v>
      </c>
      <c r="AL209" s="14" t="str">
        <f t="shared" si="788"/>
        <v>Act</v>
      </c>
      <c r="AM209" s="14" t="str">
        <f t="shared" si="788"/>
        <v>Act</v>
      </c>
      <c r="AN209" s="14" t="str">
        <f t="shared" si="788"/>
        <v>Act</v>
      </c>
      <c r="AO209" s="14" t="str">
        <f t="shared" si="788"/>
        <v>Act</v>
      </c>
      <c r="AP209" s="14" t="str">
        <f t="shared" si="788"/>
        <v>Act</v>
      </c>
      <c r="AQ209" s="14" t="str">
        <f t="shared" si="788"/>
        <v>Act</v>
      </c>
      <c r="AR209" s="14" t="str">
        <f t="shared" si="788"/>
        <v>Act</v>
      </c>
      <c r="AS209" s="14" t="str">
        <f t="shared" si="788"/>
        <v>Act</v>
      </c>
      <c r="AT209" s="14" t="str">
        <f t="shared" si="788"/>
        <v>Act</v>
      </c>
      <c r="AU209" s="14" t="str">
        <f t="shared" si="788"/>
        <v>Act</v>
      </c>
      <c r="AV209" s="14" t="str">
        <f t="shared" si="788"/>
        <v>Act</v>
      </c>
      <c r="AW209" s="14" t="str">
        <f t="shared" si="788"/>
        <v>Act</v>
      </c>
      <c r="AX209" s="14" t="str">
        <f t="shared" si="788"/>
        <v>Act</v>
      </c>
      <c r="AY209" s="14" t="str">
        <f t="shared" si="788"/>
        <v>Act</v>
      </c>
      <c r="AZ209" s="14" t="str">
        <f t="shared" si="788"/>
        <v>Act</v>
      </c>
      <c r="BA209" s="14" t="str">
        <f t="shared" si="788"/>
        <v>Act</v>
      </c>
      <c r="BB209" s="14" t="str">
        <f t="shared" si="788"/>
        <v>Act</v>
      </c>
      <c r="BC209" s="14" t="str">
        <f t="shared" si="788"/>
        <v>Act</v>
      </c>
      <c r="BD209" s="14" t="str">
        <f t="shared" si="788"/>
        <v>Act</v>
      </c>
      <c r="BE209" s="14" t="str">
        <f t="shared" si="788"/>
        <v>Act</v>
      </c>
      <c r="BF209" s="14" t="str">
        <f t="shared" si="788"/>
        <v>Act</v>
      </c>
      <c r="BG209" s="14" t="str">
        <f t="shared" si="788"/>
        <v>Act</v>
      </c>
      <c r="BH209" s="14" t="str">
        <f t="shared" si="788"/>
        <v>Act</v>
      </c>
      <c r="BI209" s="14" t="str">
        <f t="shared" ref="BI209" si="789">BI4</f>
        <v>Act</v>
      </c>
    </row>
    <row r="210" spans="2:87" s="3" customFormat="1" ht="13.5" customHeight="1"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  <c r="BE210" s="19"/>
      <c r="BF210" s="19"/>
      <c r="BG210" s="19"/>
      <c r="BH210" s="19"/>
      <c r="BI210" s="19"/>
      <c r="BJ210" s="230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</row>
    <row r="211" spans="2:87" s="5" customFormat="1" ht="13.5" customHeight="1">
      <c r="B211" s="5" t="s">
        <v>289</v>
      </c>
      <c r="C211" s="46">
        <f t="shared" ref="C211:S211" si="790">C7</f>
        <v>187052.65</v>
      </c>
      <c r="D211" s="46">
        <f t="shared" si="790"/>
        <v>219186.33499999999</v>
      </c>
      <c r="E211" s="46">
        <f t="shared" si="790"/>
        <v>252141.01</v>
      </c>
      <c r="F211" s="46">
        <f t="shared" si="790"/>
        <v>267515.40500000003</v>
      </c>
      <c r="G211" s="46">
        <f t="shared" si="790"/>
        <v>288265.97399999999</v>
      </c>
      <c r="H211" s="46">
        <f t="shared" si="790"/>
        <v>289319.52600000001</v>
      </c>
      <c r="I211" s="46">
        <f t="shared" si="790"/>
        <v>291925.82299999997</v>
      </c>
      <c r="J211" s="46">
        <f t="shared" si="790"/>
        <v>291925.82299999997</v>
      </c>
      <c r="K211" s="46">
        <f t="shared" si="790"/>
        <v>331050.54499999998</v>
      </c>
      <c r="L211" s="46">
        <f t="shared" si="790"/>
        <v>348887.44</v>
      </c>
      <c r="M211" s="46">
        <f t="shared" si="790"/>
        <v>338792.20400000003</v>
      </c>
      <c r="N211" s="46">
        <f t="shared" si="790"/>
        <v>398706.29300000001</v>
      </c>
      <c r="O211" s="46">
        <f t="shared" si="790"/>
        <v>398706.29300000001</v>
      </c>
      <c r="P211" s="46">
        <f t="shared" si="790"/>
        <v>399879.277</v>
      </c>
      <c r="Q211" s="46">
        <f t="shared" si="790"/>
        <v>408334.95299999998</v>
      </c>
      <c r="R211" s="46">
        <f t="shared" si="790"/>
        <v>426951.69400000002</v>
      </c>
      <c r="S211" s="46">
        <f t="shared" si="790"/>
        <v>423544.88200000004</v>
      </c>
      <c r="U211" s="46">
        <f t="shared" ref="U211:BH211" si="791">U7</f>
        <v>57075.493999999999</v>
      </c>
      <c r="V211" s="46">
        <f t="shared" si="791"/>
        <v>61039.828999999998</v>
      </c>
      <c r="W211" s="46">
        <f t="shared" si="791"/>
        <v>65163.769</v>
      </c>
      <c r="X211" s="46">
        <f t="shared" si="791"/>
        <v>68861.918000000005</v>
      </c>
      <c r="Y211" s="46">
        <f t="shared" si="791"/>
        <v>66079.968999999997</v>
      </c>
      <c r="Z211" s="46">
        <f t="shared" si="791"/>
        <v>65114.553</v>
      </c>
      <c r="AA211" s="46">
        <f t="shared" si="791"/>
        <v>65389.754000000001</v>
      </c>
      <c r="AB211" s="46">
        <f t="shared" si="791"/>
        <v>70931.129000000015</v>
      </c>
      <c r="AC211" s="46">
        <f t="shared" si="791"/>
        <v>67154.129000000001</v>
      </c>
      <c r="AD211" s="46">
        <f t="shared" si="791"/>
        <v>72416.616999999998</v>
      </c>
      <c r="AE211" s="46">
        <f t="shared" si="791"/>
        <v>72390.301999999996</v>
      </c>
      <c r="AF211" s="46">
        <f t="shared" si="791"/>
        <v>76304.925999999992</v>
      </c>
      <c r="AG211" s="46">
        <f t="shared" si="791"/>
        <v>69573.153000000006</v>
      </c>
      <c r="AH211" s="46">
        <f t="shared" si="791"/>
        <v>72324.172000000006</v>
      </c>
      <c r="AI211" s="46">
        <f t="shared" si="791"/>
        <v>74965.171000000002</v>
      </c>
      <c r="AJ211" s="46">
        <f t="shared" si="791"/>
        <v>75063.326999999976</v>
      </c>
      <c r="AK211" s="46">
        <f t="shared" si="791"/>
        <v>74404.084000000003</v>
      </c>
      <c r="AL211" s="46">
        <f t="shared" si="791"/>
        <v>86411.24</v>
      </c>
      <c r="AM211" s="46">
        <f t="shared" si="791"/>
        <v>85800.331999999995</v>
      </c>
      <c r="AN211" s="46">
        <f t="shared" si="791"/>
        <v>84434.888999999996</v>
      </c>
      <c r="AO211" s="46">
        <f t="shared" si="791"/>
        <v>79136.357000000004</v>
      </c>
      <c r="AP211" s="46">
        <f t="shared" si="791"/>
        <v>83788.816999999995</v>
      </c>
      <c r="AQ211" s="46">
        <f t="shared" si="791"/>
        <v>88182.073999999993</v>
      </c>
      <c r="AR211" s="46">
        <f t="shared" si="791"/>
        <v>87684.95600000002</v>
      </c>
      <c r="AS211" s="46">
        <f t="shared" si="791"/>
        <v>93320.642000000007</v>
      </c>
      <c r="AT211" s="46">
        <f t="shared" si="791"/>
        <v>96434.395999999993</v>
      </c>
      <c r="AU211" s="46">
        <f t="shared" si="791"/>
        <v>102821.086</v>
      </c>
      <c r="AV211" s="46">
        <f t="shared" si="791"/>
        <v>106130.16899999998</v>
      </c>
      <c r="AW211" s="46">
        <f t="shared" si="791"/>
        <v>99565.442999999999</v>
      </c>
      <c r="AX211" s="46">
        <f t="shared" si="791"/>
        <v>100366.14200000001</v>
      </c>
      <c r="AY211" s="46">
        <f t="shared" si="791"/>
        <v>99181.695999999996</v>
      </c>
      <c r="AZ211" s="46">
        <f t="shared" si="791"/>
        <v>100765.99600000001</v>
      </c>
      <c r="BA211" s="46">
        <f t="shared" si="791"/>
        <v>93641.114000000001</v>
      </c>
      <c r="BB211" s="46">
        <f t="shared" si="791"/>
        <v>98086.589000000007</v>
      </c>
      <c r="BC211" s="46">
        <f t="shared" si="791"/>
        <v>106046.356</v>
      </c>
      <c r="BD211" s="46">
        <f t="shared" si="791"/>
        <v>110560.89399999994</v>
      </c>
      <c r="BE211" s="46">
        <f t="shared" si="791"/>
        <v>103725.558</v>
      </c>
      <c r="BF211" s="46">
        <f t="shared" si="791"/>
        <v>107502.52899999999</v>
      </c>
      <c r="BG211" s="46">
        <f t="shared" si="791"/>
        <v>107420.822</v>
      </c>
      <c r="BH211" s="46">
        <f t="shared" si="791"/>
        <v>108302.78500000003</v>
      </c>
      <c r="BI211" s="46">
        <f t="shared" ref="BI211" si="792">BI7</f>
        <v>100318.746</v>
      </c>
      <c r="BJ211" s="230"/>
      <c r="BK211" s="46"/>
      <c r="BL211" s="46"/>
      <c r="BM211" s="46"/>
      <c r="BN211" s="46"/>
      <c r="BO211" s="46"/>
      <c r="BP211" s="46"/>
      <c r="BQ211" s="46" t="e">
        <f>#REF!-Y211-Z211-AA211</f>
        <v>#REF!</v>
      </c>
      <c r="BR211" s="46"/>
      <c r="BS211" s="46"/>
      <c r="BT211" s="46"/>
      <c r="BU211" s="46"/>
      <c r="BV211" s="46"/>
      <c r="BW211" s="46"/>
      <c r="BX211" s="46"/>
      <c r="BY211" s="46"/>
      <c r="BZ211" s="46"/>
      <c r="CA211" s="46"/>
      <c r="CB211" s="46"/>
      <c r="CC211" s="46"/>
      <c r="CD211" s="46"/>
      <c r="CE211" s="46"/>
      <c r="CF211" s="46"/>
      <c r="CG211" s="46"/>
      <c r="CH211" s="46"/>
      <c r="CI211" s="46"/>
    </row>
    <row r="212" spans="2:87" ht="13.5" customHeight="1">
      <c r="B212" s="130" t="s">
        <v>290</v>
      </c>
      <c r="C212" s="131">
        <f>C211/(174623*0.07671)-1</f>
        <v>12.96401920608702</v>
      </c>
      <c r="D212" s="132">
        <f>+D211/C211-1</f>
        <v>0.17178952022331684</v>
      </c>
      <c r="E212" s="132">
        <f>+E211/D211-1</f>
        <v>0.15035004349153436</v>
      </c>
      <c r="F212" s="132">
        <f>+F211/E211-1</f>
        <v>6.0975384369246433E-2</v>
      </c>
      <c r="G212" s="132">
        <f>+G211/F211-1</f>
        <v>7.7567753528062999E-2</v>
      </c>
      <c r="H212" s="132">
        <f>+H211/F211-1</f>
        <v>8.1506038876527409E-2</v>
      </c>
      <c r="I212" s="132">
        <f>+I211/H211-1</f>
        <v>9.0083688302460274E-3</v>
      </c>
      <c r="J212" s="132">
        <f>+J211/H211-1</f>
        <v>9.0083688302460274E-3</v>
      </c>
      <c r="K212" s="132">
        <f>+K211/J211-1</f>
        <v>0.13402281989969755</v>
      </c>
      <c r="L212" s="132">
        <f>+L211/K211-1</f>
        <v>5.3879672664487011E-2</v>
      </c>
      <c r="M212" s="132">
        <f>+M211/L211-1</f>
        <v>-2.8935509974219675E-2</v>
      </c>
      <c r="N212" s="132">
        <f>+N211/L211-1</f>
        <v>0.14279348376656964</v>
      </c>
      <c r="O212" s="132">
        <f>+O211/M211-1</f>
        <v>0.17684612660095334</v>
      </c>
      <c r="P212" s="132">
        <f>+P211/O211-1</f>
        <v>2.9419751345636236E-3</v>
      </c>
      <c r="Q212" s="132">
        <f>+Q211/P211-1</f>
        <v>2.1145571892188686E-2</v>
      </c>
      <c r="R212" s="132">
        <f>+R211/Q211-1</f>
        <v>4.5591837934089385E-2</v>
      </c>
      <c r="S212" s="132"/>
      <c r="U212" s="132">
        <f>U8</f>
        <v>0.14041508152173909</v>
      </c>
      <c r="V212" s="132">
        <f>V8</f>
        <v>0.14592203428013595</v>
      </c>
      <c r="W212" s="132">
        <f>W8</f>
        <v>0.15637011996024985</v>
      </c>
      <c r="X212" s="132">
        <f>X8</f>
        <v>0.1569737058754348</v>
      </c>
      <c r="Y212" s="132">
        <f t="shared" ref="Y212:BI212" si="793">Y211/U211-1</f>
        <v>0.15776429372648093</v>
      </c>
      <c r="Z212" s="132">
        <f t="shared" si="793"/>
        <v>6.6755167351468137E-2</v>
      </c>
      <c r="AA212" s="132">
        <f t="shared" si="793"/>
        <v>3.4679547157563384E-3</v>
      </c>
      <c r="AB212" s="132">
        <f t="shared" si="793"/>
        <v>3.0048698324086853E-2</v>
      </c>
      <c r="AC212" s="132">
        <f t="shared" si="793"/>
        <v>1.6255455567783406E-2</v>
      </c>
      <c r="AD212" s="132">
        <f t="shared" si="793"/>
        <v>0.11214181259909739</v>
      </c>
      <c r="AE212" s="132">
        <f t="shared" si="793"/>
        <v>0.10705879089253023</v>
      </c>
      <c r="AF212" s="132">
        <f>AF211/AB211-1</f>
        <v>7.5760770704777158E-2</v>
      </c>
      <c r="AG212" s="132">
        <f t="shared" si="793"/>
        <v>3.6021969698989187E-2</v>
      </c>
      <c r="AH212" s="132">
        <f t="shared" si="793"/>
        <v>-1.2765716465323873E-3</v>
      </c>
      <c r="AI212" s="132">
        <f t="shared" si="793"/>
        <v>3.5569253461603223E-2</v>
      </c>
      <c r="AJ212" s="132">
        <f t="shared" si="793"/>
        <v>-1.627154451339119E-2</v>
      </c>
      <c r="AK212" s="132">
        <f t="shared" si="793"/>
        <v>6.9436712175456439E-2</v>
      </c>
      <c r="AL212" s="132">
        <f t="shared" si="793"/>
        <v>0.19477676149545142</v>
      </c>
      <c r="AM212" s="132">
        <f t="shared" si="793"/>
        <v>0.14453593389388786</v>
      </c>
      <c r="AN212" s="132">
        <f t="shared" si="793"/>
        <v>0.12484874271560087</v>
      </c>
      <c r="AO212" s="132">
        <f t="shared" si="793"/>
        <v>6.3602328603360014E-2</v>
      </c>
      <c r="AP212" s="132">
        <f t="shared" si="793"/>
        <v>-3.034816998344203E-2</v>
      </c>
      <c r="AQ212" s="132">
        <f t="shared" si="793"/>
        <v>2.7759123356305926E-2</v>
      </c>
      <c r="AR212" s="132">
        <f t="shared" si="793"/>
        <v>3.8491991148351223E-2</v>
      </c>
      <c r="AS212" s="132">
        <f t="shared" si="793"/>
        <v>0.1792385388677924</v>
      </c>
      <c r="AT212" s="132">
        <f t="shared" si="793"/>
        <v>0.15092203772252799</v>
      </c>
      <c r="AU212" s="132">
        <f t="shared" si="793"/>
        <v>0.16600893283594131</v>
      </c>
      <c r="AV212" s="132">
        <f t="shared" si="793"/>
        <v>0.21035778360885482</v>
      </c>
      <c r="AW212" s="132">
        <f t="shared" si="793"/>
        <v>6.6917681513592564E-2</v>
      </c>
      <c r="AX212" s="132">
        <f t="shared" si="793"/>
        <v>4.0771199520967638E-2</v>
      </c>
      <c r="AY212" s="132">
        <f t="shared" si="793"/>
        <v>-3.5395366277302331E-2</v>
      </c>
      <c r="AZ212" s="132">
        <f t="shared" si="793"/>
        <v>-5.0543337964532697E-2</v>
      </c>
      <c r="BA212" s="132">
        <f t="shared" si="793"/>
        <v>-5.9501859495568188E-2</v>
      </c>
      <c r="BB212" s="132">
        <f t="shared" si="793"/>
        <v>-2.2712370472504517E-2</v>
      </c>
      <c r="BC212" s="132">
        <f t="shared" si="793"/>
        <v>6.9212972522672001E-2</v>
      </c>
      <c r="BD212" s="132">
        <f t="shared" si="793"/>
        <v>9.7204398197978659E-2</v>
      </c>
      <c r="BE212" s="132">
        <f t="shared" si="793"/>
        <v>0.10769248217188032</v>
      </c>
      <c r="BF212" s="132">
        <f t="shared" si="793"/>
        <v>9.599620188647795E-2</v>
      </c>
      <c r="BG212" s="132">
        <f t="shared" si="793"/>
        <v>1.2960992266438653E-2</v>
      </c>
      <c r="BH212" s="132">
        <f t="shared" si="793"/>
        <v>-2.0424120304236237E-2</v>
      </c>
      <c r="BI212" s="132">
        <f t="shared" si="793"/>
        <v>-3.2844479853268216E-2</v>
      </c>
      <c r="BJ212" s="230"/>
      <c r="BK212" s="225"/>
      <c r="BL212" s="225"/>
      <c r="BM212" s="225"/>
      <c r="BN212" s="225"/>
      <c r="BO212" s="225"/>
      <c r="BP212" s="135"/>
      <c r="BQ212" s="132" t="e">
        <f>BQ211/X211-1</f>
        <v>#REF!</v>
      </c>
      <c r="BR212" s="225"/>
      <c r="BS212" s="225"/>
      <c r="BT212" s="46"/>
      <c r="BU212" s="46"/>
      <c r="BV212" s="225"/>
      <c r="BW212" s="225"/>
      <c r="BX212" s="225"/>
      <c r="BY212" s="46"/>
      <c r="BZ212" s="46"/>
      <c r="CA212" s="225"/>
      <c r="CB212" s="225"/>
      <c r="CC212" s="46"/>
      <c r="CD212" s="46"/>
      <c r="CE212" s="225"/>
      <c r="CF212" s="225"/>
      <c r="CG212" s="46"/>
      <c r="CH212" s="46"/>
      <c r="CI212" s="225"/>
    </row>
    <row r="213" spans="2:87" ht="13.5" customHeight="1">
      <c r="B213" s="130"/>
      <c r="C213" s="131"/>
      <c r="D213" s="132"/>
      <c r="E213" s="132"/>
      <c r="F213" s="132"/>
      <c r="G213" s="132"/>
      <c r="H213" s="132"/>
      <c r="I213" s="132"/>
      <c r="J213" s="132"/>
      <c r="K213" s="132"/>
      <c r="L213" s="132"/>
      <c r="M213" s="132"/>
      <c r="N213" s="132"/>
      <c r="O213" s="132"/>
      <c r="P213" s="132"/>
      <c r="Q213" s="132"/>
      <c r="R213" s="132"/>
      <c r="S213" s="132"/>
      <c r="U213" s="132"/>
      <c r="V213" s="132"/>
      <c r="W213" s="132"/>
      <c r="X213" s="132"/>
      <c r="Y213" s="132"/>
      <c r="Z213" s="132"/>
      <c r="AA213" s="132"/>
      <c r="AB213" s="132"/>
      <c r="AC213" s="132"/>
      <c r="AD213" s="132"/>
      <c r="AE213" s="132"/>
      <c r="AF213" s="132"/>
      <c r="AG213" s="132"/>
      <c r="AH213" s="132"/>
      <c r="AI213" s="132"/>
      <c r="AJ213" s="132"/>
      <c r="AK213" s="132"/>
      <c r="AL213" s="132"/>
      <c r="AN213" s="132"/>
      <c r="AO213" s="132"/>
      <c r="AP213" s="132"/>
      <c r="AQ213" s="132"/>
      <c r="AR213" s="132"/>
      <c r="AS213" s="132"/>
      <c r="AT213" s="132"/>
      <c r="AU213" s="132"/>
      <c r="AV213" s="132"/>
      <c r="AW213" s="132"/>
      <c r="AX213" s="132"/>
      <c r="AY213" s="132"/>
      <c r="AZ213" s="132"/>
      <c r="BA213" s="132"/>
      <c r="BB213" s="132"/>
      <c r="BC213" s="132"/>
      <c r="BD213" s="132"/>
      <c r="BE213" s="132"/>
      <c r="BF213" s="132"/>
      <c r="BG213" s="132"/>
      <c r="BH213" s="132"/>
      <c r="BI213" s="132"/>
      <c r="BJ213" s="230"/>
      <c r="BK213" s="225"/>
      <c r="BL213" s="225"/>
      <c r="BM213" s="225"/>
      <c r="BN213" s="225"/>
      <c r="BO213" s="225"/>
      <c r="BP213" s="135"/>
      <c r="BQ213" s="132"/>
      <c r="BR213" s="225"/>
      <c r="BS213" s="225"/>
      <c r="BT213" s="46"/>
      <c r="BU213" s="46"/>
      <c r="BV213" s="225"/>
      <c r="BW213" s="225"/>
      <c r="BX213" s="225"/>
      <c r="BY213" s="46"/>
      <c r="BZ213" s="46"/>
      <c r="CA213" s="225"/>
      <c r="CB213" s="225"/>
      <c r="CC213" s="46"/>
      <c r="CD213" s="46"/>
      <c r="CE213" s="225"/>
      <c r="CF213" s="225"/>
      <c r="CG213" s="46"/>
      <c r="CH213" s="46"/>
      <c r="CI213" s="225"/>
    </row>
    <row r="214" spans="2:87" s="5" customFormat="1" ht="13.5" customHeight="1" thickBot="1">
      <c r="B214" s="21" t="s">
        <v>320</v>
      </c>
      <c r="C214" s="53">
        <f t="shared" ref="C214:R214" si="794">C50</f>
        <v>18420</v>
      </c>
      <c r="D214" s="53">
        <f t="shared" si="794"/>
        <v>23369</v>
      </c>
      <c r="E214" s="53">
        <f t="shared" si="794"/>
        <v>29298</v>
      </c>
      <c r="F214" s="53">
        <f t="shared" si="794"/>
        <v>27288</v>
      </c>
      <c r="G214" s="53">
        <f t="shared" si="794"/>
        <v>31705</v>
      </c>
      <c r="H214" s="53">
        <f t="shared" si="794"/>
        <v>31700</v>
      </c>
      <c r="I214" s="53">
        <f t="shared" si="794"/>
        <v>33426</v>
      </c>
      <c r="J214" s="53">
        <f t="shared" si="794"/>
        <v>37873</v>
      </c>
      <c r="K214" s="53">
        <f t="shared" si="794"/>
        <v>45193</v>
      </c>
      <c r="L214" s="53">
        <f t="shared" si="794"/>
        <v>49178</v>
      </c>
      <c r="M214" s="53">
        <f t="shared" si="794"/>
        <v>47372</v>
      </c>
      <c r="N214" s="53">
        <f t="shared" si="794"/>
        <v>53445</v>
      </c>
      <c r="O214" s="53">
        <f t="shared" si="794"/>
        <v>53445</v>
      </c>
      <c r="P214" s="53">
        <f t="shared" si="794"/>
        <v>54942</v>
      </c>
      <c r="Q214" s="53">
        <f t="shared" si="794"/>
        <v>55474</v>
      </c>
      <c r="R214" s="53">
        <f t="shared" si="794"/>
        <v>59456</v>
      </c>
      <c r="S214" s="53">
        <f>S54</f>
        <v>60675</v>
      </c>
      <c r="U214" s="53">
        <f t="shared" ref="U214:AF214" si="795">U50</f>
        <v>5775</v>
      </c>
      <c r="V214" s="53">
        <f t="shared" si="795"/>
        <v>6884</v>
      </c>
      <c r="W214" s="53">
        <f t="shared" si="795"/>
        <v>8020</v>
      </c>
      <c r="X214" s="53">
        <f t="shared" si="795"/>
        <v>8619</v>
      </c>
      <c r="Y214" s="53">
        <f t="shared" si="795"/>
        <v>5786</v>
      </c>
      <c r="Z214" s="53">
        <f t="shared" si="795"/>
        <v>6892</v>
      </c>
      <c r="AA214" s="53">
        <f t="shared" si="795"/>
        <v>7102</v>
      </c>
      <c r="AB214" s="53">
        <f t="shared" si="795"/>
        <v>7508</v>
      </c>
      <c r="AC214" s="53">
        <f t="shared" si="795"/>
        <v>6494</v>
      </c>
      <c r="AD214" s="53">
        <f t="shared" si="795"/>
        <v>7476</v>
      </c>
      <c r="AE214" s="53">
        <f t="shared" si="795"/>
        <v>8301</v>
      </c>
      <c r="AF214" s="53">
        <f t="shared" si="795"/>
        <v>9434</v>
      </c>
      <c r="AG214" s="53">
        <f t="shared" ref="AG214:BH214" si="796">AG54</f>
        <v>7985</v>
      </c>
      <c r="AH214" s="53">
        <f t="shared" si="796"/>
        <v>8774</v>
      </c>
      <c r="AI214" s="53">
        <f t="shared" si="796"/>
        <v>10253</v>
      </c>
      <c r="AJ214" s="53">
        <f t="shared" si="796"/>
        <v>10861</v>
      </c>
      <c r="AK214" s="53">
        <f t="shared" si="796"/>
        <v>8899</v>
      </c>
      <c r="AL214" s="53">
        <f t="shared" si="796"/>
        <v>11375</v>
      </c>
      <c r="AM214" s="53">
        <f t="shared" si="796"/>
        <v>12110</v>
      </c>
      <c r="AN214" s="53">
        <f t="shared" si="796"/>
        <v>12809</v>
      </c>
      <c r="AO214" s="53">
        <f t="shared" si="796"/>
        <v>10653</v>
      </c>
      <c r="AP214" s="53">
        <f t="shared" si="796"/>
        <v>12056</v>
      </c>
      <c r="AQ214" s="53">
        <f t="shared" si="796"/>
        <v>12963</v>
      </c>
      <c r="AR214" s="53">
        <f t="shared" si="796"/>
        <v>11700</v>
      </c>
      <c r="AS214" s="53">
        <f t="shared" si="796"/>
        <v>11897</v>
      </c>
      <c r="AT214" s="53">
        <f t="shared" si="796"/>
        <v>12992</v>
      </c>
      <c r="AU214" s="53">
        <f t="shared" si="796"/>
        <v>14505</v>
      </c>
      <c r="AV214" s="53">
        <f t="shared" si="796"/>
        <v>14051</v>
      </c>
      <c r="AW214" s="53">
        <f t="shared" si="796"/>
        <v>12857</v>
      </c>
      <c r="AX214" s="53">
        <f t="shared" si="796"/>
        <v>14002</v>
      </c>
      <c r="AY214" s="53">
        <f t="shared" si="796"/>
        <v>14467</v>
      </c>
      <c r="AZ214" s="53">
        <f t="shared" si="796"/>
        <v>13616</v>
      </c>
      <c r="BA214" s="53">
        <f t="shared" si="796"/>
        <v>11872</v>
      </c>
      <c r="BB214" s="53">
        <f t="shared" si="796"/>
        <v>13953</v>
      </c>
      <c r="BC214" s="53">
        <f t="shared" si="796"/>
        <v>15640</v>
      </c>
      <c r="BD214" s="53">
        <f t="shared" si="796"/>
        <v>14009</v>
      </c>
      <c r="BE214" s="53">
        <f t="shared" si="796"/>
        <v>12817</v>
      </c>
      <c r="BF214" s="53">
        <f t="shared" si="796"/>
        <v>14897</v>
      </c>
      <c r="BG214" s="53">
        <f t="shared" si="796"/>
        <v>15776</v>
      </c>
      <c r="BH214" s="53">
        <f t="shared" si="796"/>
        <v>15966</v>
      </c>
      <c r="BI214" s="53">
        <f t="shared" ref="BI214" si="797">BI54</f>
        <v>14036</v>
      </c>
      <c r="BJ214" s="230"/>
      <c r="BK214" s="8"/>
      <c r="BL214" s="8"/>
      <c r="BM214" s="8"/>
      <c r="BN214" s="8"/>
      <c r="BO214" s="8"/>
      <c r="BP214" s="8"/>
      <c r="BQ214" s="53" t="e">
        <f>#REF!-Y214-Z214-AA214</f>
        <v>#REF!</v>
      </c>
      <c r="BR214" s="8"/>
      <c r="BS214" s="8"/>
      <c r="BT214" s="46"/>
      <c r="BU214" s="46"/>
      <c r="BV214" s="8"/>
      <c r="BW214" s="8"/>
      <c r="BX214" s="8"/>
      <c r="BY214" s="46"/>
      <c r="BZ214" s="46"/>
      <c r="CA214" s="8"/>
      <c r="CB214" s="8"/>
      <c r="CC214" s="46"/>
      <c r="CD214" s="46"/>
      <c r="CE214" s="8"/>
      <c r="CF214" s="46"/>
      <c r="CG214" s="46"/>
      <c r="CH214" s="46"/>
      <c r="CI214" s="8"/>
    </row>
    <row r="215" spans="2:87" ht="13.5" customHeight="1" thickTop="1">
      <c r="B215" s="130" t="s">
        <v>290</v>
      </c>
      <c r="C215" s="131">
        <f>C214/(174623*0.07671)-1</f>
        <v>0.37510606653326173</v>
      </c>
      <c r="D215" s="132">
        <f>+D214/C214-1</f>
        <v>0.26867535287730737</v>
      </c>
      <c r="E215" s="132">
        <f>+E214/D214-1</f>
        <v>0.25371218280628183</v>
      </c>
      <c r="F215" s="132">
        <f>+F214/E214-1</f>
        <v>-6.8605365553962683E-2</v>
      </c>
      <c r="G215" s="132">
        <f>+G214/F214-1</f>
        <v>0.1618660216945178</v>
      </c>
      <c r="H215" s="132">
        <f>+H214/F214-1</f>
        <v>0.16168279097038996</v>
      </c>
      <c r="I215" s="132">
        <f>+I214/H214-1</f>
        <v>5.4447949526813977E-2</v>
      </c>
      <c r="J215" s="132">
        <f>+J214/H214-1</f>
        <v>0.19473186119873809</v>
      </c>
      <c r="K215" s="132">
        <f>+K214/J214-1</f>
        <v>0.19327753280701288</v>
      </c>
      <c r="L215" s="132">
        <f>+L214/K214-1</f>
        <v>8.8177372601951687E-2</v>
      </c>
      <c r="M215" s="132">
        <f>+M214/L214-1</f>
        <v>-3.6723738256944194E-2</v>
      </c>
      <c r="N215" s="132">
        <f>+N214/L214-1</f>
        <v>8.6766440278173151E-2</v>
      </c>
      <c r="O215" s="132">
        <f>+O214/M214-1</f>
        <v>0.12819809169973828</v>
      </c>
      <c r="P215" s="132">
        <f>+P214/O214-1</f>
        <v>2.8010103845074408E-2</v>
      </c>
      <c r="Q215" s="132">
        <f>+Q214/P214-1</f>
        <v>9.6829383713734618E-3</v>
      </c>
      <c r="R215" s="132">
        <f>+R214/Q214-1</f>
        <v>7.1781375058586061E-2</v>
      </c>
      <c r="S215" s="132"/>
      <c r="U215" s="132">
        <f>U51</f>
        <v>0.35563380281690149</v>
      </c>
      <c r="V215" s="132">
        <f>V51</f>
        <v>0.21797593772116075</v>
      </c>
      <c r="W215" s="132">
        <f>W51</f>
        <v>0.22855392156862742</v>
      </c>
      <c r="X215" s="132">
        <f>X51</f>
        <v>0.25112498185513132</v>
      </c>
      <c r="Y215" s="132">
        <f t="shared" ref="Y215:BI215" si="798">Y214/U214-1</f>
        <v>1.9047619047618536E-3</v>
      </c>
      <c r="Z215" s="132">
        <f t="shared" si="798"/>
        <v>1.1621150493899002E-3</v>
      </c>
      <c r="AA215" s="132">
        <f t="shared" si="798"/>
        <v>-0.11446384039900248</v>
      </c>
      <c r="AB215" s="132">
        <f t="shared" si="798"/>
        <v>-0.12890126464787099</v>
      </c>
      <c r="AC215" s="132">
        <f t="shared" si="798"/>
        <v>0.1223643276875217</v>
      </c>
      <c r="AD215" s="132">
        <f t="shared" si="798"/>
        <v>8.4735925710969218E-2</v>
      </c>
      <c r="AE215" s="132">
        <f t="shared" si="798"/>
        <v>0.16882568290622357</v>
      </c>
      <c r="AF215" s="132">
        <f>AF214/AB214-1</f>
        <v>0.25652637187000527</v>
      </c>
      <c r="AG215" s="132">
        <f t="shared" si="798"/>
        <v>0.22959655066214957</v>
      </c>
      <c r="AH215" s="132">
        <f t="shared" si="798"/>
        <v>0.17362225789192087</v>
      </c>
      <c r="AI215" s="132">
        <f t="shared" si="798"/>
        <v>0.23515239127815923</v>
      </c>
      <c r="AJ215" s="132">
        <f t="shared" si="798"/>
        <v>0.15126139495442015</v>
      </c>
      <c r="AK215" s="132">
        <f t="shared" si="798"/>
        <v>0.11446462116468381</v>
      </c>
      <c r="AL215" s="132">
        <f t="shared" si="798"/>
        <v>0.29644403920674711</v>
      </c>
      <c r="AM215" s="132">
        <f t="shared" si="798"/>
        <v>0.18111772164244622</v>
      </c>
      <c r="AN215" s="132">
        <f t="shared" si="798"/>
        <v>0.17935733357886008</v>
      </c>
      <c r="AO215" s="132">
        <f t="shared" si="798"/>
        <v>0.19710079784245416</v>
      </c>
      <c r="AP215" s="132">
        <f t="shared" si="798"/>
        <v>5.986813186813178E-2</v>
      </c>
      <c r="AQ215" s="132">
        <f t="shared" si="798"/>
        <v>7.0437654830718399E-2</v>
      </c>
      <c r="AR215" s="132">
        <f t="shared" si="798"/>
        <v>-8.6579748614255547E-2</v>
      </c>
      <c r="AS215" s="132">
        <f t="shared" si="798"/>
        <v>0.11677461747864459</v>
      </c>
      <c r="AT215" s="132">
        <f t="shared" si="798"/>
        <v>7.7637690776376944E-2</v>
      </c>
      <c r="AU215" s="132">
        <f t="shared" si="798"/>
        <v>0.11895394584586905</v>
      </c>
      <c r="AV215" s="132">
        <f t="shared" si="798"/>
        <v>0.20094017094017103</v>
      </c>
      <c r="AW215" s="132">
        <f t="shared" si="798"/>
        <v>8.0692611582751983E-2</v>
      </c>
      <c r="AX215" s="132">
        <f t="shared" si="798"/>
        <v>7.7740147783251334E-2</v>
      </c>
      <c r="AY215" s="132">
        <f t="shared" si="798"/>
        <v>-2.6197862805928951E-3</v>
      </c>
      <c r="AZ215" s="132">
        <f t="shared" si="798"/>
        <v>-3.0958650629848372E-2</v>
      </c>
      <c r="BA215" s="132">
        <f t="shared" si="798"/>
        <v>-7.6611962355137231E-2</v>
      </c>
      <c r="BB215" s="132">
        <f t="shared" si="798"/>
        <v>-3.4995000714184155E-3</v>
      </c>
      <c r="BC215" s="132">
        <f t="shared" si="798"/>
        <v>8.1081081081081141E-2</v>
      </c>
      <c r="BD215" s="132">
        <f t="shared" si="798"/>
        <v>2.8863102232667526E-2</v>
      </c>
      <c r="BE215" s="132">
        <f t="shared" si="798"/>
        <v>7.9599056603773644E-2</v>
      </c>
      <c r="BF215" s="132">
        <f t="shared" si="798"/>
        <v>6.7655701282878233E-2</v>
      </c>
      <c r="BG215" s="132">
        <f t="shared" si="798"/>
        <v>8.6956521739129933E-3</v>
      </c>
      <c r="BH215" s="132">
        <f t="shared" si="798"/>
        <v>0.13969590977228918</v>
      </c>
      <c r="BI215" s="132">
        <f t="shared" si="798"/>
        <v>9.5108059608332685E-2</v>
      </c>
      <c r="BJ215" s="230"/>
      <c r="BK215" s="225"/>
      <c r="BL215" s="225"/>
      <c r="BM215" s="225"/>
      <c r="BN215" s="225"/>
      <c r="BO215" s="225"/>
      <c r="BP215" s="135"/>
      <c r="BQ215" s="132" t="e">
        <f>BQ214/X214-1</f>
        <v>#REF!</v>
      </c>
      <c r="BR215" s="225"/>
      <c r="BS215" s="225"/>
      <c r="BT215" s="46"/>
      <c r="BU215" s="46"/>
      <c r="BV215" s="225"/>
      <c r="BW215" s="225"/>
      <c r="BX215" s="225"/>
      <c r="BY215" s="46"/>
      <c r="BZ215" s="46"/>
      <c r="CA215" s="225"/>
      <c r="CB215" s="225"/>
      <c r="CC215" s="46"/>
      <c r="CD215" s="46"/>
      <c r="CE215" s="225"/>
      <c r="CF215" s="225"/>
      <c r="CG215" s="46"/>
      <c r="CH215" s="46"/>
      <c r="CI215" s="225"/>
    </row>
    <row r="216" spans="2:87" ht="13.5" customHeight="1">
      <c r="B216" s="130" t="s">
        <v>318</v>
      </c>
      <c r="C216" s="131">
        <f>C214/C211</f>
        <v>9.8474948096164375E-2</v>
      </c>
      <c r="D216" s="132">
        <f t="shared" ref="D216:AA216" si="799">D214/D211</f>
        <v>0.10661704800164663</v>
      </c>
      <c r="E216" s="132">
        <f t="shared" si="799"/>
        <v>0.11619688522704022</v>
      </c>
      <c r="F216" s="132">
        <f t="shared" ref="F216:K216" si="800">F214/F211</f>
        <v>0.10200534058963819</v>
      </c>
      <c r="G216" s="132">
        <f t="shared" si="800"/>
        <v>0.10998523190253458</v>
      </c>
      <c r="H216" s="132">
        <f t="shared" si="800"/>
        <v>0.1095674406711146</v>
      </c>
      <c r="I216" s="132">
        <f t="shared" si="800"/>
        <v>0.11450168969807102</v>
      </c>
      <c r="J216" s="132">
        <f>J214/J211</f>
        <v>0.12973501148611991</v>
      </c>
      <c r="K216" s="132">
        <f t="shared" si="800"/>
        <v>0.13651389699418862</v>
      </c>
      <c r="L216" s="132">
        <f t="shared" ref="L216:N216" si="801">L214/L211</f>
        <v>0.14095663632947061</v>
      </c>
      <c r="M216" s="132">
        <f t="shared" ref="M216" si="802">M214/M211</f>
        <v>0.1398261218549173</v>
      </c>
      <c r="N216" s="132">
        <f t="shared" si="801"/>
        <v>0.13404604075311147</v>
      </c>
      <c r="O216" s="132">
        <f t="shared" ref="O216" si="803">O214/O211</f>
        <v>0.13404604075311147</v>
      </c>
      <c r="P216" s="132">
        <f t="shared" ref="P216:Q216" si="804">P214/P211</f>
        <v>0.13739646728429991</v>
      </c>
      <c r="Q216" s="132">
        <f t="shared" si="804"/>
        <v>0.13585415500788639</v>
      </c>
      <c r="R216" s="132">
        <f t="shared" ref="R216" si="805">R214/R211</f>
        <v>0.13925697177348592</v>
      </c>
      <c r="S216" s="132">
        <f>S214/S211</f>
        <v>0.14325518399251957</v>
      </c>
      <c r="U216" s="132">
        <f t="shared" si="799"/>
        <v>0.10118177864566534</v>
      </c>
      <c r="V216" s="132">
        <f t="shared" si="799"/>
        <v>0.11277882184106382</v>
      </c>
      <c r="W216" s="132">
        <f t="shared" si="799"/>
        <v>0.12307452627548293</v>
      </c>
      <c r="X216" s="132">
        <f t="shared" si="799"/>
        <v>0.12516351926183641</v>
      </c>
      <c r="Y216" s="132">
        <f t="shared" si="799"/>
        <v>8.756057376479702E-2</v>
      </c>
      <c r="Z216" s="132">
        <f t="shared" si="799"/>
        <v>0.10584423423746762</v>
      </c>
      <c r="AA216" s="132">
        <f t="shared" si="799"/>
        <v>0.10861028778300649</v>
      </c>
      <c r="AB216" s="132">
        <f t="shared" ref="AB216:AG216" si="806">AB214/AB211</f>
        <v>0.10584915404349476</v>
      </c>
      <c r="AC216" s="132">
        <f t="shared" si="806"/>
        <v>9.6702914574322008E-2</v>
      </c>
      <c r="AD216" s="132">
        <f t="shared" si="806"/>
        <v>0.10323597414112841</v>
      </c>
      <c r="AE216" s="132">
        <f t="shared" si="806"/>
        <v>0.11467005621830395</v>
      </c>
      <c r="AF216" s="132">
        <f t="shared" si="806"/>
        <v>0.12363553042433985</v>
      </c>
      <c r="AG216" s="132">
        <f t="shared" si="806"/>
        <v>0.11477128253767656</v>
      </c>
      <c r="AH216" s="132">
        <f t="shared" ref="AH216:AM216" si="807">AH214/AH211</f>
        <v>0.12131490423423029</v>
      </c>
      <c r="AI216" s="132">
        <f t="shared" si="807"/>
        <v>0.13677018091508122</v>
      </c>
      <c r="AJ216" s="132">
        <f t="shared" si="807"/>
        <v>0.14469116190386824</v>
      </c>
      <c r="AK216" s="132">
        <f t="shared" si="807"/>
        <v>0.11960364971363668</v>
      </c>
      <c r="AL216" s="132">
        <f t="shared" si="807"/>
        <v>0.13163796746812104</v>
      </c>
      <c r="AM216" s="132">
        <f t="shared" si="807"/>
        <v>0.14114164499969534</v>
      </c>
      <c r="AN216" s="132">
        <f t="shared" ref="AN216:AS216" si="808">AN214/AN211</f>
        <v>0.15170269247348689</v>
      </c>
      <c r="AO216" s="132">
        <f t="shared" si="808"/>
        <v>0.13461574937041895</v>
      </c>
      <c r="AP216" s="132">
        <f t="shared" si="808"/>
        <v>0.14388554978643511</v>
      </c>
      <c r="AQ216" s="132">
        <f t="shared" si="808"/>
        <v>0.14700266632422368</v>
      </c>
      <c r="AR216" s="132">
        <f t="shared" si="808"/>
        <v>0.13343223893503461</v>
      </c>
      <c r="AS216" s="132">
        <f t="shared" si="808"/>
        <v>0.12748519239719761</v>
      </c>
      <c r="AT216" s="132">
        <f t="shared" ref="AT216:AW216" si="809">AT214/AT211</f>
        <v>0.1347237141403364</v>
      </c>
      <c r="AU216" s="132">
        <f t="shared" si="809"/>
        <v>0.14107028591392237</v>
      </c>
      <c r="AV216" s="132">
        <f t="shared" si="809"/>
        <v>0.13239402266475239</v>
      </c>
      <c r="AW216" s="132">
        <f t="shared" si="809"/>
        <v>0.12913114844474705</v>
      </c>
      <c r="AX216" s="132">
        <f t="shared" ref="AX216:BA216" si="810">AX214/AX211</f>
        <v>0.13950919823141153</v>
      </c>
      <c r="AY216" s="132">
        <f t="shared" si="810"/>
        <v>0.14586360773665336</v>
      </c>
      <c r="AZ216" s="132">
        <f t="shared" si="810"/>
        <v>0.13512494830101215</v>
      </c>
      <c r="BA216" s="132">
        <f t="shared" si="810"/>
        <v>0.12678191760939539</v>
      </c>
      <c r="BB216" s="132">
        <f t="shared" ref="BB216:BE216" si="811">BB214/BB211</f>
        <v>0.14225186279033517</v>
      </c>
      <c r="BC216" s="132">
        <f t="shared" si="811"/>
        <v>0.14748267257764142</v>
      </c>
      <c r="BD216" s="132">
        <f t="shared" si="811"/>
        <v>0.12670845443778708</v>
      </c>
      <c r="BE216" s="132">
        <f t="shared" si="811"/>
        <v>0.12356645986903246</v>
      </c>
      <c r="BF216" s="132">
        <f t="shared" ref="BF216:BG216" si="812">BF214/BF211</f>
        <v>0.13857348416426557</v>
      </c>
      <c r="BG216" s="132">
        <f t="shared" si="812"/>
        <v>0.14686165778921334</v>
      </c>
      <c r="BH216" s="132">
        <f t="shared" ref="BH216:BI216" si="813">BH214/BH211</f>
        <v>0.14742003171940588</v>
      </c>
      <c r="BI216" s="132">
        <f t="shared" si="813"/>
        <v>0.13991402962712474</v>
      </c>
      <c r="BJ216" s="230"/>
      <c r="BK216" s="225"/>
      <c r="BL216" s="225"/>
      <c r="BM216" s="225"/>
      <c r="BN216" s="225"/>
      <c r="BO216" s="225"/>
      <c r="BP216" s="135"/>
      <c r="BQ216" s="132" t="e">
        <f>BQ214/BQ211</f>
        <v>#REF!</v>
      </c>
      <c r="BR216" s="225"/>
      <c r="BS216" s="225"/>
      <c r="BT216" s="46"/>
      <c r="BU216" s="46"/>
      <c r="BV216" s="225"/>
      <c r="BW216" s="225"/>
      <c r="BX216" s="225"/>
      <c r="BY216" s="46"/>
      <c r="BZ216" s="46"/>
      <c r="CA216" s="225"/>
      <c r="CB216" s="225"/>
      <c r="CC216" s="46"/>
      <c r="CD216" s="46"/>
      <c r="CE216" s="225"/>
      <c r="CF216" s="225"/>
      <c r="CG216" s="46"/>
      <c r="CH216" s="46"/>
      <c r="CI216" s="225"/>
    </row>
    <row r="217" spans="2:87" ht="13.5" customHeight="1">
      <c r="C217" s="45"/>
      <c r="BJ217" s="230"/>
      <c r="BT217" s="46"/>
      <c r="BU217" s="46"/>
      <c r="BY217" s="46"/>
      <c r="BZ217" s="46"/>
      <c r="CC217" s="46"/>
      <c r="CD217" s="46"/>
      <c r="CG217" s="46"/>
      <c r="CH217" s="46"/>
    </row>
    <row r="218" spans="2:87" s="5" customFormat="1" ht="13.5" customHeight="1">
      <c r="B218" s="5" t="s">
        <v>327</v>
      </c>
      <c r="C218" s="60">
        <f t="shared" ref="C218:R218" si="814">C50</f>
        <v>18420</v>
      </c>
      <c r="D218" s="60">
        <f t="shared" si="814"/>
        <v>23369</v>
      </c>
      <c r="E218" s="230">
        <f t="shared" si="814"/>
        <v>29298</v>
      </c>
      <c r="F218" s="230">
        <f t="shared" si="814"/>
        <v>27288</v>
      </c>
      <c r="G218" s="230">
        <f t="shared" si="814"/>
        <v>31705</v>
      </c>
      <c r="H218" s="230">
        <f t="shared" si="814"/>
        <v>31700</v>
      </c>
      <c r="I218" s="230">
        <f t="shared" si="814"/>
        <v>33426</v>
      </c>
      <c r="J218" s="230">
        <f t="shared" si="814"/>
        <v>37873</v>
      </c>
      <c r="K218" s="230">
        <f t="shared" si="814"/>
        <v>45193</v>
      </c>
      <c r="L218" s="230">
        <f t="shared" si="814"/>
        <v>49178</v>
      </c>
      <c r="M218" s="230">
        <f t="shared" si="814"/>
        <v>47372</v>
      </c>
      <c r="N218" s="230">
        <f t="shared" si="814"/>
        <v>53445</v>
      </c>
      <c r="O218" s="230">
        <f t="shared" si="814"/>
        <v>53445</v>
      </c>
      <c r="P218" s="230">
        <f t="shared" si="814"/>
        <v>54942</v>
      </c>
      <c r="Q218" s="230">
        <f t="shared" si="814"/>
        <v>55474</v>
      </c>
      <c r="R218" s="230">
        <f t="shared" si="814"/>
        <v>59456</v>
      </c>
      <c r="S218" s="230">
        <f>S60</f>
        <v>60675</v>
      </c>
      <c r="U218" s="230">
        <f t="shared" ref="U218:AF218" si="815">U50</f>
        <v>5775</v>
      </c>
      <c r="V218" s="230">
        <f t="shared" si="815"/>
        <v>6884</v>
      </c>
      <c r="W218" s="230">
        <f t="shared" si="815"/>
        <v>8020</v>
      </c>
      <c r="X218" s="230">
        <f t="shared" si="815"/>
        <v>8619</v>
      </c>
      <c r="Y218" s="230">
        <f t="shared" si="815"/>
        <v>5786</v>
      </c>
      <c r="Z218" s="230">
        <f t="shared" si="815"/>
        <v>6892</v>
      </c>
      <c r="AA218" s="230">
        <f t="shared" si="815"/>
        <v>7102</v>
      </c>
      <c r="AB218" s="230">
        <f t="shared" si="815"/>
        <v>7508</v>
      </c>
      <c r="AC218" s="230">
        <f t="shared" si="815"/>
        <v>6494</v>
      </c>
      <c r="AD218" s="230">
        <f t="shared" si="815"/>
        <v>7476</v>
      </c>
      <c r="AE218" s="230">
        <f t="shared" si="815"/>
        <v>8301</v>
      </c>
      <c r="AF218" s="230">
        <f t="shared" si="815"/>
        <v>9434</v>
      </c>
      <c r="AG218" s="230">
        <f t="shared" ref="AG218:BH218" si="816">AG60</f>
        <v>7985</v>
      </c>
      <c r="AH218" s="230">
        <f t="shared" si="816"/>
        <v>8774</v>
      </c>
      <c r="AI218" s="230">
        <f t="shared" si="816"/>
        <v>10253</v>
      </c>
      <c r="AJ218" s="230">
        <f t="shared" si="816"/>
        <v>10861</v>
      </c>
      <c r="AK218" s="230">
        <f t="shared" si="816"/>
        <v>8899</v>
      </c>
      <c r="AL218" s="230">
        <f t="shared" si="816"/>
        <v>11375</v>
      </c>
      <c r="AM218" s="230">
        <f t="shared" si="816"/>
        <v>12110</v>
      </c>
      <c r="AN218" s="230">
        <f t="shared" si="816"/>
        <v>12809</v>
      </c>
      <c r="AO218" s="230">
        <f t="shared" si="816"/>
        <v>10653</v>
      </c>
      <c r="AP218" s="230">
        <f t="shared" si="816"/>
        <v>12056</v>
      </c>
      <c r="AQ218" s="230">
        <f t="shared" si="816"/>
        <v>12963</v>
      </c>
      <c r="AR218" s="230">
        <f t="shared" si="816"/>
        <v>11700</v>
      </c>
      <c r="AS218" s="230">
        <f t="shared" si="816"/>
        <v>11897</v>
      </c>
      <c r="AT218" s="230">
        <f t="shared" si="816"/>
        <v>12992</v>
      </c>
      <c r="AU218" s="230">
        <f t="shared" si="816"/>
        <v>14505</v>
      </c>
      <c r="AV218" s="230">
        <f t="shared" si="816"/>
        <v>14051</v>
      </c>
      <c r="AW218" s="230">
        <f t="shared" si="816"/>
        <v>12857</v>
      </c>
      <c r="AX218" s="230">
        <f t="shared" si="816"/>
        <v>14002</v>
      </c>
      <c r="AY218" s="230">
        <f t="shared" si="816"/>
        <v>14467</v>
      </c>
      <c r="AZ218" s="230">
        <f t="shared" si="816"/>
        <v>13616</v>
      </c>
      <c r="BA218" s="230">
        <f t="shared" si="816"/>
        <v>11872</v>
      </c>
      <c r="BB218" s="230">
        <f t="shared" si="816"/>
        <v>13953</v>
      </c>
      <c r="BC218" s="230">
        <f t="shared" si="816"/>
        <v>15640</v>
      </c>
      <c r="BD218" s="230">
        <f t="shared" si="816"/>
        <v>14009</v>
      </c>
      <c r="BE218" s="230">
        <f t="shared" si="816"/>
        <v>12817</v>
      </c>
      <c r="BF218" s="230">
        <f t="shared" si="816"/>
        <v>14897</v>
      </c>
      <c r="BG218" s="230">
        <f t="shared" si="816"/>
        <v>15776</v>
      </c>
      <c r="BH218" s="230">
        <f t="shared" si="816"/>
        <v>15966</v>
      </c>
      <c r="BI218" s="230">
        <f t="shared" ref="BI218" si="817">BI60</f>
        <v>14036</v>
      </c>
      <c r="BJ218" s="230"/>
      <c r="BK218" s="60"/>
      <c r="BL218" s="60"/>
      <c r="BM218" s="60"/>
      <c r="BN218" s="60"/>
      <c r="BO218" s="60"/>
      <c r="BP218" s="60"/>
      <c r="BQ218" s="60" t="e">
        <f>#REF!-Y218-Z218-AA218</f>
        <v>#REF!</v>
      </c>
      <c r="BR218" s="60"/>
      <c r="BS218" s="60"/>
      <c r="BT218" s="46"/>
      <c r="BU218" s="46"/>
      <c r="BV218" s="60"/>
      <c r="BW218" s="60"/>
      <c r="BX218" s="60"/>
      <c r="BY218" s="46"/>
      <c r="BZ218" s="46"/>
      <c r="CA218" s="60"/>
      <c r="CB218" s="60"/>
      <c r="CC218" s="46"/>
      <c r="CD218" s="46"/>
      <c r="CE218" s="60"/>
      <c r="CF218" s="46"/>
      <c r="CG218" s="46"/>
      <c r="CH218" s="46"/>
      <c r="CI218" s="60"/>
    </row>
    <row r="219" spans="2:87" ht="13.5" customHeight="1">
      <c r="B219" s="1" t="s">
        <v>328</v>
      </c>
      <c r="C219" s="54">
        <f t="shared" ref="C219:R219" si="818">C61</f>
        <v>-1079</v>
      </c>
      <c r="D219" s="54">
        <f t="shared" si="818"/>
        <v>352</v>
      </c>
      <c r="E219" s="231">
        <f t="shared" si="818"/>
        <v>-2983</v>
      </c>
      <c r="F219" s="231">
        <f t="shared" si="818"/>
        <v>6369.1829999999973</v>
      </c>
      <c r="G219" s="231">
        <f t="shared" si="818"/>
        <v>-1216.4999999999964</v>
      </c>
      <c r="H219" s="231">
        <f t="shared" si="818"/>
        <v>-2084</v>
      </c>
      <c r="I219" s="231">
        <f t="shared" si="818"/>
        <v>2646.5630000000001</v>
      </c>
      <c r="J219" s="231">
        <f t="shared" si="818"/>
        <v>2646.5630000000001</v>
      </c>
      <c r="K219" s="231">
        <f t="shared" si="818"/>
        <v>2231.7460000000001</v>
      </c>
      <c r="L219" s="231">
        <f t="shared" si="818"/>
        <v>4350.3770000000004</v>
      </c>
      <c r="M219" s="231">
        <f t="shared" si="818"/>
        <v>3001.1450000000004</v>
      </c>
      <c r="N219" s="231">
        <f t="shared" si="818"/>
        <v>2225.9810000000016</v>
      </c>
      <c r="O219" s="231">
        <f t="shared" si="818"/>
        <v>-1752.9960000000001</v>
      </c>
      <c r="P219" s="231">
        <f t="shared" si="818"/>
        <v>-10163.955000000002</v>
      </c>
      <c r="Q219" s="231">
        <f t="shared" si="818"/>
        <v>-11060.744999999999</v>
      </c>
      <c r="R219" s="231">
        <f t="shared" si="818"/>
        <v>-5884.777</v>
      </c>
      <c r="S219" s="231">
        <f>S61</f>
        <v>-2781.681</v>
      </c>
      <c r="U219" s="231">
        <f t="shared" ref="U219:AF219" si="819">U61</f>
        <v>-2260</v>
      </c>
      <c r="V219" s="231">
        <f t="shared" si="819"/>
        <v>-2001</v>
      </c>
      <c r="W219" s="231">
        <f t="shared" si="819"/>
        <v>-91</v>
      </c>
      <c r="X219" s="231">
        <f t="shared" si="819"/>
        <v>1369</v>
      </c>
      <c r="Y219" s="231">
        <f t="shared" si="819"/>
        <v>-1023</v>
      </c>
      <c r="Z219" s="231">
        <f t="shared" si="819"/>
        <v>745</v>
      </c>
      <c r="AA219" s="231">
        <f t="shared" si="819"/>
        <v>-267</v>
      </c>
      <c r="AB219" s="231">
        <f t="shared" si="819"/>
        <v>6914.1829999999973</v>
      </c>
      <c r="AC219" s="231">
        <f t="shared" si="819"/>
        <v>-3374.3059999999996</v>
      </c>
      <c r="AD219" s="231">
        <f t="shared" si="819"/>
        <v>-616.98300000000017</v>
      </c>
      <c r="AE219" s="231">
        <f t="shared" si="819"/>
        <v>-1135.3470000000007</v>
      </c>
      <c r="AF219" s="231">
        <f t="shared" si="819"/>
        <v>3910.1360000000041</v>
      </c>
      <c r="AG219" s="231">
        <f t="shared" ref="AG219:BH219" si="820">AG61</f>
        <v>-3158.03</v>
      </c>
      <c r="AH219" s="231">
        <f t="shared" si="820"/>
        <v>2123.13</v>
      </c>
      <c r="AI219" s="231">
        <f t="shared" si="820"/>
        <v>276.40000000000009</v>
      </c>
      <c r="AJ219" s="231">
        <f t="shared" si="820"/>
        <v>3405.0630000000001</v>
      </c>
      <c r="AK219" s="231">
        <f t="shared" si="820"/>
        <v>-1465.0369999999998</v>
      </c>
      <c r="AL219" s="231">
        <f t="shared" si="820"/>
        <v>-87.077000000000226</v>
      </c>
      <c r="AM219" s="231">
        <f t="shared" si="820"/>
        <v>-1295.0349999999999</v>
      </c>
      <c r="AN219" s="231">
        <f t="shared" si="820"/>
        <v>5078.8950000000004</v>
      </c>
      <c r="AO219" s="231">
        <f t="shared" si="820"/>
        <v>-1083.0219999999999</v>
      </c>
      <c r="AP219" s="231">
        <f t="shared" si="820"/>
        <v>-324.81900000000019</v>
      </c>
      <c r="AQ219" s="231">
        <f t="shared" si="820"/>
        <v>-523.78500000000008</v>
      </c>
      <c r="AR219" s="231">
        <f t="shared" si="820"/>
        <v>4932.7710000000006</v>
      </c>
      <c r="AS219" s="231">
        <f t="shared" si="820"/>
        <v>-3503.0540000000001</v>
      </c>
      <c r="AT219" s="231">
        <f t="shared" si="820"/>
        <v>2299.3490000000002</v>
      </c>
      <c r="AU219" s="231">
        <f t="shared" si="820"/>
        <v>-381.39599999999973</v>
      </c>
      <c r="AV219" s="231">
        <f t="shared" si="820"/>
        <v>3811.0820000000012</v>
      </c>
      <c r="AW219" s="231">
        <f t="shared" si="820"/>
        <v>-4695.7709999999997</v>
      </c>
      <c r="AX219" s="231">
        <f t="shared" si="820"/>
        <v>-5424.8869999999997</v>
      </c>
      <c r="AY219" s="231">
        <f t="shared" si="820"/>
        <v>-1600.2980000000007</v>
      </c>
      <c r="AZ219" s="231">
        <f t="shared" si="820"/>
        <v>1557.0009999999984</v>
      </c>
      <c r="BA219" s="231">
        <f t="shared" si="820"/>
        <v>-1734.5630000000001</v>
      </c>
      <c r="BB219" s="231">
        <f t="shared" si="820"/>
        <v>-6025.308</v>
      </c>
      <c r="BC219" s="231">
        <f t="shared" si="820"/>
        <v>-2860.7849999999989</v>
      </c>
      <c r="BD219" s="231">
        <f t="shared" si="820"/>
        <v>-440.08899999999903</v>
      </c>
      <c r="BE219" s="231">
        <f t="shared" si="820"/>
        <v>-426.67100000000005</v>
      </c>
      <c r="BF219" s="231">
        <f t="shared" si="820"/>
        <v>-2916.7290000000003</v>
      </c>
      <c r="BG219" s="231">
        <f t="shared" si="820"/>
        <v>-817.70299999999975</v>
      </c>
      <c r="BH219" s="231">
        <f t="shared" si="820"/>
        <v>-1723.674</v>
      </c>
      <c r="BI219" s="231">
        <f t="shared" ref="BI219" si="821">BI61</f>
        <v>2676.4249999999997</v>
      </c>
      <c r="BJ219" s="230"/>
      <c r="BK219" s="54"/>
      <c r="BL219" s="54"/>
      <c r="BM219" s="54"/>
      <c r="BN219" s="54"/>
      <c r="BO219" s="54"/>
      <c r="BP219" s="54"/>
      <c r="BQ219" s="54" t="e">
        <f>#REF!-Y219-Z219-AA219</f>
        <v>#REF!</v>
      </c>
      <c r="BR219" s="54"/>
      <c r="BS219" s="54"/>
      <c r="BT219" s="46"/>
      <c r="BU219" s="46"/>
      <c r="BV219" s="54"/>
      <c r="BW219" s="54"/>
      <c r="BX219" s="54"/>
      <c r="BY219" s="46"/>
      <c r="BZ219" s="46"/>
      <c r="CA219" s="54"/>
      <c r="CB219" s="54"/>
      <c r="CC219" s="46"/>
      <c r="CD219" s="46"/>
      <c r="CE219" s="54"/>
      <c r="CF219" s="225"/>
      <c r="CG219" s="46"/>
      <c r="CH219" s="46"/>
      <c r="CI219" s="54"/>
    </row>
    <row r="220" spans="2:87" ht="13.5" customHeight="1">
      <c r="B220" s="1" t="s">
        <v>329</v>
      </c>
      <c r="C220" s="54">
        <f t="shared" ref="C220:R220" si="822">C62</f>
        <v>-3920.9340000000002</v>
      </c>
      <c r="D220" s="54">
        <f t="shared" si="822"/>
        <v>-3883.9580000000001</v>
      </c>
      <c r="E220" s="231">
        <f t="shared" si="822"/>
        <v>-4706.1009999999997</v>
      </c>
      <c r="F220" s="231">
        <f t="shared" si="822"/>
        <v>-4444.8630000000003</v>
      </c>
      <c r="G220" s="231">
        <f t="shared" si="822"/>
        <v>-4327</v>
      </c>
      <c r="H220" s="231">
        <f t="shared" si="822"/>
        <v>-4327</v>
      </c>
      <c r="I220" s="231">
        <f t="shared" si="822"/>
        <v>-3961.306</v>
      </c>
      <c r="J220" s="231">
        <f t="shared" si="822"/>
        <v>-3961.306</v>
      </c>
      <c r="K220" s="231">
        <f t="shared" si="822"/>
        <v>-5789.3890000000001</v>
      </c>
      <c r="L220" s="231">
        <f t="shared" si="822"/>
        <v>-7577.9009999999998</v>
      </c>
      <c r="M220" s="231">
        <f t="shared" si="822"/>
        <v>-7036.8530000000001</v>
      </c>
      <c r="N220" s="231">
        <f t="shared" si="822"/>
        <v>-11824.343000000001</v>
      </c>
      <c r="O220" s="231">
        <f t="shared" si="822"/>
        <v>-11824.343000000001</v>
      </c>
      <c r="P220" s="231">
        <f t="shared" si="822"/>
        <v>-13830.615</v>
      </c>
      <c r="Q220" s="231">
        <f t="shared" si="822"/>
        <v>-6471.9089999999997</v>
      </c>
      <c r="R220" s="231">
        <f t="shared" si="822"/>
        <v>-8954.58</v>
      </c>
      <c r="S220" s="231">
        <f>S62</f>
        <v>-8407.6440000000002</v>
      </c>
      <c r="U220" s="231">
        <f t="shared" ref="U220:AF220" si="823">U62</f>
        <v>-758.31399999999996</v>
      </c>
      <c r="V220" s="231">
        <f t="shared" si="823"/>
        <v>-958.13</v>
      </c>
      <c r="W220" s="231">
        <f t="shared" si="823"/>
        <v>-1192.556</v>
      </c>
      <c r="X220" s="231">
        <f t="shared" si="823"/>
        <v>-1797.1009999999997</v>
      </c>
      <c r="Y220" s="231">
        <f t="shared" si="823"/>
        <v>-842.82500000000005</v>
      </c>
      <c r="Z220" s="231">
        <f t="shared" si="823"/>
        <v>-760.94599999999991</v>
      </c>
      <c r="AA220" s="231">
        <f t="shared" si="823"/>
        <v>-1370.229</v>
      </c>
      <c r="AB220" s="231">
        <f t="shared" si="823"/>
        <v>-1470.8630000000003</v>
      </c>
      <c r="AC220" s="231">
        <f t="shared" si="823"/>
        <v>-1043.7260000000001</v>
      </c>
      <c r="AD220" s="231">
        <f t="shared" si="823"/>
        <v>-922.44299999999998</v>
      </c>
      <c r="AE220" s="231">
        <f t="shared" si="823"/>
        <v>-1264.203</v>
      </c>
      <c r="AF220" s="231">
        <f t="shared" si="823"/>
        <v>-1096.6280000000002</v>
      </c>
      <c r="AG220" s="231">
        <f t="shared" ref="AG220:BH220" si="824">AG62</f>
        <v>-938.29200000000003</v>
      </c>
      <c r="AH220" s="231">
        <f t="shared" si="824"/>
        <v>-446.52899999999988</v>
      </c>
      <c r="AI220" s="231">
        <f t="shared" si="824"/>
        <v>-695.15799999999979</v>
      </c>
      <c r="AJ220" s="231">
        <f t="shared" si="824"/>
        <v>-1881.3270000000002</v>
      </c>
      <c r="AK220" s="231">
        <f t="shared" si="824"/>
        <v>-1096.597</v>
      </c>
      <c r="AL220" s="231">
        <f t="shared" si="824"/>
        <v>-1955.191</v>
      </c>
      <c r="AM220" s="231">
        <f t="shared" si="824"/>
        <v>-964.81500000000028</v>
      </c>
      <c r="AN220" s="231">
        <f t="shared" si="824"/>
        <v>-1772.7859999999998</v>
      </c>
      <c r="AO220" s="231">
        <f t="shared" si="824"/>
        <v>-1288.6980000000001</v>
      </c>
      <c r="AP220" s="231">
        <f t="shared" si="824"/>
        <v>-1764.8859999999997</v>
      </c>
      <c r="AQ220" s="231">
        <f t="shared" si="824"/>
        <v>-2017.4450000000008</v>
      </c>
      <c r="AR220" s="231">
        <f t="shared" si="824"/>
        <v>-1965.8239999999998</v>
      </c>
      <c r="AS220" s="231">
        <f t="shared" si="824"/>
        <v>-2025.1679999999999</v>
      </c>
      <c r="AT220" s="231">
        <f t="shared" si="824"/>
        <v>-2683.0970000000007</v>
      </c>
      <c r="AU220" s="231">
        <f t="shared" si="824"/>
        <v>-2550.8809999999994</v>
      </c>
      <c r="AV220" s="231">
        <f t="shared" si="824"/>
        <v>-4565.197000000001</v>
      </c>
      <c r="AW220" s="231">
        <f t="shared" si="824"/>
        <v>-6346.0529999999999</v>
      </c>
      <c r="AX220" s="231">
        <f t="shared" si="824"/>
        <v>-3100.0079999999998</v>
      </c>
      <c r="AY220" s="231">
        <f t="shared" si="824"/>
        <v>-2028.0200000000004</v>
      </c>
      <c r="AZ220" s="231">
        <f t="shared" si="824"/>
        <v>-2356.5339999999997</v>
      </c>
      <c r="BA220" s="231">
        <f t="shared" si="824"/>
        <v>-2332.0120000000002</v>
      </c>
      <c r="BB220" s="231">
        <f t="shared" si="824"/>
        <v>-1291.5889999999999</v>
      </c>
      <c r="BC220" s="231">
        <f t="shared" si="824"/>
        <v>-1648.8510000000001</v>
      </c>
      <c r="BD220" s="231">
        <f t="shared" si="824"/>
        <v>-1199.456999999999</v>
      </c>
      <c r="BE220" s="231">
        <f t="shared" si="824"/>
        <v>-2932.2449999999999</v>
      </c>
      <c r="BF220" s="231">
        <f t="shared" si="824"/>
        <v>-1988.7039999999997</v>
      </c>
      <c r="BG220" s="231">
        <f t="shared" si="824"/>
        <v>-1968.634</v>
      </c>
      <c r="BH220" s="231">
        <f t="shared" si="824"/>
        <v>-2064.9970000000003</v>
      </c>
      <c r="BI220" s="231">
        <f t="shared" ref="BI220" si="825">BI62</f>
        <v>-2385.3090000000002</v>
      </c>
      <c r="BJ220" s="230"/>
      <c r="BK220" s="54"/>
      <c r="BL220" s="54"/>
      <c r="BM220" s="54"/>
      <c r="BN220" s="54"/>
      <c r="BO220" s="54"/>
      <c r="BP220" s="54"/>
      <c r="BQ220" s="54" t="e">
        <f>#REF!-Y220-Z220-AA220</f>
        <v>#REF!</v>
      </c>
      <c r="BR220" s="54"/>
      <c r="BS220" s="54"/>
      <c r="BT220" s="46"/>
      <c r="BU220" s="46"/>
      <c r="BV220" s="54"/>
      <c r="BW220" s="54"/>
      <c r="BX220" s="54"/>
      <c r="BY220" s="46"/>
      <c r="BZ220" s="46"/>
      <c r="CA220" s="54"/>
      <c r="CB220" s="54"/>
      <c r="CC220" s="46"/>
      <c r="CD220" s="46"/>
      <c r="CE220" s="54"/>
      <c r="CF220" s="225"/>
      <c r="CG220" s="46"/>
      <c r="CH220" s="46"/>
      <c r="CI220" s="54"/>
    </row>
    <row r="221" spans="2:87" ht="13.5" customHeight="1">
      <c r="B221" s="1" t="s">
        <v>330</v>
      </c>
      <c r="C221" s="54">
        <f t="shared" ref="C221:R221" si="826">C63</f>
        <v>-2872.116</v>
      </c>
      <c r="D221" s="54">
        <f t="shared" si="826"/>
        <v>-3899.0320000000002</v>
      </c>
      <c r="E221" s="231">
        <f t="shared" si="826"/>
        <v>-4347.8119999999999</v>
      </c>
      <c r="F221" s="231">
        <f t="shared" si="826"/>
        <v>-4428.8440000000001</v>
      </c>
      <c r="G221" s="231">
        <f t="shared" si="826"/>
        <v>-7027.4740000000002</v>
      </c>
      <c r="H221" s="231">
        <f t="shared" si="826"/>
        <v>-7027.3019999999997</v>
      </c>
      <c r="I221" s="231">
        <f t="shared" si="826"/>
        <v>-6284.6440000000002</v>
      </c>
      <c r="J221" s="231">
        <f t="shared" si="826"/>
        <v>-6255.9380000000001</v>
      </c>
      <c r="K221" s="231">
        <f t="shared" si="826"/>
        <v>-7032.0259999999998</v>
      </c>
      <c r="L221" s="231">
        <f t="shared" si="826"/>
        <v>-7267.0590000000002</v>
      </c>
      <c r="M221" s="231">
        <f t="shared" si="826"/>
        <v>-7267.0590000000002</v>
      </c>
      <c r="N221" s="231">
        <f t="shared" si="826"/>
        <v>-6408.0129999999999</v>
      </c>
      <c r="O221" s="231">
        <f t="shared" si="826"/>
        <v>-6408.0129999999999</v>
      </c>
      <c r="P221" s="231">
        <f t="shared" si="826"/>
        <v>-7896.6170000000002</v>
      </c>
      <c r="Q221" s="231">
        <f t="shared" si="826"/>
        <v>-9012.0499999999993</v>
      </c>
      <c r="R221" s="231">
        <f t="shared" si="826"/>
        <v>-11932.909</v>
      </c>
      <c r="S221" s="231">
        <f>S63</f>
        <v>-12088.803</v>
      </c>
      <c r="U221" s="231">
        <f t="shared" ref="U221:AF221" si="827">U63</f>
        <v>-842.91499999999996</v>
      </c>
      <c r="V221" s="231">
        <f t="shared" si="827"/>
        <v>-1244.681</v>
      </c>
      <c r="W221" s="231">
        <f t="shared" si="827"/>
        <v>-920.404</v>
      </c>
      <c r="X221" s="231">
        <f t="shared" si="827"/>
        <v>-1339.8119999999999</v>
      </c>
      <c r="Y221" s="231">
        <f t="shared" si="827"/>
        <v>-1159.7560000000001</v>
      </c>
      <c r="Z221" s="231">
        <f t="shared" si="827"/>
        <v>-1172.5240000000001</v>
      </c>
      <c r="AA221" s="231">
        <f t="shared" si="827"/>
        <v>-984.71999999999957</v>
      </c>
      <c r="AB221" s="231">
        <f t="shared" si="827"/>
        <v>-1111.8440000000001</v>
      </c>
      <c r="AC221" s="231">
        <f t="shared" si="827"/>
        <v>-1389.2739999999999</v>
      </c>
      <c r="AD221" s="231">
        <f t="shared" si="827"/>
        <v>-1921.7919999999999</v>
      </c>
      <c r="AE221" s="231">
        <f t="shared" si="827"/>
        <v>-1519.2030000000004</v>
      </c>
      <c r="AF221" s="231">
        <f t="shared" si="827"/>
        <v>-2197.2049999999999</v>
      </c>
      <c r="AG221" s="231">
        <f t="shared" ref="AG221:BH221" si="828">AG63</f>
        <v>-1308.0360000000001</v>
      </c>
      <c r="AH221" s="231">
        <f t="shared" si="828"/>
        <v>-1895.5810000000001</v>
      </c>
      <c r="AI221" s="231">
        <f t="shared" si="828"/>
        <v>-899.96299999999974</v>
      </c>
      <c r="AJ221" s="231">
        <f t="shared" si="828"/>
        <v>-2181.0640000000003</v>
      </c>
      <c r="AK221" s="231">
        <f t="shared" si="828"/>
        <v>-1327.722</v>
      </c>
      <c r="AL221" s="231">
        <f t="shared" si="828"/>
        <v>-1950.6160000000002</v>
      </c>
      <c r="AM221" s="231">
        <f t="shared" si="828"/>
        <v>-1550.5340000000003</v>
      </c>
      <c r="AN221" s="231">
        <f t="shared" si="828"/>
        <v>-2203.1539999999995</v>
      </c>
      <c r="AO221" s="231">
        <f t="shared" si="828"/>
        <v>-1585.3150000000001</v>
      </c>
      <c r="AP221" s="231">
        <f t="shared" si="828"/>
        <v>-2008.3969999999999</v>
      </c>
      <c r="AQ221" s="231">
        <f t="shared" si="828"/>
        <v>-1500.7360000000003</v>
      </c>
      <c r="AR221" s="231">
        <f t="shared" si="828"/>
        <v>-2172.6110000000003</v>
      </c>
      <c r="AS221" s="231">
        <f t="shared" si="828"/>
        <v>-1604.972</v>
      </c>
      <c r="AT221" s="231">
        <f t="shared" si="828"/>
        <v>-1162.9060000000002</v>
      </c>
      <c r="AU221" s="231">
        <f t="shared" si="828"/>
        <v>-1905.6500000000003</v>
      </c>
      <c r="AV221" s="231">
        <f t="shared" si="828"/>
        <v>-1734.4849999999994</v>
      </c>
      <c r="AW221" s="231">
        <f t="shared" si="828"/>
        <v>-1414.2639999999999</v>
      </c>
      <c r="AX221" s="231">
        <f t="shared" si="828"/>
        <v>-2720.6710000000003</v>
      </c>
      <c r="AY221" s="231">
        <f t="shared" si="828"/>
        <v>-1341.0409999999995</v>
      </c>
      <c r="AZ221" s="231">
        <f t="shared" si="828"/>
        <v>-2420.6410000000005</v>
      </c>
      <c r="BA221" s="231">
        <f t="shared" si="828"/>
        <v>-1323.9480000000001</v>
      </c>
      <c r="BB221" s="231">
        <f t="shared" si="828"/>
        <v>-2378.018</v>
      </c>
      <c r="BC221" s="231">
        <f t="shared" si="828"/>
        <v>-3222.6929999999993</v>
      </c>
      <c r="BD221" s="231">
        <f t="shared" si="828"/>
        <v>-2087.3909999999996</v>
      </c>
      <c r="BE221" s="231">
        <f t="shared" si="828"/>
        <v>-3236.7869999999998</v>
      </c>
      <c r="BF221" s="231">
        <f t="shared" si="828"/>
        <v>-2324.6790000000005</v>
      </c>
      <c r="BG221" s="231">
        <f t="shared" si="828"/>
        <v>-3054.5640000000008</v>
      </c>
      <c r="BH221" s="231">
        <f t="shared" si="828"/>
        <v>-3316.878999999999</v>
      </c>
      <c r="BI221" s="231">
        <f t="shared" ref="BI221" si="829">BI63</f>
        <v>-3392.681</v>
      </c>
      <c r="BJ221" s="230"/>
      <c r="BK221" s="54"/>
      <c r="BL221" s="54"/>
      <c r="BM221" s="54"/>
      <c r="BN221" s="54"/>
      <c r="BO221" s="54"/>
      <c r="BP221" s="54"/>
      <c r="BQ221" s="54" t="e">
        <f>#REF!-Y221-Z221-AA221</f>
        <v>#REF!</v>
      </c>
      <c r="BR221" s="54"/>
      <c r="BS221" s="54"/>
      <c r="BT221" s="46"/>
      <c r="BU221" s="46"/>
      <c r="BV221" s="54"/>
      <c r="BW221" s="54"/>
      <c r="BX221" s="54"/>
      <c r="BY221" s="46"/>
      <c r="BZ221" s="46"/>
      <c r="CA221" s="54"/>
      <c r="CB221" s="54"/>
      <c r="CC221" s="46"/>
      <c r="CD221" s="46"/>
      <c r="CE221" s="54"/>
      <c r="CF221" s="54"/>
      <c r="CG221" s="46"/>
      <c r="CH221" s="46"/>
      <c r="CI221" s="54"/>
    </row>
    <row r="222" spans="2:87" s="5" customFormat="1" ht="13.5" customHeight="1" thickBot="1">
      <c r="B222" s="21" t="s">
        <v>331</v>
      </c>
      <c r="C222" s="55">
        <f>SUM(C218:C221)</f>
        <v>10547.949999999999</v>
      </c>
      <c r="D222" s="55">
        <f t="shared" ref="D222:AA222" si="830">SUM(D218:D221)</f>
        <v>15938.010000000002</v>
      </c>
      <c r="E222" s="233">
        <f t="shared" si="830"/>
        <v>17261.087</v>
      </c>
      <c r="F222" s="233">
        <f t="shared" ref="F222:K222" si="831">SUM(F218:F221)</f>
        <v>24783.475999999995</v>
      </c>
      <c r="G222" s="233">
        <f t="shared" si="831"/>
        <v>19134.026000000005</v>
      </c>
      <c r="H222" s="233">
        <f t="shared" si="831"/>
        <v>18261.698</v>
      </c>
      <c r="I222" s="233">
        <f t="shared" si="831"/>
        <v>25826.613000000001</v>
      </c>
      <c r="J222" s="233">
        <f t="shared" si="831"/>
        <v>30302.319000000003</v>
      </c>
      <c r="K222" s="233">
        <f t="shared" si="831"/>
        <v>34603.330999999998</v>
      </c>
      <c r="L222" s="233">
        <f t="shared" ref="L222:N222" si="832">SUM(L218:L221)</f>
        <v>38683.417000000001</v>
      </c>
      <c r="M222" s="233">
        <f t="shared" ref="M222" si="833">SUM(M218:M221)</f>
        <v>36069.233</v>
      </c>
      <c r="N222" s="233">
        <f t="shared" si="832"/>
        <v>37438.625</v>
      </c>
      <c r="O222" s="233">
        <f t="shared" ref="O222" si="834">SUM(O218:O221)</f>
        <v>33459.648000000001</v>
      </c>
      <c r="P222" s="233">
        <f>SUM(P218:P221)</f>
        <v>23050.813000000002</v>
      </c>
      <c r="Q222" s="233">
        <f>SUM(Q218:Q221)</f>
        <v>28929.296000000006</v>
      </c>
      <c r="R222" s="233">
        <f>SUM(R218:R221)</f>
        <v>32683.733999999997</v>
      </c>
      <c r="S222" s="233">
        <f t="shared" ref="S222" si="835">SUM(S218:S221)</f>
        <v>37396.872000000003</v>
      </c>
      <c r="U222" s="233">
        <f t="shared" si="830"/>
        <v>1913.7710000000002</v>
      </c>
      <c r="V222" s="233">
        <f t="shared" si="830"/>
        <v>2680.1889999999999</v>
      </c>
      <c r="W222" s="233">
        <f t="shared" si="830"/>
        <v>5816.0399999999991</v>
      </c>
      <c r="X222" s="233">
        <f t="shared" si="830"/>
        <v>6851.0870000000004</v>
      </c>
      <c r="Y222" s="233">
        <f t="shared" si="830"/>
        <v>2760.4189999999999</v>
      </c>
      <c r="Z222" s="233">
        <f t="shared" si="830"/>
        <v>5703.53</v>
      </c>
      <c r="AA222" s="233">
        <f t="shared" si="830"/>
        <v>4480.0510000000004</v>
      </c>
      <c r="AB222" s="233">
        <f t="shared" ref="AB222:AH222" si="836">SUM(AB218:AB221)</f>
        <v>11839.475999999995</v>
      </c>
      <c r="AC222" s="233">
        <f t="shared" si="836"/>
        <v>686.69400000000041</v>
      </c>
      <c r="AD222" s="233">
        <f t="shared" si="836"/>
        <v>4014.7819999999997</v>
      </c>
      <c r="AE222" s="233">
        <f t="shared" si="836"/>
        <v>4382.2469999999985</v>
      </c>
      <c r="AF222" s="233">
        <f t="shared" si="836"/>
        <v>10050.303000000004</v>
      </c>
      <c r="AG222" s="233">
        <f t="shared" si="836"/>
        <v>2580.6419999999994</v>
      </c>
      <c r="AH222" s="233">
        <f t="shared" si="836"/>
        <v>8555.02</v>
      </c>
      <c r="AI222" s="233">
        <f t="shared" ref="AI222:AN222" si="837">SUM(AI218:AI221)</f>
        <v>8934.2790000000005</v>
      </c>
      <c r="AJ222" s="233">
        <f t="shared" si="837"/>
        <v>10203.672</v>
      </c>
      <c r="AK222" s="233">
        <f t="shared" si="837"/>
        <v>5009.6440000000002</v>
      </c>
      <c r="AL222" s="233">
        <f t="shared" si="837"/>
        <v>7382.1159999999982</v>
      </c>
      <c r="AM222" s="233">
        <f t="shared" si="837"/>
        <v>8299.616</v>
      </c>
      <c r="AN222" s="233">
        <f t="shared" si="837"/>
        <v>13911.955000000002</v>
      </c>
      <c r="AO222" s="233">
        <f>SUM(AO218:AO221)</f>
        <v>6695.9649999999983</v>
      </c>
      <c r="AP222" s="233">
        <f>SUM(AP218:AP221)</f>
        <v>7957.8980000000001</v>
      </c>
      <c r="AQ222" s="233">
        <f>SUM(AQ218:AQ221)</f>
        <v>8921.0339999999978</v>
      </c>
      <c r="AR222" s="233">
        <f t="shared" ref="AR222" si="838">SUM(AR218:AR221)</f>
        <v>12494.335999999999</v>
      </c>
      <c r="AS222" s="233">
        <f>SUM(AS218:AS221)</f>
        <v>4763.8060000000005</v>
      </c>
      <c r="AT222" s="233">
        <f>SUM(AT218:AT221)</f>
        <v>11445.346</v>
      </c>
      <c r="AU222" s="233">
        <f>SUM(AU218:AU221)</f>
        <v>9667.0730000000003</v>
      </c>
      <c r="AV222" s="233">
        <f t="shared" ref="AV222" si="839">SUM(AV218:AV221)</f>
        <v>11562.400000000003</v>
      </c>
      <c r="AW222" s="233">
        <f>SUM(AW218:AW221)</f>
        <v>400.91200000000049</v>
      </c>
      <c r="AX222" s="233">
        <f>SUM(AX218:AX221)</f>
        <v>2756.4340000000011</v>
      </c>
      <c r="AY222" s="233">
        <f>SUM(AY218:AY221)</f>
        <v>9497.6409999999996</v>
      </c>
      <c r="AZ222" s="233">
        <f t="shared" ref="AZ222" si="840">SUM(AZ218:AZ221)</f>
        <v>10395.825999999997</v>
      </c>
      <c r="BA222" s="233">
        <f>SUM(BA218:BA221)</f>
        <v>6481.476999999999</v>
      </c>
      <c r="BB222" s="233">
        <f>SUM(BB218:BB221)</f>
        <v>4258.085</v>
      </c>
      <c r="BC222" s="233">
        <f>SUM(BC218:BC221)</f>
        <v>7907.6710000000003</v>
      </c>
      <c r="BD222" s="233">
        <f t="shared" ref="BD222" si="841">SUM(BD218:BD221)</f>
        <v>10282.063000000002</v>
      </c>
      <c r="BE222" s="233">
        <f>SUM(BE218:BE221)</f>
        <v>6221.2969999999987</v>
      </c>
      <c r="BF222" s="233">
        <f>SUM(BF218:BF221)</f>
        <v>7666.8880000000008</v>
      </c>
      <c r="BG222" s="233">
        <f>SUM(BG218:BG221)</f>
        <v>9935.0990000000002</v>
      </c>
      <c r="BH222" s="233">
        <f>SUM(BH218:BH221)</f>
        <v>8860.4500000000025</v>
      </c>
      <c r="BI222" s="233">
        <f>SUM(BI218:BI221)</f>
        <v>10934.434999999998</v>
      </c>
      <c r="BJ222" s="230"/>
      <c r="BK222" s="196"/>
      <c r="BL222" s="196"/>
      <c r="BM222" s="196"/>
      <c r="BN222" s="196"/>
      <c r="BO222" s="196"/>
      <c r="BP222" s="196"/>
      <c r="BQ222" s="55" t="e">
        <f>SUM(BQ218:BQ221)</f>
        <v>#REF!</v>
      </c>
      <c r="BR222" s="196"/>
      <c r="BS222" s="196"/>
      <c r="BT222" s="46"/>
      <c r="BU222" s="46"/>
      <c r="BV222" s="196"/>
      <c r="BW222" s="196"/>
      <c r="BX222" s="196"/>
      <c r="BY222" s="46"/>
      <c r="BZ222" s="46"/>
      <c r="CA222" s="196"/>
      <c r="CB222" s="196"/>
      <c r="CC222" s="46"/>
      <c r="CD222" s="46"/>
      <c r="CE222" s="196"/>
      <c r="CF222" s="196"/>
      <c r="CG222" s="46"/>
      <c r="CH222" s="46"/>
      <c r="CI222" s="196"/>
    </row>
    <row r="223" spans="2:87" s="5" customFormat="1" ht="13.5" customHeight="1" thickTop="1">
      <c r="B223" s="1" t="s">
        <v>403</v>
      </c>
      <c r="C223" s="54">
        <f t="shared" ref="C223:S223" si="842">C65</f>
        <v>-6828.6819999999998</v>
      </c>
      <c r="D223" s="54">
        <f t="shared" si="842"/>
        <v>-9604.3209999999999</v>
      </c>
      <c r="E223" s="231">
        <f t="shared" si="842"/>
        <v>-13152.5</v>
      </c>
      <c r="F223" s="231">
        <f t="shared" si="842"/>
        <v>-13572.669</v>
      </c>
      <c r="G223" s="231">
        <f t="shared" si="842"/>
        <v>-15067</v>
      </c>
      <c r="H223" s="231">
        <f t="shared" si="842"/>
        <v>-14468.138999999999</v>
      </c>
      <c r="I223" s="231">
        <f t="shared" si="842"/>
        <v>-12646.904999999999</v>
      </c>
      <c r="J223" s="231">
        <f t="shared" si="842"/>
        <v>-12646.904999999999</v>
      </c>
      <c r="K223" s="231">
        <f t="shared" si="842"/>
        <v>-12673.447999999999</v>
      </c>
      <c r="L223" s="231">
        <f t="shared" si="842"/>
        <v>-20938.866999999998</v>
      </c>
      <c r="M223" s="231">
        <f t="shared" si="842"/>
        <v>-20633.923999999999</v>
      </c>
      <c r="N223" s="231">
        <f t="shared" si="842"/>
        <v>-29425.809000000001</v>
      </c>
      <c r="O223" s="231">
        <f t="shared" si="842"/>
        <v>-29416.812999999998</v>
      </c>
      <c r="P223" s="231">
        <f t="shared" si="842"/>
        <v>-35143.652999999998</v>
      </c>
      <c r="Q223" s="231">
        <f t="shared" si="842"/>
        <v>-28771.732</v>
      </c>
      <c r="R223" s="231">
        <f t="shared" si="842"/>
        <v>-22244.428999999996</v>
      </c>
      <c r="S223" s="231">
        <f t="shared" si="842"/>
        <v>-18683.446999999996</v>
      </c>
      <c r="U223" s="231">
        <f t="shared" ref="U223:BH223" si="843">U65</f>
        <v>-1853.3920000000001</v>
      </c>
      <c r="V223" s="231">
        <f t="shared" si="843"/>
        <v>-3212.8440000000001</v>
      </c>
      <c r="W223" s="231">
        <f t="shared" si="843"/>
        <v>-2871.7640000000001</v>
      </c>
      <c r="X223" s="231">
        <f t="shared" si="843"/>
        <v>-5214.5</v>
      </c>
      <c r="Y223" s="231">
        <f t="shared" si="843"/>
        <v>-2839.422</v>
      </c>
      <c r="Z223" s="231">
        <f t="shared" si="843"/>
        <v>-2684.9779999999996</v>
      </c>
      <c r="AA223" s="231">
        <f t="shared" si="843"/>
        <v>-2789.8180000000016</v>
      </c>
      <c r="AB223" s="231">
        <f t="shared" si="843"/>
        <v>-5258.4509999999991</v>
      </c>
      <c r="AC223" s="231">
        <f t="shared" si="843"/>
        <v>-3449.5239999999999</v>
      </c>
      <c r="AD223" s="231">
        <f t="shared" si="843"/>
        <v>-3676.4559999999997</v>
      </c>
      <c r="AE223" s="231">
        <f t="shared" si="843"/>
        <v>-3245.4160000000006</v>
      </c>
      <c r="AF223" s="231">
        <f t="shared" si="843"/>
        <v>-4695.6039999999994</v>
      </c>
      <c r="AG223" s="231">
        <f t="shared" si="843"/>
        <v>-1870.37</v>
      </c>
      <c r="AH223" s="231">
        <f t="shared" si="843"/>
        <v>-3595.4740000000002</v>
      </c>
      <c r="AI223" s="231">
        <f t="shared" si="843"/>
        <v>-2833.0459999999994</v>
      </c>
      <c r="AJ223" s="231">
        <f t="shared" si="843"/>
        <v>-4348.0150000000003</v>
      </c>
      <c r="AK223" s="231">
        <f t="shared" si="843"/>
        <v>-2289.85</v>
      </c>
      <c r="AL223" s="231">
        <f t="shared" si="843"/>
        <v>-2648.4790000000007</v>
      </c>
      <c r="AM223" s="231">
        <f t="shared" si="843"/>
        <v>-2558.215999999999</v>
      </c>
      <c r="AN223" s="231">
        <f t="shared" si="843"/>
        <v>-5176.9029999999984</v>
      </c>
      <c r="AO223" s="231">
        <f t="shared" si="843"/>
        <v>-2520.9789999999998</v>
      </c>
      <c r="AP223" s="231">
        <f t="shared" si="843"/>
        <v>-4550.4330000000009</v>
      </c>
      <c r="AQ223" s="231">
        <f t="shared" si="843"/>
        <v>-4418.0079999999998</v>
      </c>
      <c r="AR223" s="231">
        <f t="shared" si="843"/>
        <v>-9144.503999999999</v>
      </c>
      <c r="AS223" s="231">
        <f t="shared" si="843"/>
        <v>-3763.172</v>
      </c>
      <c r="AT223" s="231">
        <f t="shared" si="843"/>
        <v>-6342.0199999999986</v>
      </c>
      <c r="AU223" s="231">
        <f t="shared" si="843"/>
        <v>-7032.8700000000026</v>
      </c>
      <c r="AV223" s="231">
        <f t="shared" si="843"/>
        <v>-12287.746999999999</v>
      </c>
      <c r="AW223" s="231">
        <f t="shared" si="843"/>
        <v>-5196.5230000000001</v>
      </c>
      <c r="AX223" s="231">
        <f t="shared" si="843"/>
        <v>-7557.7069999999994</v>
      </c>
      <c r="AY223" s="231">
        <f t="shared" si="843"/>
        <v>-8722.9320000000007</v>
      </c>
      <c r="AZ223" s="231">
        <f t="shared" si="843"/>
        <v>-13666.490999999998</v>
      </c>
      <c r="BA223" s="231">
        <f t="shared" si="843"/>
        <v>-5408.5280000000002</v>
      </c>
      <c r="BB223" s="231">
        <f t="shared" si="843"/>
        <v>-6343.4189999999999</v>
      </c>
      <c r="BC223" s="231">
        <f t="shared" si="843"/>
        <v>-6792.1399999999994</v>
      </c>
      <c r="BD223" s="231">
        <f t="shared" si="843"/>
        <v>-10227.645</v>
      </c>
      <c r="BE223" s="231">
        <f t="shared" si="843"/>
        <v>-5137.5610000000006</v>
      </c>
      <c r="BF223" s="231">
        <f t="shared" si="843"/>
        <v>-4352.0970000000007</v>
      </c>
      <c r="BG223" s="231">
        <f t="shared" si="843"/>
        <v>-4285.4829999999974</v>
      </c>
      <c r="BH223" s="231">
        <f t="shared" si="843"/>
        <v>-8469.2879999999968</v>
      </c>
      <c r="BI223" s="231">
        <f t="shared" ref="BI223" si="844">BI65</f>
        <v>-1576.579</v>
      </c>
      <c r="BJ223" s="230"/>
      <c r="BK223" s="54"/>
      <c r="BL223" s="54"/>
      <c r="BM223" s="54"/>
      <c r="BN223" s="54"/>
      <c r="BO223" s="54"/>
      <c r="BP223" s="54"/>
      <c r="BQ223" s="54" t="e">
        <f>#REF!-Y223-Z223-AA223</f>
        <v>#REF!</v>
      </c>
      <c r="BR223" s="54"/>
      <c r="BS223" s="54"/>
      <c r="BT223" s="46"/>
      <c r="BU223" s="46"/>
      <c r="BV223" s="54"/>
      <c r="BW223" s="54"/>
      <c r="BX223" s="54"/>
      <c r="BY223" s="46"/>
      <c r="BZ223" s="46"/>
      <c r="CA223" s="54"/>
      <c r="CB223" s="54"/>
      <c r="CC223" s="46"/>
      <c r="CD223" s="46"/>
      <c r="CE223" s="54"/>
      <c r="CF223" s="54"/>
      <c r="CG223" s="46"/>
      <c r="CH223" s="46"/>
      <c r="CI223" s="54"/>
    </row>
    <row r="224" spans="2:87" ht="13.5" customHeight="1">
      <c r="B224" s="1" t="s">
        <v>333</v>
      </c>
      <c r="C224" s="54">
        <f t="shared" ref="C224:S224" si="845">C66</f>
        <v>0</v>
      </c>
      <c r="D224" s="54">
        <f t="shared" si="845"/>
        <v>0</v>
      </c>
      <c r="E224" s="231">
        <f t="shared" si="845"/>
        <v>-45</v>
      </c>
      <c r="F224" s="231">
        <f t="shared" si="845"/>
        <v>-1265.0170000000001</v>
      </c>
      <c r="G224" s="231">
        <f t="shared" si="845"/>
        <v>-397.35599999999999</v>
      </c>
      <c r="H224" s="231">
        <f t="shared" si="845"/>
        <v>-940</v>
      </c>
      <c r="I224" s="231">
        <f t="shared" si="845"/>
        <v>-412.11599999999999</v>
      </c>
      <c r="J224" s="231">
        <f t="shared" si="845"/>
        <v>-396.11599999999999</v>
      </c>
      <c r="K224" s="231">
        <f t="shared" si="845"/>
        <v>-885.44100000000003</v>
      </c>
      <c r="L224" s="231">
        <f t="shared" si="845"/>
        <v>-882.43399999999997</v>
      </c>
      <c r="M224" s="231">
        <f t="shared" si="845"/>
        <v>-882.43399999999997</v>
      </c>
      <c r="N224" s="231">
        <f t="shared" si="845"/>
        <v>-1204.681</v>
      </c>
      <c r="O224" s="231">
        <f t="shared" si="845"/>
        <v>-798</v>
      </c>
      <c r="P224" s="231">
        <f t="shared" si="845"/>
        <v>-951.93100000000004</v>
      </c>
      <c r="Q224" s="231">
        <f t="shared" si="845"/>
        <v>-772.01400000000001</v>
      </c>
      <c r="R224" s="231">
        <f t="shared" si="845"/>
        <v>-311.21300000000002</v>
      </c>
      <c r="S224" s="231">
        <f t="shared" si="845"/>
        <v>-259.58199999999999</v>
      </c>
      <c r="U224" s="231">
        <f t="shared" ref="U224:BH224" si="846">U66</f>
        <v>0</v>
      </c>
      <c r="V224" s="231">
        <f t="shared" si="846"/>
        <v>0</v>
      </c>
      <c r="W224" s="231">
        <f t="shared" si="846"/>
        <v>0</v>
      </c>
      <c r="X224" s="231">
        <f t="shared" si="846"/>
        <v>-45</v>
      </c>
      <c r="Y224" s="231">
        <f t="shared" si="846"/>
        <v>0</v>
      </c>
      <c r="Z224" s="231">
        <f t="shared" si="846"/>
        <v>0</v>
      </c>
      <c r="AA224" s="231">
        <f t="shared" si="846"/>
        <v>0</v>
      </c>
      <c r="AB224" s="231">
        <f t="shared" si="846"/>
        <v>-1265.0170000000001</v>
      </c>
      <c r="AC224" s="231">
        <f t="shared" si="846"/>
        <v>0</v>
      </c>
      <c r="AD224" s="231">
        <f t="shared" si="846"/>
        <v>-372.68799999999999</v>
      </c>
      <c r="AE224" s="231">
        <f t="shared" si="846"/>
        <v>-24.66900000000004</v>
      </c>
      <c r="AF224" s="231">
        <f t="shared" si="846"/>
        <v>1.0000000000331966E-3</v>
      </c>
      <c r="AG224" s="231">
        <f t="shared" si="846"/>
        <v>0</v>
      </c>
      <c r="AH224" s="231">
        <f t="shared" si="846"/>
        <v>0</v>
      </c>
      <c r="AI224" s="231">
        <f t="shared" si="846"/>
        <v>-51.411000000000001</v>
      </c>
      <c r="AJ224" s="231">
        <f t="shared" si="846"/>
        <v>-360.70499999999998</v>
      </c>
      <c r="AK224" s="231">
        <f t="shared" si="846"/>
        <v>-159.58699999999999</v>
      </c>
      <c r="AL224" s="231">
        <f t="shared" si="846"/>
        <v>-56.224000000000018</v>
      </c>
      <c r="AM224" s="231">
        <f t="shared" si="846"/>
        <v>-46.936999999999983</v>
      </c>
      <c r="AN224" s="231">
        <f t="shared" si="846"/>
        <v>-622.69299999999998</v>
      </c>
      <c r="AO224" s="231">
        <f t="shared" si="846"/>
        <v>-182.55699999999999</v>
      </c>
      <c r="AP224" s="231">
        <f t="shared" si="846"/>
        <v>29.884999999999991</v>
      </c>
      <c r="AQ224" s="231">
        <f t="shared" si="846"/>
        <v>-230.94199999999998</v>
      </c>
      <c r="AR224" s="231">
        <f t="shared" si="846"/>
        <v>-498.81999999999994</v>
      </c>
      <c r="AS224" s="231">
        <f t="shared" si="846"/>
        <v>-37.350999999999999</v>
      </c>
      <c r="AT224" s="231">
        <f t="shared" si="846"/>
        <v>-117.244</v>
      </c>
      <c r="AU224" s="231">
        <f t="shared" si="846"/>
        <v>-286.18499999999995</v>
      </c>
      <c r="AV224" s="231">
        <f t="shared" si="846"/>
        <v>-763.90100000000007</v>
      </c>
      <c r="AW224" s="231">
        <f t="shared" si="846"/>
        <v>-388.899</v>
      </c>
      <c r="AX224" s="231">
        <f t="shared" si="846"/>
        <v>-206.07899999999995</v>
      </c>
      <c r="AY224" s="231">
        <f t="shared" si="846"/>
        <v>-163.55600000000004</v>
      </c>
      <c r="AZ224" s="231">
        <f t="shared" si="846"/>
        <v>-193.39700000000005</v>
      </c>
      <c r="BA224" s="231">
        <f t="shared" si="846"/>
        <v>-100.98699999999999</v>
      </c>
      <c r="BB224" s="231">
        <f t="shared" si="846"/>
        <v>-206.35600000000002</v>
      </c>
      <c r="BC224" s="231">
        <f t="shared" si="846"/>
        <v>-68.504999999999995</v>
      </c>
      <c r="BD224" s="231">
        <f t="shared" si="846"/>
        <v>-396.16600000000005</v>
      </c>
      <c r="BE224" s="231">
        <f t="shared" si="846"/>
        <v>-64.62</v>
      </c>
      <c r="BF224" s="231">
        <f t="shared" si="846"/>
        <v>-53.846999999999994</v>
      </c>
      <c r="BG224" s="231">
        <f t="shared" si="846"/>
        <v>-141.95300000000003</v>
      </c>
      <c r="BH224" s="231">
        <f t="shared" si="846"/>
        <v>-50.793000000000006</v>
      </c>
      <c r="BI224" s="231">
        <f t="shared" ref="BI224" si="847">BI66</f>
        <v>-12.989000000000001</v>
      </c>
      <c r="BJ224" s="231"/>
      <c r="BK224" s="54"/>
      <c r="BL224" s="54"/>
      <c r="BM224" s="54"/>
      <c r="BN224" s="54"/>
      <c r="BO224" s="54"/>
      <c r="BP224" s="54"/>
      <c r="BQ224" s="54" t="e">
        <f>#REF!-Y224-Z224-AA224</f>
        <v>#REF!</v>
      </c>
      <c r="BR224" s="54"/>
      <c r="BS224" s="54"/>
      <c r="BT224" s="46"/>
      <c r="BU224" s="46"/>
      <c r="BV224" s="54"/>
      <c r="BW224" s="54"/>
      <c r="BX224" s="54"/>
      <c r="BY224" s="46"/>
      <c r="BZ224" s="46"/>
      <c r="CA224" s="54"/>
      <c r="CB224" s="54"/>
      <c r="CC224" s="46"/>
      <c r="CD224" s="46"/>
      <c r="CE224" s="54"/>
      <c r="CF224" s="54"/>
      <c r="CG224" s="46"/>
      <c r="CH224" s="46"/>
      <c r="CI224" s="54"/>
    </row>
    <row r="225" spans="2:87" ht="13.5" customHeight="1">
      <c r="B225" s="1" t="s">
        <v>334</v>
      </c>
      <c r="C225" s="54">
        <f t="shared" ref="C225:S225" si="848">C67</f>
        <v>-22434.825000000001</v>
      </c>
      <c r="D225" s="54">
        <f t="shared" si="848"/>
        <v>-988.61899999999991</v>
      </c>
      <c r="E225" s="231">
        <f t="shared" si="848"/>
        <v>-3011</v>
      </c>
      <c r="F225" s="231">
        <f t="shared" si="848"/>
        <v>-13753.941999999999</v>
      </c>
      <c r="G225" s="231">
        <f t="shared" si="848"/>
        <v>-2413.6440000000002</v>
      </c>
      <c r="H225" s="231">
        <f t="shared" si="848"/>
        <v>-3643.5050000000001</v>
      </c>
      <c r="I225" s="231">
        <f t="shared" si="848"/>
        <v>-144.68199999999999</v>
      </c>
      <c r="J225" s="231">
        <f t="shared" si="848"/>
        <v>-144.68199999999999</v>
      </c>
      <c r="K225" s="231">
        <f t="shared" si="848"/>
        <v>-3613.8539999999998</v>
      </c>
      <c r="L225" s="231">
        <f t="shared" si="848"/>
        <v>-11653.112999999999</v>
      </c>
      <c r="M225" s="231">
        <f t="shared" si="848"/>
        <v>-11653.112999999999</v>
      </c>
      <c r="N225" s="231">
        <f t="shared" si="848"/>
        <v>18922.716</v>
      </c>
      <c r="O225" s="231">
        <f t="shared" si="848"/>
        <v>19126.557000000001</v>
      </c>
      <c r="P225" s="231">
        <f t="shared" si="848"/>
        <v>-7439.01</v>
      </c>
      <c r="Q225" s="231">
        <f t="shared" si="848"/>
        <v>-8386.723</v>
      </c>
      <c r="R225" s="231">
        <f t="shared" si="848"/>
        <v>-13142.43</v>
      </c>
      <c r="S225" s="231">
        <f t="shared" si="848"/>
        <v>-13087.694000000001</v>
      </c>
      <c r="U225" s="231">
        <f t="shared" ref="U225:BH225" si="849">U67</f>
        <v>368.81600000000003</v>
      </c>
      <c r="V225" s="231">
        <f t="shared" si="849"/>
        <v>34.698999999999955</v>
      </c>
      <c r="W225" s="231">
        <f t="shared" si="849"/>
        <v>-4456.5150000000003</v>
      </c>
      <c r="X225" s="231">
        <f t="shared" si="849"/>
        <v>1042.0000000000005</v>
      </c>
      <c r="Y225" s="231">
        <f t="shared" si="849"/>
        <v>-437.964</v>
      </c>
      <c r="Z225" s="231">
        <f t="shared" si="849"/>
        <v>-1285.74</v>
      </c>
      <c r="AA225" s="231">
        <f t="shared" si="849"/>
        <v>-490.07800000000015</v>
      </c>
      <c r="AB225" s="231">
        <f t="shared" si="849"/>
        <v>-11540.16</v>
      </c>
      <c r="AC225" s="231">
        <f t="shared" si="849"/>
        <v>0</v>
      </c>
      <c r="AD225" s="231">
        <f t="shared" si="849"/>
        <v>-2981.2250000000004</v>
      </c>
      <c r="AE225" s="231">
        <f t="shared" si="849"/>
        <v>378.44800000000032</v>
      </c>
      <c r="AF225" s="231">
        <f t="shared" si="849"/>
        <v>189.13299999999981</v>
      </c>
      <c r="AG225" s="231">
        <f t="shared" si="849"/>
        <v>-3.8260000000000001</v>
      </c>
      <c r="AH225" s="231">
        <f t="shared" si="849"/>
        <v>-3.9990000000000001</v>
      </c>
      <c r="AI225" s="231">
        <f t="shared" si="849"/>
        <v>-118.24100000000001</v>
      </c>
      <c r="AJ225" s="231">
        <f t="shared" si="849"/>
        <v>-18.615999999999975</v>
      </c>
      <c r="AK225" s="231">
        <f t="shared" si="849"/>
        <v>-638.79699999999991</v>
      </c>
      <c r="AL225" s="231">
        <f t="shared" si="849"/>
        <v>-2659.8310000000001</v>
      </c>
      <c r="AM225" s="231">
        <f t="shared" si="849"/>
        <v>-294.11699999999985</v>
      </c>
      <c r="AN225" s="231">
        <f t="shared" si="849"/>
        <v>-21.109000000000037</v>
      </c>
      <c r="AO225" s="231">
        <f t="shared" si="849"/>
        <v>-1472.67</v>
      </c>
      <c r="AP225" s="231">
        <f t="shared" si="849"/>
        <v>-1400.5630000000001</v>
      </c>
      <c r="AQ225" s="231">
        <f t="shared" si="849"/>
        <v>-4628.1059999999998</v>
      </c>
      <c r="AR225" s="231">
        <f t="shared" si="849"/>
        <v>-4151.7739999999994</v>
      </c>
      <c r="AS225" s="231">
        <f t="shared" si="849"/>
        <v>-35.145000000000003</v>
      </c>
      <c r="AT225" s="231">
        <f t="shared" si="849"/>
        <v>-66.584000000000003</v>
      </c>
      <c r="AU225" s="231">
        <f t="shared" si="849"/>
        <v>-6724.0059999999994</v>
      </c>
      <c r="AV225" s="231">
        <f t="shared" si="849"/>
        <v>25748.451000000001</v>
      </c>
      <c r="AW225" s="231">
        <f t="shared" si="849"/>
        <v>-4200.973</v>
      </c>
      <c r="AX225" s="231">
        <f t="shared" si="849"/>
        <v>-1030.9799999999996</v>
      </c>
      <c r="AY225" s="231">
        <f t="shared" si="849"/>
        <v>-1781.0080000000007</v>
      </c>
      <c r="AZ225" s="231">
        <f t="shared" si="849"/>
        <v>-426.04899999999998</v>
      </c>
      <c r="BA225" s="231">
        <f t="shared" si="849"/>
        <v>-4741.4139999999998</v>
      </c>
      <c r="BB225" s="231">
        <f t="shared" si="849"/>
        <v>-1771.9350000000004</v>
      </c>
      <c r="BC225" s="231">
        <f t="shared" si="849"/>
        <v>-1673.8559999999998</v>
      </c>
      <c r="BD225" s="231">
        <f t="shared" si="849"/>
        <v>-199.51800000000003</v>
      </c>
      <c r="BE225" s="231">
        <f t="shared" si="849"/>
        <v>-12.249000000000001</v>
      </c>
      <c r="BF225" s="231">
        <f t="shared" si="849"/>
        <v>-9923.7289999999994</v>
      </c>
      <c r="BG225" s="231">
        <f t="shared" si="849"/>
        <v>488.22199999999998</v>
      </c>
      <c r="BH225" s="231">
        <f t="shared" si="849"/>
        <v>-3694.6740000000009</v>
      </c>
      <c r="BI225" s="231">
        <f t="shared" ref="BI225" si="850">BI67</f>
        <v>42.487000000000002</v>
      </c>
      <c r="BJ225" s="231"/>
      <c r="BK225" s="54"/>
      <c r="BL225" s="54"/>
      <c r="BM225" s="54"/>
      <c r="BN225" s="54"/>
      <c r="BO225" s="54"/>
      <c r="BP225" s="54"/>
      <c r="BQ225" s="54" t="e">
        <f>#REF!-Y225-Z225-AA225</f>
        <v>#REF!</v>
      </c>
      <c r="BR225" s="54"/>
      <c r="BS225" s="54"/>
      <c r="BT225" s="46"/>
      <c r="BU225" s="46"/>
      <c r="BV225" s="54"/>
      <c r="BW225" s="54"/>
      <c r="BX225" s="54"/>
      <c r="BY225" s="46"/>
      <c r="BZ225" s="46"/>
      <c r="CA225" s="54"/>
      <c r="CB225" s="54"/>
      <c r="CC225" s="46"/>
      <c r="CD225" s="46"/>
      <c r="CE225" s="54"/>
      <c r="CF225" s="54"/>
      <c r="CG225" s="46"/>
      <c r="CH225" s="46"/>
      <c r="CI225" s="54"/>
    </row>
    <row r="226" spans="2:87" ht="13.5" customHeight="1">
      <c r="B226" s="1" t="s">
        <v>335</v>
      </c>
      <c r="C226" s="54">
        <f t="shared" ref="C226:S226" si="851">C68</f>
        <v>0</v>
      </c>
      <c r="D226" s="54">
        <f t="shared" si="851"/>
        <v>211.76300000000001</v>
      </c>
      <c r="E226" s="231">
        <f t="shared" si="851"/>
        <v>249</v>
      </c>
      <c r="F226" s="231">
        <f t="shared" si="851"/>
        <v>314.11099999999999</v>
      </c>
      <c r="G226" s="231">
        <f t="shared" si="851"/>
        <v>386.17200000000003</v>
      </c>
      <c r="H226" s="231">
        <f t="shared" si="851"/>
        <v>386.17200000000003</v>
      </c>
      <c r="I226" s="231">
        <f t="shared" si="851"/>
        <v>329.68</v>
      </c>
      <c r="J226" s="231">
        <f t="shared" si="851"/>
        <v>329.68</v>
      </c>
      <c r="K226" s="231">
        <f t="shared" si="851"/>
        <v>387.3</v>
      </c>
      <c r="L226" s="231">
        <f t="shared" si="851"/>
        <v>373.10500000000002</v>
      </c>
      <c r="M226" s="231">
        <f t="shared" si="851"/>
        <v>373.10500000000002</v>
      </c>
      <c r="N226" s="231">
        <f t="shared" si="851"/>
        <v>739.94399999999996</v>
      </c>
      <c r="O226" s="231">
        <f t="shared" si="851"/>
        <v>739.94399999999996</v>
      </c>
      <c r="P226" s="231">
        <f t="shared" si="851"/>
        <v>809.05799999999999</v>
      </c>
      <c r="Q226" s="231">
        <f t="shared" si="851"/>
        <v>923.66200000000003</v>
      </c>
      <c r="R226" s="231">
        <f t="shared" si="851"/>
        <v>897.15</v>
      </c>
      <c r="S226" s="231">
        <f t="shared" si="851"/>
        <v>809.83600000000001</v>
      </c>
      <c r="U226" s="231">
        <f t="shared" ref="U226:BH226" si="852">U68</f>
        <v>50.487000000000002</v>
      </c>
      <c r="V226" s="231">
        <f t="shared" si="852"/>
        <v>42.803999999999995</v>
      </c>
      <c r="W226" s="231">
        <f t="shared" si="852"/>
        <v>75.709000000000003</v>
      </c>
      <c r="X226" s="231">
        <f t="shared" si="852"/>
        <v>80</v>
      </c>
      <c r="Y226" s="231">
        <f t="shared" si="852"/>
        <v>56.892000000000003</v>
      </c>
      <c r="Z226" s="231">
        <f t="shared" si="852"/>
        <v>93.875</v>
      </c>
      <c r="AA226" s="231">
        <f t="shared" si="852"/>
        <v>40.232999999999997</v>
      </c>
      <c r="AB226" s="231">
        <f t="shared" si="852"/>
        <v>123.11099999999999</v>
      </c>
      <c r="AC226" s="231">
        <f t="shared" si="852"/>
        <v>78.489000000000004</v>
      </c>
      <c r="AD226" s="231">
        <f t="shared" si="852"/>
        <v>92.777999999999992</v>
      </c>
      <c r="AE226" s="231">
        <f t="shared" si="852"/>
        <v>100.30500000000001</v>
      </c>
      <c r="AF226" s="231">
        <f t="shared" si="852"/>
        <v>114.60000000000002</v>
      </c>
      <c r="AG226" s="231">
        <f t="shared" si="852"/>
        <v>83.632000000000005</v>
      </c>
      <c r="AH226" s="231">
        <f t="shared" si="852"/>
        <v>-83.632000000000005</v>
      </c>
      <c r="AI226" s="231">
        <f t="shared" si="852"/>
        <v>302.29899999999998</v>
      </c>
      <c r="AJ226" s="231">
        <f t="shared" si="852"/>
        <v>27.381000000000029</v>
      </c>
      <c r="AK226" s="231">
        <f t="shared" si="852"/>
        <v>108.07899999999999</v>
      </c>
      <c r="AL226" s="231">
        <f t="shared" si="852"/>
        <v>70.741</v>
      </c>
      <c r="AM226" s="231">
        <f t="shared" si="852"/>
        <v>171.15199999999999</v>
      </c>
      <c r="AN226" s="231">
        <f t="shared" si="852"/>
        <v>37.328000000000046</v>
      </c>
      <c r="AO226" s="231">
        <f t="shared" si="852"/>
        <v>78.611999999999995</v>
      </c>
      <c r="AP226" s="231">
        <f t="shared" si="852"/>
        <v>82.216000000000008</v>
      </c>
      <c r="AQ226" s="231">
        <f t="shared" si="852"/>
        <v>114.56399999999999</v>
      </c>
      <c r="AR226" s="231">
        <f t="shared" si="852"/>
        <v>97.713000000000051</v>
      </c>
      <c r="AS226" s="231">
        <f t="shared" si="852"/>
        <v>440.49400000000003</v>
      </c>
      <c r="AT226" s="231">
        <f t="shared" si="852"/>
        <v>437.42200000000003</v>
      </c>
      <c r="AU226" s="231">
        <f t="shared" si="852"/>
        <v>293.85599999999988</v>
      </c>
      <c r="AV226" s="231">
        <f t="shared" si="852"/>
        <v>-431.82799999999997</v>
      </c>
      <c r="AW226" s="231">
        <f t="shared" si="852"/>
        <v>177.81800000000001</v>
      </c>
      <c r="AX226" s="231">
        <f t="shared" si="852"/>
        <v>147.53</v>
      </c>
      <c r="AY226" s="231">
        <f t="shared" si="852"/>
        <v>116.53499999999994</v>
      </c>
      <c r="AZ226" s="231">
        <f t="shared" si="852"/>
        <v>367.17500000000007</v>
      </c>
      <c r="BA226" s="231">
        <f t="shared" si="852"/>
        <v>588.87</v>
      </c>
      <c r="BB226" s="231">
        <f t="shared" si="852"/>
        <v>10.774999999999977</v>
      </c>
      <c r="BC226" s="231">
        <f t="shared" si="852"/>
        <v>198.66899999999998</v>
      </c>
      <c r="BD226" s="231">
        <f t="shared" si="852"/>
        <v>125.34800000000007</v>
      </c>
      <c r="BE226" s="231">
        <f t="shared" si="852"/>
        <v>204.97</v>
      </c>
      <c r="BF226" s="231">
        <f t="shared" si="852"/>
        <v>232.64000000000001</v>
      </c>
      <c r="BG226" s="231">
        <f t="shared" si="852"/>
        <v>125.78599999999997</v>
      </c>
      <c r="BH226" s="231">
        <f t="shared" si="852"/>
        <v>333.75400000000002</v>
      </c>
      <c r="BI226" s="231">
        <f t="shared" ref="BI226" si="853">BI68</f>
        <v>117.65600000000001</v>
      </c>
      <c r="BJ226" s="231"/>
      <c r="BK226" s="54"/>
      <c r="BL226" s="54"/>
      <c r="BM226" s="54"/>
      <c r="BN226" s="54"/>
      <c r="BO226" s="54"/>
      <c r="BP226" s="54"/>
      <c r="BQ226" s="54" t="e">
        <f>#REF!-Y226-Z226-AA226</f>
        <v>#REF!</v>
      </c>
      <c r="BR226" s="54"/>
      <c r="BS226" s="54"/>
      <c r="BT226" s="46"/>
      <c r="BU226" s="46"/>
      <c r="BV226" s="54"/>
      <c r="BW226" s="54"/>
      <c r="BX226" s="54"/>
      <c r="BY226" s="46"/>
      <c r="BZ226" s="46"/>
      <c r="CA226" s="54"/>
      <c r="CB226" s="54"/>
      <c r="CC226" s="46"/>
      <c r="CD226" s="46"/>
      <c r="CE226" s="54"/>
      <c r="CF226" s="54"/>
      <c r="CG226" s="46"/>
      <c r="CH226" s="46"/>
      <c r="CI226" s="54"/>
    </row>
    <row r="227" spans="2:87" ht="13.5" customHeight="1" thickBot="1">
      <c r="B227" s="51" t="s">
        <v>336</v>
      </c>
      <c r="C227" s="72">
        <f t="shared" ref="C227:S227" si="854">C69</f>
        <v>0</v>
      </c>
      <c r="D227" s="72">
        <f t="shared" si="854"/>
        <v>0</v>
      </c>
      <c r="E227" s="234">
        <f t="shared" si="854"/>
        <v>-379</v>
      </c>
      <c r="F227" s="234">
        <f t="shared" si="854"/>
        <v>0</v>
      </c>
      <c r="G227" s="234">
        <f t="shared" si="854"/>
        <v>42.484999999999999</v>
      </c>
      <c r="H227" s="234">
        <f t="shared" si="854"/>
        <v>232</v>
      </c>
      <c r="I227" s="234">
        <f t="shared" si="854"/>
        <v>19.100000000000001</v>
      </c>
      <c r="J227" s="234">
        <f t="shared" si="854"/>
        <v>89.02</v>
      </c>
      <c r="K227" s="234">
        <f t="shared" si="854"/>
        <v>0</v>
      </c>
      <c r="L227" s="234">
        <f t="shared" si="854"/>
        <v>0</v>
      </c>
      <c r="M227" s="234">
        <f t="shared" si="854"/>
        <v>0</v>
      </c>
      <c r="N227" s="234">
        <f t="shared" si="854"/>
        <v>0</v>
      </c>
      <c r="O227" s="234">
        <f t="shared" si="854"/>
        <v>0</v>
      </c>
      <c r="P227" s="234">
        <f t="shared" si="854"/>
        <v>0</v>
      </c>
      <c r="Q227" s="234">
        <f t="shared" si="854"/>
        <v>0</v>
      </c>
      <c r="R227" s="234">
        <f t="shared" si="854"/>
        <v>0</v>
      </c>
      <c r="S227" s="234">
        <f t="shared" si="854"/>
        <v>0</v>
      </c>
      <c r="U227" s="234">
        <f t="shared" ref="U227:BH227" si="855">U69</f>
        <v>0</v>
      </c>
      <c r="V227" s="234">
        <f t="shared" si="855"/>
        <v>0</v>
      </c>
      <c r="W227" s="234">
        <f t="shared" si="855"/>
        <v>0</v>
      </c>
      <c r="X227" s="234">
        <f t="shared" si="855"/>
        <v>-379</v>
      </c>
      <c r="Y227" s="234">
        <f t="shared" si="855"/>
        <v>0</v>
      </c>
      <c r="Z227" s="234">
        <f t="shared" si="855"/>
        <v>0</v>
      </c>
      <c r="AA227" s="234">
        <f t="shared" si="855"/>
        <v>0</v>
      </c>
      <c r="AB227" s="234">
        <f t="shared" si="855"/>
        <v>0</v>
      </c>
      <c r="AC227" s="234">
        <f t="shared" si="855"/>
        <v>0</v>
      </c>
      <c r="AD227" s="234">
        <f t="shared" si="855"/>
        <v>144.52799999999999</v>
      </c>
      <c r="AE227" s="234">
        <f t="shared" si="855"/>
        <v>439.96400000000006</v>
      </c>
      <c r="AF227" s="234">
        <f t="shared" si="855"/>
        <v>-542.00700000000006</v>
      </c>
      <c r="AG227" s="234">
        <f t="shared" si="855"/>
        <v>129.81800000000001</v>
      </c>
      <c r="AH227" s="234">
        <f t="shared" si="855"/>
        <v>-131.09</v>
      </c>
      <c r="AI227" s="234">
        <f t="shared" si="855"/>
        <v>-118.498</v>
      </c>
      <c r="AJ227" s="234">
        <f t="shared" si="855"/>
        <v>138.86999999999998</v>
      </c>
      <c r="AK227" s="234">
        <f t="shared" si="855"/>
        <v>-73.66</v>
      </c>
      <c r="AL227" s="234">
        <f t="shared" si="855"/>
        <v>-35.487000000000009</v>
      </c>
      <c r="AM227" s="234">
        <f t="shared" si="855"/>
        <v>92.961000000000013</v>
      </c>
      <c r="AN227" s="234">
        <f t="shared" si="855"/>
        <v>16.185999999999993</v>
      </c>
      <c r="AO227" s="234">
        <f t="shared" si="855"/>
        <v>-145.40600000000001</v>
      </c>
      <c r="AP227" s="234">
        <f t="shared" si="855"/>
        <v>-327.185</v>
      </c>
      <c r="AQ227" s="234">
        <f t="shared" si="855"/>
        <v>-408.18900000000002</v>
      </c>
      <c r="AR227" s="234">
        <f t="shared" si="855"/>
        <v>880.78</v>
      </c>
      <c r="AS227" s="234">
        <f t="shared" si="855"/>
        <v>0</v>
      </c>
      <c r="AT227" s="234">
        <f t="shared" si="855"/>
        <v>-332.964</v>
      </c>
      <c r="AU227" s="234">
        <f t="shared" si="855"/>
        <v>-1182.789</v>
      </c>
      <c r="AV227" s="234">
        <f t="shared" si="855"/>
        <v>1515.7529999999999</v>
      </c>
      <c r="AW227" s="234">
        <f t="shared" si="855"/>
        <v>0</v>
      </c>
      <c r="AX227" s="234">
        <f t="shared" si="855"/>
        <v>59.154000000000003</v>
      </c>
      <c r="AY227" s="234">
        <f t="shared" si="855"/>
        <v>26.802</v>
      </c>
      <c r="AZ227" s="234">
        <f t="shared" si="855"/>
        <v>-85.956000000000003</v>
      </c>
      <c r="BA227" s="234">
        <f t="shared" si="855"/>
        <v>0</v>
      </c>
      <c r="BB227" s="234">
        <f t="shared" si="855"/>
        <v>90</v>
      </c>
      <c r="BC227" s="234">
        <f t="shared" si="855"/>
        <v>21</v>
      </c>
      <c r="BD227" s="234">
        <f t="shared" si="855"/>
        <v>-111</v>
      </c>
      <c r="BE227" s="234">
        <f t="shared" si="855"/>
        <v>0</v>
      </c>
      <c r="BF227" s="234">
        <f t="shared" si="855"/>
        <v>0</v>
      </c>
      <c r="BG227" s="234">
        <f t="shared" si="855"/>
        <v>0</v>
      </c>
      <c r="BH227" s="234">
        <f t="shared" si="855"/>
        <v>0</v>
      </c>
      <c r="BI227" s="234">
        <f t="shared" ref="BI227" si="856">BI69</f>
        <v>0</v>
      </c>
      <c r="BJ227" s="231"/>
      <c r="BK227" s="54"/>
      <c r="BL227" s="54"/>
      <c r="BM227" s="54"/>
      <c r="BN227" s="54"/>
      <c r="BO227" s="54"/>
      <c r="BP227" s="54"/>
      <c r="BQ227" s="72" t="e">
        <f>#REF!-Y227-Z227-AA227</f>
        <v>#REF!</v>
      </c>
      <c r="BR227" s="54"/>
      <c r="BS227" s="54"/>
      <c r="BT227" s="46"/>
      <c r="BU227" s="46"/>
      <c r="BV227" s="54"/>
      <c r="BW227" s="54"/>
      <c r="BX227" s="54"/>
      <c r="BY227" s="46"/>
      <c r="BZ227" s="46"/>
      <c r="CA227" s="54"/>
      <c r="CB227" s="54"/>
      <c r="CC227" s="46"/>
      <c r="CD227" s="46"/>
      <c r="CE227" s="54"/>
      <c r="CF227" s="54"/>
      <c r="CG227" s="46"/>
      <c r="CH227" s="46"/>
      <c r="CI227" s="54"/>
    </row>
    <row r="228" spans="2:87" ht="13.5" customHeight="1" thickTop="1" thickBot="1">
      <c r="B228" s="59" t="s">
        <v>337</v>
      </c>
      <c r="C228" s="55">
        <f>SUM(C222:C227)</f>
        <v>-18715.557000000001</v>
      </c>
      <c r="D228" s="55">
        <f t="shared" ref="D228:AA228" si="857">SUM(D222:D227)</f>
        <v>5556.8330000000024</v>
      </c>
      <c r="E228" s="233">
        <f t="shared" si="857"/>
        <v>922.58699999999953</v>
      </c>
      <c r="F228" s="233">
        <f t="shared" ref="F228:K228" si="858">SUM(F222:F227)</f>
        <v>-3494.0410000000038</v>
      </c>
      <c r="G228" s="233">
        <f t="shared" si="858"/>
        <v>1684.6830000000052</v>
      </c>
      <c r="H228" s="233">
        <f t="shared" si="858"/>
        <v>-171.77399999999898</v>
      </c>
      <c r="I228" s="233">
        <f t="shared" si="858"/>
        <v>12971.690000000002</v>
      </c>
      <c r="J228" s="233">
        <f t="shared" si="858"/>
        <v>17533.316000000003</v>
      </c>
      <c r="K228" s="233">
        <f t="shared" si="858"/>
        <v>17817.888000000003</v>
      </c>
      <c r="L228" s="233">
        <f t="shared" ref="L228:N228" si="859">SUM(L222:L227)</f>
        <v>5582.108000000002</v>
      </c>
      <c r="M228" s="233">
        <f t="shared" ref="M228" si="860">SUM(M222:M227)</f>
        <v>3272.8670000000025</v>
      </c>
      <c r="N228" s="233">
        <f t="shared" si="859"/>
        <v>26470.794999999998</v>
      </c>
      <c r="O228" s="233">
        <f t="shared" ref="O228" si="861">SUM(O222:O227)</f>
        <v>23111.336000000003</v>
      </c>
      <c r="P228" s="233">
        <f>SUM(P222:P227)</f>
        <v>-19674.722999999994</v>
      </c>
      <c r="Q228" s="233">
        <f>SUM(Q222:Q227)</f>
        <v>-8077.5109999999931</v>
      </c>
      <c r="R228" s="233">
        <f>SUM(R222:R227)</f>
        <v>-2117.1879999999996</v>
      </c>
      <c r="S228" s="233">
        <f t="shared" ref="S228" si="862">SUM(S222:S227)</f>
        <v>6175.9850000000069</v>
      </c>
      <c r="U228" s="233">
        <f t="shared" si="857"/>
        <v>479.68200000000019</v>
      </c>
      <c r="V228" s="233">
        <f t="shared" si="857"/>
        <v>-455.15200000000027</v>
      </c>
      <c r="W228" s="233">
        <f t="shared" si="857"/>
        <v>-1436.5300000000013</v>
      </c>
      <c r="X228" s="233">
        <f t="shared" si="857"/>
        <v>2334.5870000000009</v>
      </c>
      <c r="Y228" s="233">
        <f t="shared" si="857"/>
        <v>-460.0750000000001</v>
      </c>
      <c r="Z228" s="233">
        <f t="shared" si="857"/>
        <v>1826.6870000000001</v>
      </c>
      <c r="AA228" s="233">
        <f t="shared" si="857"/>
        <v>1240.3879999999986</v>
      </c>
      <c r="AB228" s="233">
        <f t="shared" ref="AB228:AH228" si="863">SUM(AB222:AB227)</f>
        <v>-6101.0410000000038</v>
      </c>
      <c r="AC228" s="233">
        <f t="shared" si="863"/>
        <v>-2684.3409999999994</v>
      </c>
      <c r="AD228" s="233">
        <f t="shared" si="863"/>
        <v>-2778.2810000000009</v>
      </c>
      <c r="AE228" s="233">
        <f t="shared" si="863"/>
        <v>2030.8789999999981</v>
      </c>
      <c r="AF228" s="233">
        <f t="shared" si="863"/>
        <v>5116.4260000000049</v>
      </c>
      <c r="AG228" s="233">
        <f t="shared" si="863"/>
        <v>919.8959999999995</v>
      </c>
      <c r="AH228" s="233">
        <f t="shared" si="863"/>
        <v>4740.8250000000007</v>
      </c>
      <c r="AI228" s="233">
        <f t="shared" ref="AI228:AN228" si="864">SUM(AI222:AI227)</f>
        <v>6115.3820000000014</v>
      </c>
      <c r="AJ228" s="233">
        <f t="shared" si="864"/>
        <v>5642.5870000000004</v>
      </c>
      <c r="AK228" s="233">
        <f t="shared" si="864"/>
        <v>1955.8290000000002</v>
      </c>
      <c r="AL228" s="233">
        <f t="shared" si="864"/>
        <v>2052.8359999999966</v>
      </c>
      <c r="AM228" s="233">
        <f t="shared" si="864"/>
        <v>5664.4590000000017</v>
      </c>
      <c r="AN228" s="233">
        <f t="shared" si="864"/>
        <v>8144.7640000000029</v>
      </c>
      <c r="AO228" s="233">
        <f>SUM(AO222:AO227)</f>
        <v>2452.9649999999992</v>
      </c>
      <c r="AP228" s="233">
        <f>SUM(AP222:AP227)</f>
        <v>1791.8179999999993</v>
      </c>
      <c r="AQ228" s="233">
        <f>SUM(AQ222:AQ227)</f>
        <v>-649.64700000000175</v>
      </c>
      <c r="AR228" s="233">
        <f t="shared" ref="AR228" si="865">SUM(AR222:AR227)</f>
        <v>-322.26899999999887</v>
      </c>
      <c r="AS228" s="233">
        <f>SUM(AS222:AS227)</f>
        <v>1368.6320000000005</v>
      </c>
      <c r="AT228" s="233">
        <f>SUM(AT222:AT227)</f>
        <v>5023.9560000000019</v>
      </c>
      <c r="AU228" s="233">
        <f>SUM(AU222:AU227)</f>
        <v>-5264.9210000000012</v>
      </c>
      <c r="AV228" s="233">
        <f t="shared" ref="AV228" si="866">SUM(AV222:AV227)</f>
        <v>25343.128000000004</v>
      </c>
      <c r="AW228" s="233">
        <f>SUM(AW222:AW227)</f>
        <v>-9207.6650000000009</v>
      </c>
      <c r="AX228" s="233">
        <f>SUM(AX222:AX227)</f>
        <v>-5831.6479999999974</v>
      </c>
      <c r="AY228" s="233">
        <f>SUM(AY222:AY227)</f>
        <v>-1026.5180000000021</v>
      </c>
      <c r="AZ228" s="233">
        <f t="shared" ref="AZ228" si="867">SUM(AZ222:AZ227)</f>
        <v>-3608.8920000000007</v>
      </c>
      <c r="BA228" s="233">
        <f>SUM(BA222:BA227)</f>
        <v>-3180.5820000000012</v>
      </c>
      <c r="BB228" s="233">
        <f>SUM(BB222:BB227)</f>
        <v>-3962.8500000000004</v>
      </c>
      <c r="BC228" s="233">
        <f>SUM(BC222:BC227)</f>
        <v>-407.16099999999904</v>
      </c>
      <c r="BD228" s="233">
        <f t="shared" ref="BD228" si="868">SUM(BD222:BD227)</f>
        <v>-526.91799999999853</v>
      </c>
      <c r="BE228" s="233">
        <f>SUM(BE222:BE227)</f>
        <v>1211.8369999999979</v>
      </c>
      <c r="BF228" s="233">
        <f>SUM(BF222:BF227)</f>
        <v>-6430.1449999999995</v>
      </c>
      <c r="BG228" s="233">
        <f>SUM(BG222:BG227)</f>
        <v>6121.6710000000021</v>
      </c>
      <c r="BH228" s="233">
        <f>SUM(BH222:BH227)</f>
        <v>-3020.5509999999954</v>
      </c>
      <c r="BI228" s="233">
        <f>SUM(BI222:BI227)</f>
        <v>9505.0099999999984</v>
      </c>
      <c r="BJ228" s="291"/>
      <c r="BK228" s="196"/>
      <c r="BL228" s="196"/>
      <c r="BM228" s="196"/>
      <c r="BN228" s="196"/>
      <c r="BO228" s="196"/>
      <c r="BP228" s="196"/>
      <c r="BQ228" s="55" t="e">
        <f>SUM(BQ222:BQ227)</f>
        <v>#REF!</v>
      </c>
      <c r="BR228" s="196"/>
      <c r="BS228" s="196"/>
      <c r="BT228" s="46"/>
      <c r="BU228" s="46"/>
      <c r="BV228" s="196"/>
      <c r="BW228" s="196"/>
      <c r="BX228" s="196"/>
      <c r="BY228" s="46"/>
      <c r="BZ228" s="46"/>
      <c r="CA228" s="196"/>
      <c r="CB228" s="196"/>
      <c r="CC228" s="46"/>
      <c r="CD228" s="46"/>
      <c r="CE228" s="196"/>
      <c r="CF228" s="196"/>
      <c r="CG228" s="46"/>
      <c r="CH228" s="46"/>
      <c r="CI228" s="196"/>
    </row>
    <row r="229" spans="2:87" ht="13.5" customHeight="1" thickTop="1">
      <c r="B229" s="1" t="s">
        <v>339</v>
      </c>
      <c r="C229" s="54">
        <f t="shared" ref="C229:Q229" si="869">C72</f>
        <v>11922.619999999999</v>
      </c>
      <c r="D229" s="54">
        <f t="shared" si="869"/>
        <v>1</v>
      </c>
      <c r="E229" s="231">
        <f t="shared" si="869"/>
        <v>0</v>
      </c>
      <c r="F229" s="231">
        <f t="shared" si="869"/>
        <v>-57.118000000000002</v>
      </c>
      <c r="G229" s="231">
        <f t="shared" si="869"/>
        <v>7878.4240000000009</v>
      </c>
      <c r="H229" s="231">
        <f t="shared" si="869"/>
        <v>7878.4240000000009</v>
      </c>
      <c r="I229" s="231">
        <f t="shared" si="869"/>
        <v>-1747.684</v>
      </c>
      <c r="J229" s="231">
        <f t="shared" si="869"/>
        <v>-1747.684</v>
      </c>
      <c r="K229" s="231">
        <f t="shared" si="869"/>
        <v>-3739.7849999999999</v>
      </c>
      <c r="L229" s="231">
        <f t="shared" si="869"/>
        <v>-1900.732</v>
      </c>
      <c r="M229" s="231">
        <f t="shared" si="869"/>
        <v>-1900.732</v>
      </c>
      <c r="N229" s="231">
        <f t="shared" si="869"/>
        <v>-2568.0790000000002</v>
      </c>
      <c r="O229" s="231">
        <f t="shared" si="869"/>
        <v>-2568.0790000000002</v>
      </c>
      <c r="P229" s="231">
        <f t="shared" si="869"/>
        <v>-3586.3449999999998</v>
      </c>
      <c r="Q229" s="231">
        <f t="shared" si="869"/>
        <v>-4432.2420000000002</v>
      </c>
      <c r="R229" s="231">
        <f t="shared" ref="R229" si="870">R72</f>
        <v>-1253.184</v>
      </c>
      <c r="S229" s="231">
        <f>S72</f>
        <v>-654.94799999999998</v>
      </c>
      <c r="U229" s="231">
        <f t="shared" ref="U229:BG229" si="871">U72</f>
        <v>-0.11700000000000001</v>
      </c>
      <c r="V229" s="231">
        <f t="shared" si="871"/>
        <v>-8.2000000000000003E-2</v>
      </c>
      <c r="W229" s="231">
        <f t="shared" si="871"/>
        <v>0.19900000000000001</v>
      </c>
      <c r="X229" s="231">
        <f t="shared" si="871"/>
        <v>0</v>
      </c>
      <c r="Y229" s="231">
        <f t="shared" si="871"/>
        <v>-8.4649999999999999</v>
      </c>
      <c r="Z229" s="231">
        <f t="shared" si="871"/>
        <v>0.75300000000000011</v>
      </c>
      <c r="AA229" s="231">
        <f t="shared" si="871"/>
        <v>7.7119999999999997</v>
      </c>
      <c r="AB229" s="231">
        <f t="shared" si="871"/>
        <v>-57.118000000000002</v>
      </c>
      <c r="AC229" s="231">
        <f t="shared" si="871"/>
        <v>-14.48</v>
      </c>
      <c r="AD229" s="231">
        <f t="shared" si="871"/>
        <v>-258.59699999999998</v>
      </c>
      <c r="AE229" s="231">
        <f t="shared" si="871"/>
        <v>-693.62599999999998</v>
      </c>
      <c r="AF229" s="231">
        <f t="shared" si="871"/>
        <v>8845.1270000000004</v>
      </c>
      <c r="AG229" s="231">
        <f t="shared" si="871"/>
        <v>0</v>
      </c>
      <c r="AH229" s="231">
        <f t="shared" si="871"/>
        <v>-355.00900000000001</v>
      </c>
      <c r="AI229" s="231">
        <f t="shared" si="871"/>
        <v>-1391.9749999999999</v>
      </c>
      <c r="AJ229" s="231">
        <f t="shared" si="871"/>
        <v>-0.70000000000004547</v>
      </c>
      <c r="AK229" s="231">
        <f t="shared" si="871"/>
        <v>-1458.2670000000001</v>
      </c>
      <c r="AL229" s="231">
        <f t="shared" si="871"/>
        <v>-1648.1670000000001</v>
      </c>
      <c r="AM229" s="231">
        <f t="shared" si="871"/>
        <v>-841.81499999999971</v>
      </c>
      <c r="AN229" s="231">
        <f t="shared" si="871"/>
        <v>208.46399999999994</v>
      </c>
      <c r="AO229" s="231">
        <f t="shared" si="871"/>
        <v>0</v>
      </c>
      <c r="AP229" s="231">
        <f t="shared" si="871"/>
        <v>-1777.12</v>
      </c>
      <c r="AQ229" s="231">
        <f t="shared" si="871"/>
        <v>-123.61200000000008</v>
      </c>
      <c r="AR229" s="231">
        <f t="shared" si="871"/>
        <v>0</v>
      </c>
      <c r="AS229" s="231">
        <f t="shared" si="871"/>
        <v>0</v>
      </c>
      <c r="AT229" s="231">
        <f t="shared" si="871"/>
        <v>-2461.306</v>
      </c>
      <c r="AU229" s="231">
        <f t="shared" si="871"/>
        <v>-106.77300000000014</v>
      </c>
      <c r="AV229" s="231">
        <f t="shared" si="871"/>
        <v>0</v>
      </c>
      <c r="AW229" s="231">
        <f t="shared" si="871"/>
        <v>-13.907999999999999</v>
      </c>
      <c r="AX229" s="231">
        <f t="shared" si="871"/>
        <v>-301.27600000000001</v>
      </c>
      <c r="AY229" s="231">
        <f t="shared" si="871"/>
        <v>-2464.5720000000001</v>
      </c>
      <c r="AZ229" s="231">
        <f t="shared" si="871"/>
        <v>-806.5889999999996</v>
      </c>
      <c r="BA229" s="231">
        <f t="shared" si="871"/>
        <v>-268.57400000000001</v>
      </c>
      <c r="BB229" s="231">
        <f t="shared" si="871"/>
        <v>-2558.9389999999999</v>
      </c>
      <c r="BC229" s="231">
        <f t="shared" si="871"/>
        <v>-981.76499999999987</v>
      </c>
      <c r="BD229" s="231">
        <f t="shared" si="871"/>
        <v>-622.9640000000004</v>
      </c>
      <c r="BE229" s="231">
        <f t="shared" si="871"/>
        <v>-647.20600000000002</v>
      </c>
      <c r="BF229" s="231">
        <f t="shared" si="871"/>
        <v>-536.73699999999997</v>
      </c>
      <c r="BG229" s="231">
        <f t="shared" si="871"/>
        <v>-69.240999999999985</v>
      </c>
      <c r="BH229" s="231">
        <f t="shared" ref="BH229:BI229" si="872">BH72</f>
        <v>0</v>
      </c>
      <c r="BI229" s="231">
        <f t="shared" si="872"/>
        <v>-48.97</v>
      </c>
      <c r="BJ229" s="231"/>
      <c r="BK229" s="54"/>
      <c r="BL229" s="54"/>
      <c r="BM229" s="54"/>
      <c r="BN229" s="54"/>
      <c r="BO229" s="54"/>
      <c r="BP229" s="54"/>
      <c r="BQ229" s="54" t="e">
        <f>#REF!-Y229-Z229-AA229</f>
        <v>#REF!</v>
      </c>
      <c r="BR229" s="54"/>
      <c r="BS229" s="54"/>
      <c r="BT229" s="46"/>
      <c r="BU229" s="46"/>
      <c r="BV229" s="54"/>
      <c r="BW229" s="54"/>
      <c r="BX229" s="54"/>
      <c r="BY229" s="46"/>
      <c r="BZ229" s="46"/>
      <c r="CA229" s="54"/>
      <c r="CB229" s="54"/>
      <c r="CC229" s="46"/>
      <c r="CD229" s="46"/>
      <c r="CE229" s="54"/>
      <c r="CF229" s="54"/>
      <c r="CG229" s="46"/>
      <c r="CH229" s="46"/>
      <c r="CI229" s="54"/>
    </row>
    <row r="230" spans="2:87" ht="13.5" customHeight="1">
      <c r="B230" s="1" t="s">
        <v>404</v>
      </c>
      <c r="C230" s="54"/>
      <c r="D230" s="54"/>
      <c r="E230" s="231"/>
      <c r="F230" s="231"/>
      <c r="G230" s="231"/>
      <c r="H230" s="231"/>
      <c r="I230" s="231"/>
      <c r="J230" s="231"/>
      <c r="K230" s="231"/>
      <c r="L230" s="231"/>
      <c r="M230" s="231"/>
      <c r="N230" s="231"/>
      <c r="O230" s="231"/>
      <c r="P230" s="231"/>
      <c r="Q230" s="231"/>
      <c r="R230" s="231"/>
      <c r="S230" s="231"/>
      <c r="U230" s="231"/>
      <c r="V230" s="231"/>
      <c r="W230" s="231"/>
      <c r="X230" s="231"/>
      <c r="Y230" s="231"/>
      <c r="Z230" s="231"/>
      <c r="AA230" s="231"/>
      <c r="AB230" s="231"/>
      <c r="AC230" s="231"/>
      <c r="AD230" s="231">
        <f t="shared" ref="AD230:AF234" si="873">AD73</f>
        <v>8986.1180000000004</v>
      </c>
      <c r="AE230" s="231">
        <f t="shared" si="873"/>
        <v>-147.21800000000076</v>
      </c>
      <c r="AF230" s="231">
        <f t="shared" si="873"/>
        <v>-8838.9</v>
      </c>
      <c r="AG230" s="231"/>
      <c r="AH230" s="231"/>
      <c r="AI230" s="231"/>
      <c r="AJ230" s="231"/>
      <c r="AK230" s="231"/>
      <c r="AL230" s="231"/>
      <c r="AN230" s="231"/>
      <c r="AO230" s="231"/>
      <c r="AP230" s="231"/>
      <c r="AQ230" s="231"/>
      <c r="AR230" s="231"/>
      <c r="AS230" s="231"/>
      <c r="AT230" s="231"/>
      <c r="AU230" s="231"/>
      <c r="AV230" s="231"/>
      <c r="AW230" s="231"/>
      <c r="AX230" s="231"/>
      <c r="AY230" s="231"/>
      <c r="AZ230" s="231"/>
      <c r="BA230" s="231"/>
      <c r="BB230" s="231"/>
      <c r="BC230" s="231"/>
      <c r="BD230" s="231"/>
      <c r="BE230" s="231"/>
      <c r="BF230" s="231"/>
      <c r="BG230" s="231"/>
      <c r="BH230" s="231"/>
      <c r="BI230" s="231"/>
      <c r="BJ230" s="231"/>
      <c r="BK230" s="54"/>
      <c r="BL230" s="54"/>
      <c r="BM230" s="54"/>
      <c r="BN230" s="54"/>
      <c r="BO230" s="54"/>
      <c r="BP230" s="54"/>
      <c r="BQ230" s="54"/>
      <c r="BR230" s="54"/>
      <c r="BS230" s="54"/>
      <c r="BT230" s="46"/>
      <c r="BU230" s="46"/>
      <c r="BV230" s="54"/>
      <c r="BW230" s="54"/>
      <c r="BX230" s="54"/>
      <c r="BY230" s="46"/>
      <c r="BZ230" s="46"/>
      <c r="CA230" s="54"/>
      <c r="CB230" s="54"/>
      <c r="CC230" s="46"/>
      <c r="CD230" s="46"/>
      <c r="CE230" s="54"/>
      <c r="CF230" s="54"/>
      <c r="CG230" s="46"/>
      <c r="CH230" s="46"/>
      <c r="CI230" s="54"/>
    </row>
    <row r="231" spans="2:87" s="5" customFormat="1" ht="13.5" customHeight="1">
      <c r="B231" s="1" t="s">
        <v>405</v>
      </c>
      <c r="C231" s="54">
        <f t="shared" ref="C231:Q231" si="874">C74</f>
        <v>0</v>
      </c>
      <c r="D231" s="54">
        <f t="shared" si="874"/>
        <v>0</v>
      </c>
      <c r="E231" s="231">
        <f t="shared" si="874"/>
        <v>-1128.768</v>
      </c>
      <c r="F231" s="231">
        <f t="shared" si="874"/>
        <v>-1363.9280000000001</v>
      </c>
      <c r="G231" s="231">
        <f t="shared" si="874"/>
        <v>-1793.338</v>
      </c>
      <c r="H231" s="231">
        <f t="shared" si="874"/>
        <v>-1707.5150000000001</v>
      </c>
      <c r="I231" s="231">
        <f t="shared" si="874"/>
        <v>-2624.2370000000001</v>
      </c>
      <c r="J231" s="231">
        <f t="shared" si="874"/>
        <v>-2624.2370000000001</v>
      </c>
      <c r="K231" s="231">
        <f t="shared" si="874"/>
        <v>-2987.5439999999999</v>
      </c>
      <c r="L231" s="231">
        <f t="shared" si="874"/>
        <v>-5197.4859999999999</v>
      </c>
      <c r="M231" s="231">
        <f t="shared" si="874"/>
        <v>-5197.4859999999999</v>
      </c>
      <c r="N231" s="231">
        <f t="shared" si="874"/>
        <v>-6458.8019999999997</v>
      </c>
      <c r="O231" s="231">
        <f t="shared" si="874"/>
        <v>-5579.8019999999997</v>
      </c>
      <c r="P231" s="231">
        <f t="shared" si="874"/>
        <v>-3960.2710000000002</v>
      </c>
      <c r="Q231" s="231">
        <f t="shared" si="874"/>
        <v>-4234.0050000000001</v>
      </c>
      <c r="R231" s="231">
        <f t="shared" ref="R231" si="875">R74</f>
        <v>-4450.5659999999998</v>
      </c>
      <c r="S231" s="231">
        <f>S74</f>
        <v>-4463.5659999999998</v>
      </c>
      <c r="U231" s="231">
        <f t="shared" ref="U231:AC231" si="876">U74</f>
        <v>0</v>
      </c>
      <c r="V231" s="231">
        <f t="shared" si="876"/>
        <v>-1128.768</v>
      </c>
      <c r="W231" s="231">
        <f t="shared" si="876"/>
        <v>-19.231999999999971</v>
      </c>
      <c r="X231" s="231">
        <f t="shared" si="876"/>
        <v>19.231999999999971</v>
      </c>
      <c r="Y231" s="231">
        <f t="shared" si="876"/>
        <v>0</v>
      </c>
      <c r="Z231" s="231">
        <f t="shared" si="876"/>
        <v>-1363.9280000000001</v>
      </c>
      <c r="AA231" s="231">
        <f t="shared" si="876"/>
        <v>-22.071999999999889</v>
      </c>
      <c r="AB231" s="231">
        <f t="shared" si="876"/>
        <v>22.071999999999889</v>
      </c>
      <c r="AC231" s="231">
        <f t="shared" si="876"/>
        <v>0</v>
      </c>
      <c r="AD231" s="231">
        <f t="shared" si="873"/>
        <v>-1626.8509999999999</v>
      </c>
      <c r="AE231" s="231">
        <f t="shared" si="873"/>
        <v>4.2100000000000364</v>
      </c>
      <c r="AF231" s="231">
        <f t="shared" si="873"/>
        <v>-170.69700000000012</v>
      </c>
      <c r="AG231" s="231">
        <f t="shared" ref="AG231:BG231" si="877">AG74</f>
        <v>-283.63400000000001</v>
      </c>
      <c r="AH231" s="231">
        <f t="shared" si="877"/>
        <v>-2100.2579999999998</v>
      </c>
      <c r="AI231" s="231">
        <f t="shared" si="877"/>
        <v>-255.72699999999986</v>
      </c>
      <c r="AJ231" s="231">
        <f t="shared" si="877"/>
        <v>15.381999999999607</v>
      </c>
      <c r="AK231" s="231">
        <f t="shared" si="877"/>
        <v>-292.49899999999997</v>
      </c>
      <c r="AL231" s="231">
        <f t="shared" si="877"/>
        <v>-2361.3020000000001</v>
      </c>
      <c r="AM231" s="231">
        <f t="shared" si="877"/>
        <v>305.48099999999994</v>
      </c>
      <c r="AN231" s="231">
        <f t="shared" si="877"/>
        <v>-639.22399999999948</v>
      </c>
      <c r="AO231" s="231">
        <f t="shared" si="877"/>
        <v>-309.59899999999999</v>
      </c>
      <c r="AP231" s="231">
        <f t="shared" si="877"/>
        <v>-4613.2929999999997</v>
      </c>
      <c r="AQ231" s="231">
        <f t="shared" si="877"/>
        <v>-319.7699999999997</v>
      </c>
      <c r="AR231" s="231">
        <f t="shared" si="877"/>
        <v>45.175999999999306</v>
      </c>
      <c r="AS231" s="231">
        <f t="shared" si="877"/>
        <v>-315.673</v>
      </c>
      <c r="AT231" s="231">
        <f t="shared" si="877"/>
        <v>-2687.3869999999997</v>
      </c>
      <c r="AU231" s="231">
        <f t="shared" si="877"/>
        <v>-643.31500000000028</v>
      </c>
      <c r="AV231" s="231">
        <f t="shared" si="877"/>
        <v>-2812.4269999999997</v>
      </c>
      <c r="AW231" s="231">
        <f t="shared" si="877"/>
        <v>-392.06</v>
      </c>
      <c r="AX231" s="231">
        <f t="shared" si="877"/>
        <v>-3568.2110000000002</v>
      </c>
      <c r="AY231" s="231">
        <f t="shared" si="877"/>
        <v>15.823000000000377</v>
      </c>
      <c r="AZ231" s="231">
        <f t="shared" si="877"/>
        <v>-15.823000000000263</v>
      </c>
      <c r="BA231" s="231">
        <f t="shared" si="877"/>
        <v>23.358000000000001</v>
      </c>
      <c r="BB231" s="231">
        <f t="shared" si="877"/>
        <v>-4257.3630000000003</v>
      </c>
      <c r="BC231" s="231">
        <f t="shared" si="877"/>
        <v>1.7408297026122455E-13</v>
      </c>
      <c r="BD231" s="231">
        <f t="shared" si="877"/>
        <v>1.7408297026122455E-13</v>
      </c>
      <c r="BE231" s="231">
        <f t="shared" si="877"/>
        <v>13</v>
      </c>
      <c r="BF231" s="231">
        <f t="shared" si="877"/>
        <v>-4463.5659999999998</v>
      </c>
      <c r="BG231" s="231">
        <f t="shared" si="877"/>
        <v>0</v>
      </c>
      <c r="BH231" s="231">
        <f t="shared" ref="BH231:BI231" si="878">BH74</f>
        <v>0</v>
      </c>
      <c r="BI231" s="231">
        <f t="shared" si="878"/>
        <v>0</v>
      </c>
      <c r="BJ231" s="231"/>
      <c r="BK231" s="54"/>
      <c r="BL231" s="54"/>
      <c r="BM231" s="54"/>
      <c r="BN231" s="54"/>
      <c r="BO231" s="54"/>
      <c r="BP231" s="54"/>
      <c r="BQ231" s="54" t="e">
        <f>#REF!-Y231-Z231-AA231</f>
        <v>#REF!</v>
      </c>
      <c r="BR231" s="54"/>
      <c r="BS231" s="54"/>
      <c r="BT231" s="46"/>
      <c r="BU231" s="46"/>
      <c r="BV231" s="54"/>
      <c r="BW231" s="54"/>
      <c r="BX231" s="54"/>
      <c r="BY231" s="46"/>
      <c r="BZ231" s="46"/>
      <c r="CA231" s="54"/>
      <c r="CB231" s="54"/>
      <c r="CC231" s="46"/>
      <c r="CD231" s="46"/>
      <c r="CE231" s="54"/>
      <c r="CF231" s="54"/>
      <c r="CG231" s="46"/>
      <c r="CH231" s="46"/>
      <c r="CI231" s="54"/>
    </row>
    <row r="232" spans="2:87" ht="13.5" customHeight="1">
      <c r="B232" s="1" t="s">
        <v>342</v>
      </c>
      <c r="C232" s="54">
        <f t="shared" ref="C232:Q232" si="879">C75</f>
        <v>0</v>
      </c>
      <c r="D232" s="54">
        <f t="shared" si="879"/>
        <v>0</v>
      </c>
      <c r="E232" s="231">
        <f t="shared" si="879"/>
        <v>0</v>
      </c>
      <c r="F232" s="231">
        <f t="shared" si="879"/>
        <v>0</v>
      </c>
      <c r="G232" s="231">
        <f t="shared" si="879"/>
        <v>0</v>
      </c>
      <c r="H232" s="231">
        <f t="shared" si="879"/>
        <v>0</v>
      </c>
      <c r="I232" s="231">
        <f t="shared" si="879"/>
        <v>0</v>
      </c>
      <c r="J232" s="231">
        <f t="shared" si="879"/>
        <v>0</v>
      </c>
      <c r="K232" s="231">
        <f t="shared" si="879"/>
        <v>0</v>
      </c>
      <c r="L232" s="231">
        <f t="shared" si="879"/>
        <v>0</v>
      </c>
      <c r="M232" s="231">
        <f t="shared" si="879"/>
        <v>0</v>
      </c>
      <c r="N232" s="231">
        <f t="shared" si="879"/>
        <v>0</v>
      </c>
      <c r="O232" s="231">
        <f t="shared" si="879"/>
        <v>0</v>
      </c>
      <c r="P232" s="231">
        <f t="shared" si="879"/>
        <v>0</v>
      </c>
      <c r="Q232" s="231">
        <f t="shared" si="879"/>
        <v>0</v>
      </c>
      <c r="R232" s="231">
        <f t="shared" ref="R232" si="880">R75</f>
        <v>0</v>
      </c>
      <c r="S232" s="231">
        <f>S75</f>
        <v>0</v>
      </c>
      <c r="U232" s="231">
        <f t="shared" ref="U232:AC232" si="881">U75</f>
        <v>0</v>
      </c>
      <c r="V232" s="231">
        <f t="shared" si="881"/>
        <v>0</v>
      </c>
      <c r="W232" s="231">
        <f t="shared" si="881"/>
        <v>0</v>
      </c>
      <c r="X232" s="231">
        <f t="shared" si="881"/>
        <v>0</v>
      </c>
      <c r="Y232" s="231">
        <f t="shared" si="881"/>
        <v>0</v>
      </c>
      <c r="Z232" s="231">
        <f t="shared" si="881"/>
        <v>0</v>
      </c>
      <c r="AA232" s="231">
        <f t="shared" si="881"/>
        <v>0</v>
      </c>
      <c r="AB232" s="231">
        <f t="shared" si="881"/>
        <v>0</v>
      </c>
      <c r="AC232" s="231">
        <f t="shared" si="881"/>
        <v>0</v>
      </c>
      <c r="AD232" s="231">
        <f t="shared" si="873"/>
        <v>0</v>
      </c>
      <c r="AE232" s="231">
        <f t="shared" si="873"/>
        <v>0</v>
      </c>
      <c r="AF232" s="231">
        <f t="shared" si="873"/>
        <v>0</v>
      </c>
      <c r="AG232" s="231">
        <f t="shared" ref="AG232:BG232" si="882">AG75</f>
        <v>0</v>
      </c>
      <c r="AH232" s="231">
        <f t="shared" si="882"/>
        <v>0</v>
      </c>
      <c r="AI232" s="231">
        <f t="shared" si="882"/>
        <v>0</v>
      </c>
      <c r="AJ232" s="231">
        <f t="shared" si="882"/>
        <v>0</v>
      </c>
      <c r="AK232" s="231">
        <f t="shared" si="882"/>
        <v>0</v>
      </c>
      <c r="AL232" s="231">
        <f t="shared" si="882"/>
        <v>0</v>
      </c>
      <c r="AM232" s="231">
        <f t="shared" si="882"/>
        <v>0</v>
      </c>
      <c r="AN232" s="231">
        <f t="shared" si="882"/>
        <v>0</v>
      </c>
      <c r="AO232" s="231">
        <f t="shared" si="882"/>
        <v>0</v>
      </c>
      <c r="AP232" s="231">
        <f t="shared" si="882"/>
        <v>0</v>
      </c>
      <c r="AQ232" s="231">
        <f t="shared" si="882"/>
        <v>0</v>
      </c>
      <c r="AR232" s="231">
        <f t="shared" si="882"/>
        <v>0</v>
      </c>
      <c r="AS232" s="231">
        <f t="shared" si="882"/>
        <v>0</v>
      </c>
      <c r="AT232" s="231">
        <f t="shared" si="882"/>
        <v>0</v>
      </c>
      <c r="AU232" s="231">
        <f t="shared" si="882"/>
        <v>0</v>
      </c>
      <c r="AV232" s="231">
        <f t="shared" si="882"/>
        <v>0</v>
      </c>
      <c r="AW232" s="231">
        <f t="shared" si="882"/>
        <v>0</v>
      </c>
      <c r="AX232" s="231">
        <f t="shared" si="882"/>
        <v>0</v>
      </c>
      <c r="AY232" s="231">
        <f t="shared" si="882"/>
        <v>0</v>
      </c>
      <c r="AZ232" s="231">
        <f t="shared" si="882"/>
        <v>0</v>
      </c>
      <c r="BA232" s="231">
        <f t="shared" si="882"/>
        <v>0</v>
      </c>
      <c r="BB232" s="231">
        <f t="shared" si="882"/>
        <v>0</v>
      </c>
      <c r="BC232" s="231">
        <f t="shared" si="882"/>
        <v>0</v>
      </c>
      <c r="BD232" s="231">
        <f t="shared" si="882"/>
        <v>0</v>
      </c>
      <c r="BE232" s="231">
        <f t="shared" si="882"/>
        <v>0</v>
      </c>
      <c r="BF232" s="231">
        <f t="shared" si="882"/>
        <v>0</v>
      </c>
      <c r="BG232" s="231">
        <f t="shared" si="882"/>
        <v>0</v>
      </c>
      <c r="BH232" s="231">
        <f t="shared" ref="BH232:BI232" si="883">BH75</f>
        <v>0</v>
      </c>
      <c r="BI232" s="231">
        <f t="shared" si="883"/>
        <v>0</v>
      </c>
      <c r="BJ232" s="231"/>
      <c r="BK232" s="54"/>
      <c r="BL232" s="54"/>
      <c r="BM232" s="54"/>
      <c r="BN232" s="54"/>
      <c r="BO232" s="54"/>
      <c r="BP232" s="54"/>
      <c r="BQ232" s="54" t="e">
        <f>#REF!-Y232-Z232-AA232</f>
        <v>#REF!</v>
      </c>
      <c r="BR232" s="54"/>
      <c r="BS232" s="54"/>
      <c r="BT232" s="46"/>
      <c r="BU232" s="46"/>
      <c r="BV232" s="54"/>
      <c r="BW232" s="54"/>
      <c r="BX232" s="54"/>
      <c r="BY232" s="46"/>
      <c r="BZ232" s="46"/>
      <c r="CA232" s="54"/>
      <c r="CB232" s="54"/>
      <c r="CC232" s="46"/>
      <c r="CD232" s="46"/>
      <c r="CE232" s="54"/>
      <c r="CF232" s="54"/>
      <c r="CG232" s="46"/>
      <c r="CH232" s="46"/>
      <c r="CI232" s="54"/>
    </row>
    <row r="233" spans="2:87" ht="13.5" customHeight="1">
      <c r="B233" s="1" t="s">
        <v>343</v>
      </c>
      <c r="C233" s="54">
        <f t="shared" ref="C233:Q233" si="884">C76</f>
        <v>4322.8460000000014</v>
      </c>
      <c r="D233" s="54">
        <f t="shared" si="884"/>
        <v>-1973.6560000000009</v>
      </c>
      <c r="E233" s="231">
        <f t="shared" si="884"/>
        <v>1091.3459999999977</v>
      </c>
      <c r="F233" s="231">
        <f t="shared" si="884"/>
        <v>11650.920000000002</v>
      </c>
      <c r="G233" s="231">
        <f t="shared" si="884"/>
        <v>-2981.1350000000002</v>
      </c>
      <c r="H233" s="231">
        <f t="shared" si="884"/>
        <v>-2981.1350000000002</v>
      </c>
      <c r="I233" s="231">
        <f t="shared" si="884"/>
        <v>-4493.487000000001</v>
      </c>
      <c r="J233" s="231">
        <f t="shared" si="884"/>
        <v>-4830.9950000000008</v>
      </c>
      <c r="K233" s="231">
        <f t="shared" si="884"/>
        <v>-11470.870000000003</v>
      </c>
      <c r="L233" s="231">
        <f t="shared" si="884"/>
        <v>17.509999999998399</v>
      </c>
      <c r="M233" s="231">
        <f t="shared" si="884"/>
        <v>17.509999999998399</v>
      </c>
      <c r="N233" s="231">
        <f t="shared" si="884"/>
        <v>-10256.534000000003</v>
      </c>
      <c r="O233" s="231">
        <f t="shared" si="884"/>
        <v>-10256.534000000003</v>
      </c>
      <c r="P233" s="231">
        <f t="shared" si="884"/>
        <v>20512.598000000016</v>
      </c>
      <c r="Q233" s="231">
        <f t="shared" si="884"/>
        <v>15543.835999999996</v>
      </c>
      <c r="R233" s="231">
        <f t="shared" ref="R233" si="885">R76</f>
        <v>5729.3389999999981</v>
      </c>
      <c r="S233" s="231">
        <f>S76</f>
        <v>-849.45600000000422</v>
      </c>
      <c r="U233" s="231">
        <f t="shared" ref="U233:AC233" si="886">U76</f>
        <v>481.92900000000009</v>
      </c>
      <c r="V233" s="231">
        <f t="shared" si="886"/>
        <v>-1949.9290000000001</v>
      </c>
      <c r="W233" s="231">
        <f t="shared" si="886"/>
        <v>4972</v>
      </c>
      <c r="X233" s="231">
        <f t="shared" si="886"/>
        <v>-2412.6540000000023</v>
      </c>
      <c r="Y233" s="231">
        <f t="shared" si="886"/>
        <v>991.14700000000039</v>
      </c>
      <c r="Z233" s="231">
        <f t="shared" si="886"/>
        <v>-1610.3510000000001</v>
      </c>
      <c r="AA233" s="231">
        <f t="shared" si="886"/>
        <v>-836.79600000000028</v>
      </c>
      <c r="AB233" s="231">
        <f t="shared" si="886"/>
        <v>13106.920000000002</v>
      </c>
      <c r="AC233" s="231">
        <f t="shared" si="886"/>
        <v>406.06999999999971</v>
      </c>
      <c r="AD233" s="231">
        <f t="shared" si="873"/>
        <v>-2272.4499999999998</v>
      </c>
      <c r="AE233" s="231">
        <f t="shared" si="873"/>
        <v>-997.81999999999971</v>
      </c>
      <c r="AF233" s="231">
        <f t="shared" si="873"/>
        <v>-116.9350000000004</v>
      </c>
      <c r="AG233" s="231">
        <f t="shared" ref="AG233:BG233" si="887">AG76</f>
        <v>155.99500000000012</v>
      </c>
      <c r="AH233" s="231">
        <f t="shared" si="887"/>
        <v>-1165.2990000000002</v>
      </c>
      <c r="AI233" s="231">
        <f t="shared" si="887"/>
        <v>10179.546999999999</v>
      </c>
      <c r="AJ233" s="231">
        <f t="shared" si="887"/>
        <v>-13663.73</v>
      </c>
      <c r="AK233" s="231">
        <f t="shared" si="887"/>
        <v>13929.779</v>
      </c>
      <c r="AL233" s="231">
        <f t="shared" si="887"/>
        <v>-15349.906000000003</v>
      </c>
      <c r="AM233" s="231">
        <f t="shared" si="887"/>
        <v>-5959.5349999999971</v>
      </c>
      <c r="AN233" s="231">
        <f t="shared" si="887"/>
        <v>-4091.2080000000042</v>
      </c>
      <c r="AO233" s="231">
        <f t="shared" si="887"/>
        <v>-624.84899999999993</v>
      </c>
      <c r="AP233" s="231">
        <f t="shared" si="887"/>
        <v>1940.8330000000003</v>
      </c>
      <c r="AQ233" s="231">
        <f t="shared" si="887"/>
        <v>-664.050000000002</v>
      </c>
      <c r="AR233" s="231">
        <f t="shared" si="887"/>
        <v>-634.42399999999998</v>
      </c>
      <c r="AS233" s="231">
        <f t="shared" si="887"/>
        <v>-1161.924</v>
      </c>
      <c r="AT233" s="231">
        <f t="shared" si="887"/>
        <v>1280.0510000000004</v>
      </c>
      <c r="AU233" s="231">
        <f t="shared" si="887"/>
        <v>3332.11</v>
      </c>
      <c r="AV233" s="231">
        <f t="shared" si="887"/>
        <v>-13706.771000000004</v>
      </c>
      <c r="AW233" s="231">
        <f t="shared" si="887"/>
        <v>2675.9630000000002</v>
      </c>
      <c r="AX233" s="231">
        <f t="shared" si="887"/>
        <v>10453.870999999999</v>
      </c>
      <c r="AY233" s="231">
        <f t="shared" si="887"/>
        <v>3102.2960000000016</v>
      </c>
      <c r="AZ233" s="231">
        <f t="shared" si="887"/>
        <v>4280.4680000000153</v>
      </c>
      <c r="BA233" s="231">
        <f t="shared" si="887"/>
        <v>18095.987000000001</v>
      </c>
      <c r="BB233" s="231">
        <f t="shared" si="887"/>
        <v>-3783.0820000000022</v>
      </c>
      <c r="BC233" s="231">
        <f t="shared" si="887"/>
        <v>1228.9560000000056</v>
      </c>
      <c r="BD233" s="231">
        <f t="shared" si="887"/>
        <v>1.9749999999912689</v>
      </c>
      <c r="BE233" s="231">
        <f t="shared" si="887"/>
        <v>7907.5950000000012</v>
      </c>
      <c r="BF233" s="231">
        <f t="shared" si="887"/>
        <v>915.82699999999568</v>
      </c>
      <c r="BG233" s="231">
        <f t="shared" si="887"/>
        <v>459.00300000000607</v>
      </c>
      <c r="BH233" s="231">
        <f t="shared" ref="BH233:BI233" si="888">BH76</f>
        <v>-3553.0860000000048</v>
      </c>
      <c r="BI233" s="231">
        <f t="shared" si="888"/>
        <v>1328.7999999999988</v>
      </c>
      <c r="BJ233" s="231"/>
      <c r="BK233" s="54"/>
      <c r="BL233" s="54"/>
      <c r="BM233" s="54"/>
      <c r="BN233" s="54"/>
      <c r="BO233" s="54"/>
      <c r="BP233" s="54"/>
      <c r="BQ233" s="54" t="e">
        <f>#REF!-Y233-Z233-AA233</f>
        <v>#REF!</v>
      </c>
      <c r="BR233" s="54"/>
      <c r="BS233" s="54"/>
      <c r="BT233" s="46"/>
      <c r="BU233" s="46"/>
      <c r="BV233" s="54"/>
      <c r="BW233" s="54"/>
      <c r="BX233" s="54"/>
      <c r="BY233" s="46"/>
      <c r="BZ233" s="46"/>
      <c r="CA233" s="54"/>
      <c r="CB233" s="54"/>
      <c r="CC233" s="46"/>
      <c r="CD233" s="46"/>
      <c r="CE233" s="54"/>
      <c r="CF233" s="54"/>
      <c r="CG233" s="46"/>
      <c r="CH233" s="46"/>
      <c r="CI233" s="54"/>
    </row>
    <row r="234" spans="2:87" ht="13.5" customHeight="1" thickBot="1">
      <c r="B234" s="1" t="s">
        <v>344</v>
      </c>
      <c r="C234" s="54">
        <f t="shared" ref="C234:Q234" si="889">C77</f>
        <v>0</v>
      </c>
      <c r="D234" s="54">
        <f t="shared" si="889"/>
        <v>-444.96</v>
      </c>
      <c r="E234" s="231">
        <f t="shared" si="889"/>
        <v>52.136000000000003</v>
      </c>
      <c r="F234" s="231">
        <f t="shared" si="889"/>
        <v>392.82299999999998</v>
      </c>
      <c r="G234" s="231">
        <f t="shared" si="889"/>
        <v>1557.7639999999999</v>
      </c>
      <c r="H234" s="231">
        <f t="shared" si="889"/>
        <v>1557.7639999999999</v>
      </c>
      <c r="I234" s="231">
        <f t="shared" si="889"/>
        <v>-1069.818</v>
      </c>
      <c r="J234" s="231">
        <f t="shared" si="889"/>
        <v>-1069.817</v>
      </c>
      <c r="K234" s="231">
        <f t="shared" si="889"/>
        <v>1160.396</v>
      </c>
      <c r="L234" s="231">
        <f t="shared" si="889"/>
        <v>263.23099999999999</v>
      </c>
      <c r="M234" s="231">
        <f t="shared" si="889"/>
        <v>263.23099999999999</v>
      </c>
      <c r="N234" s="231">
        <f t="shared" si="889"/>
        <v>0</v>
      </c>
      <c r="O234" s="231">
        <f t="shared" si="889"/>
        <v>73.731999999999999</v>
      </c>
      <c r="P234" s="231">
        <f t="shared" si="889"/>
        <v>0</v>
      </c>
      <c r="Q234" s="231">
        <f t="shared" si="889"/>
        <v>0</v>
      </c>
      <c r="R234" s="231">
        <f t="shared" ref="R234" si="890">R77</f>
        <v>0</v>
      </c>
      <c r="S234" s="231">
        <f>S77</f>
        <v>0</v>
      </c>
      <c r="U234" s="231">
        <f t="shared" ref="U234:AC234" si="891">U77</f>
        <v>14.1</v>
      </c>
      <c r="V234" s="231">
        <f t="shared" si="891"/>
        <v>257.822</v>
      </c>
      <c r="W234" s="231">
        <f t="shared" si="891"/>
        <v>-76.921999999999997</v>
      </c>
      <c r="X234" s="231">
        <f t="shared" si="891"/>
        <v>-142.86400000000003</v>
      </c>
      <c r="Y234" s="231">
        <f t="shared" si="891"/>
        <v>218.83799999999999</v>
      </c>
      <c r="Z234" s="231">
        <f t="shared" si="891"/>
        <v>120.47200000000001</v>
      </c>
      <c r="AA234" s="231">
        <f t="shared" si="891"/>
        <v>53.690000000000026</v>
      </c>
      <c r="AB234" s="231">
        <f t="shared" si="891"/>
        <v>-0.17700000000002092</v>
      </c>
      <c r="AC234" s="231">
        <f t="shared" si="891"/>
        <v>0</v>
      </c>
      <c r="AD234" s="231">
        <f t="shared" si="873"/>
        <v>1557.7629999999999</v>
      </c>
      <c r="AE234" s="231">
        <f t="shared" si="873"/>
        <v>9.9999999997635314E-4</v>
      </c>
      <c r="AF234" s="231">
        <f t="shared" si="873"/>
        <v>0</v>
      </c>
      <c r="AG234" s="231">
        <f t="shared" ref="AG234:BG234" si="892">AG77</f>
        <v>0</v>
      </c>
      <c r="AH234" s="231">
        <f t="shared" si="892"/>
        <v>0</v>
      </c>
      <c r="AI234" s="231">
        <f t="shared" si="892"/>
        <v>-1100.183</v>
      </c>
      <c r="AJ234" s="231">
        <f t="shared" si="892"/>
        <v>30.365000000000009</v>
      </c>
      <c r="AK234" s="231">
        <f t="shared" si="892"/>
        <v>1673.5519999999999</v>
      </c>
      <c r="AL234" s="231">
        <f t="shared" si="892"/>
        <v>-513.15599999999995</v>
      </c>
      <c r="AM234" s="231">
        <f t="shared" si="892"/>
        <v>0</v>
      </c>
      <c r="AN234" s="231">
        <f t="shared" si="892"/>
        <v>0</v>
      </c>
      <c r="AO234" s="231">
        <f t="shared" si="892"/>
        <v>-749.16</v>
      </c>
      <c r="AP234" s="231">
        <f t="shared" si="892"/>
        <v>1012.391</v>
      </c>
      <c r="AQ234" s="231">
        <f t="shared" si="892"/>
        <v>0</v>
      </c>
      <c r="AR234" s="231">
        <f t="shared" si="892"/>
        <v>0</v>
      </c>
      <c r="AS234" s="231">
        <f t="shared" si="892"/>
        <v>0</v>
      </c>
      <c r="AT234" s="231">
        <f t="shared" si="892"/>
        <v>0</v>
      </c>
      <c r="AU234" s="231">
        <f t="shared" si="892"/>
        <v>0</v>
      </c>
      <c r="AV234" s="231">
        <f t="shared" si="892"/>
        <v>0</v>
      </c>
      <c r="AW234" s="231">
        <f t="shared" si="892"/>
        <v>0</v>
      </c>
      <c r="AX234" s="231">
        <f t="shared" si="892"/>
        <v>0</v>
      </c>
      <c r="AY234" s="231">
        <f t="shared" si="892"/>
        <v>-77.846000000000004</v>
      </c>
      <c r="AZ234" s="231">
        <f t="shared" si="892"/>
        <v>77.846000000000004</v>
      </c>
      <c r="BA234" s="231">
        <f t="shared" si="892"/>
        <v>-3359.8150000000001</v>
      </c>
      <c r="BB234" s="231">
        <f t="shared" si="892"/>
        <v>3359.8150000000001</v>
      </c>
      <c r="BC234" s="231">
        <f t="shared" si="892"/>
        <v>0</v>
      </c>
      <c r="BD234" s="231">
        <f t="shared" si="892"/>
        <v>0</v>
      </c>
      <c r="BE234" s="231">
        <f t="shared" si="892"/>
        <v>0</v>
      </c>
      <c r="BF234" s="231">
        <f t="shared" si="892"/>
        <v>0</v>
      </c>
      <c r="BG234" s="231">
        <f t="shared" si="892"/>
        <v>0</v>
      </c>
      <c r="BH234" s="231">
        <f t="shared" ref="BH234:BI234" si="893">BH77</f>
        <v>0</v>
      </c>
      <c r="BI234" s="231">
        <f t="shared" si="893"/>
        <v>0</v>
      </c>
      <c r="BJ234" s="231"/>
      <c r="BK234" s="54"/>
      <c r="BL234" s="54"/>
      <c r="BM234" s="54"/>
      <c r="BN234" s="54"/>
      <c r="BO234" s="54"/>
      <c r="BP234" s="54"/>
      <c r="BQ234" s="54" t="e">
        <f>BQ77</f>
        <v>#REF!</v>
      </c>
      <c r="BR234" s="54"/>
      <c r="BS234" s="54"/>
      <c r="BT234" s="46"/>
      <c r="BU234" s="46"/>
      <c r="BV234" s="54"/>
      <c r="BW234" s="54"/>
      <c r="BX234" s="54"/>
      <c r="BY234" s="46"/>
      <c r="BZ234" s="46"/>
      <c r="CA234" s="54"/>
      <c r="CB234" s="54"/>
      <c r="CC234" s="46"/>
      <c r="CD234" s="46"/>
      <c r="CE234" s="54"/>
      <c r="CF234" s="54"/>
      <c r="CG234" s="46"/>
      <c r="CH234" s="46"/>
      <c r="CI234" s="54"/>
    </row>
    <row r="235" spans="2:87" ht="13.5" customHeight="1" thickTop="1" thickBot="1">
      <c r="B235" s="76" t="s">
        <v>345</v>
      </c>
      <c r="C235" s="77">
        <f>SUM(C228:C234)</f>
        <v>-2470.0910000000003</v>
      </c>
      <c r="D235" s="77">
        <f t="shared" ref="D235:AA235" si="894">SUM(D228:D234)</f>
        <v>3139.2170000000015</v>
      </c>
      <c r="E235" s="235">
        <f t="shared" si="894"/>
        <v>937.3009999999972</v>
      </c>
      <c r="F235" s="235">
        <f t="shared" ref="F235:K235" si="895">SUM(F228:F234)</f>
        <v>7128.6559999999981</v>
      </c>
      <c r="G235" s="235">
        <f t="shared" si="895"/>
        <v>6346.3980000000056</v>
      </c>
      <c r="H235" s="235">
        <f t="shared" si="895"/>
        <v>4575.764000000001</v>
      </c>
      <c r="I235" s="235">
        <f t="shared" si="895"/>
        <v>3036.4640000000027</v>
      </c>
      <c r="J235" s="235">
        <f t="shared" si="895"/>
        <v>7260.5830000000033</v>
      </c>
      <c r="K235" s="235">
        <f t="shared" si="895"/>
        <v>780.08500000000026</v>
      </c>
      <c r="L235" s="235">
        <f t="shared" ref="L235:N235" si="896">SUM(L228:L234)</f>
        <v>-1235.3689999999995</v>
      </c>
      <c r="M235" s="235">
        <f t="shared" ref="M235" si="897">SUM(M228:M234)</f>
        <v>-3544.6099999999988</v>
      </c>
      <c r="N235" s="235">
        <f t="shared" si="896"/>
        <v>7187.3799999999937</v>
      </c>
      <c r="O235" s="235">
        <f t="shared" ref="O235" si="898">SUM(O228:O234)</f>
        <v>4780.6529999999984</v>
      </c>
      <c r="P235" s="235">
        <f>SUM(P228:P234)</f>
        <v>-6708.74099999998</v>
      </c>
      <c r="Q235" s="235">
        <f>SUM(Q228:Q234)</f>
        <v>-1199.9219999999987</v>
      </c>
      <c r="R235" s="235">
        <f>SUM(R228:R234)</f>
        <v>-2091.5990000000011</v>
      </c>
      <c r="S235" s="235">
        <f t="shared" ref="S235" si="899">SUM(S228:S234)</f>
        <v>208.0150000000026</v>
      </c>
      <c r="U235" s="235">
        <f t="shared" si="894"/>
        <v>975.59400000000028</v>
      </c>
      <c r="V235" s="235">
        <f t="shared" si="894"/>
        <v>-3276.1090000000004</v>
      </c>
      <c r="W235" s="235">
        <f t="shared" si="894"/>
        <v>3439.514999999999</v>
      </c>
      <c r="X235" s="235">
        <f t="shared" si="894"/>
        <v>-201.69900000000143</v>
      </c>
      <c r="Y235" s="235">
        <f t="shared" si="894"/>
        <v>741.44500000000028</v>
      </c>
      <c r="Z235" s="235">
        <f t="shared" si="894"/>
        <v>-1026.3670000000002</v>
      </c>
      <c r="AA235" s="235">
        <f t="shared" si="894"/>
        <v>442.92199999999843</v>
      </c>
      <c r="AB235" s="235">
        <f t="shared" ref="AB235:AH235" si="900">SUM(AB228:AB234)</f>
        <v>6970.6559999999981</v>
      </c>
      <c r="AC235" s="235">
        <f t="shared" si="900"/>
        <v>-2292.7509999999997</v>
      </c>
      <c r="AD235" s="235">
        <f t="shared" si="900"/>
        <v>3607.7020000000002</v>
      </c>
      <c r="AE235" s="235">
        <f t="shared" si="900"/>
        <v>196.42599999999766</v>
      </c>
      <c r="AF235" s="235">
        <f t="shared" si="900"/>
        <v>4835.0210000000052</v>
      </c>
      <c r="AG235" s="235">
        <f t="shared" si="900"/>
        <v>792.25699999999961</v>
      </c>
      <c r="AH235" s="235">
        <f t="shared" si="900"/>
        <v>1120.2590000000007</v>
      </c>
      <c r="AI235" s="235">
        <f t="shared" ref="AI235:AN235" si="901">SUM(AI228:AI234)</f>
        <v>13547.043999999998</v>
      </c>
      <c r="AJ235" s="235">
        <f t="shared" si="901"/>
        <v>-7976.0959999999995</v>
      </c>
      <c r="AK235" s="235">
        <f t="shared" si="901"/>
        <v>15808.394</v>
      </c>
      <c r="AL235" s="235">
        <f t="shared" si="901"/>
        <v>-17819.695000000007</v>
      </c>
      <c r="AM235" s="235">
        <f t="shared" si="901"/>
        <v>-831.40999999999531</v>
      </c>
      <c r="AN235" s="235">
        <f t="shared" si="901"/>
        <v>3622.7959999999994</v>
      </c>
      <c r="AO235" s="235">
        <f>SUM(AO228:AO234)</f>
        <v>769.35699999999918</v>
      </c>
      <c r="AP235" s="235">
        <f>SUM(AP228:AP234)</f>
        <v>-1645.3709999999996</v>
      </c>
      <c r="AQ235" s="235">
        <f>SUM(AQ228:AQ234)</f>
        <v>-1757.0790000000036</v>
      </c>
      <c r="AR235" s="235">
        <f t="shared" ref="AR235" si="902">SUM(AR228:AR234)</f>
        <v>-911.5169999999996</v>
      </c>
      <c r="AS235" s="235">
        <f>SUM(AS228:AS234)</f>
        <v>-108.96499999999946</v>
      </c>
      <c r="AT235" s="235">
        <f>SUM(AT228:AT234)</f>
        <v>1155.3140000000026</v>
      </c>
      <c r="AU235" s="235">
        <f>SUM(AU228:AU234)</f>
        <v>-2682.8990000000017</v>
      </c>
      <c r="AV235" s="235">
        <f t="shared" ref="AV235" si="903">SUM(AV228:AV234)</f>
        <v>8823.93</v>
      </c>
      <c r="AW235" s="235">
        <f>SUM(AW228:AW234)</f>
        <v>-6937.67</v>
      </c>
      <c r="AX235" s="235">
        <f>SUM(AX228:AX234)</f>
        <v>752.73600000000079</v>
      </c>
      <c r="AY235" s="235">
        <f>SUM(AY228:AY234)</f>
        <v>-450.81700000000001</v>
      </c>
      <c r="AZ235" s="235">
        <f t="shared" ref="AZ235" si="904">SUM(AZ228:AZ234)</f>
        <v>-72.989999999985685</v>
      </c>
      <c r="BA235" s="235">
        <f>SUM(BA228:BA234)</f>
        <v>11310.374</v>
      </c>
      <c r="BB235" s="235">
        <f>SUM(BB228:BB234)</f>
        <v>-11202.419000000004</v>
      </c>
      <c r="BC235" s="235">
        <f>SUM(BC228:BC234)</f>
        <v>-159.96999999999321</v>
      </c>
      <c r="BD235" s="235">
        <f t="shared" ref="BD235" si="905">SUM(BD228:BD234)</f>
        <v>-1147.9070000000074</v>
      </c>
      <c r="BE235" s="235">
        <f>SUM(BE228:BE234)</f>
        <v>8485.2259999999987</v>
      </c>
      <c r="BF235" s="235">
        <f>SUM(BF228:BF234)</f>
        <v>-10514.621000000005</v>
      </c>
      <c r="BG235" s="235">
        <f>SUM(BG228:BG234)</f>
        <v>6511.4330000000082</v>
      </c>
      <c r="BH235" s="235">
        <f>SUM(BH228:BH234)</f>
        <v>-6573.6370000000006</v>
      </c>
      <c r="BI235" s="235">
        <f>SUM(BI228:BI234)</f>
        <v>10784.839999999998</v>
      </c>
      <c r="BJ235" s="230"/>
      <c r="BK235" s="60"/>
      <c r="BL235" s="60"/>
      <c r="BM235" s="60"/>
      <c r="BN235" s="60"/>
      <c r="BO235" s="60"/>
      <c r="BP235" s="60"/>
      <c r="BQ235" s="77" t="e">
        <f>SUM(BQ228:BQ234)</f>
        <v>#REF!</v>
      </c>
      <c r="BR235" s="60"/>
      <c r="BS235" s="60"/>
      <c r="BT235" s="46"/>
      <c r="BU235" s="46"/>
      <c r="BV235" s="60"/>
      <c r="BW235" s="60"/>
      <c r="BX235" s="60"/>
      <c r="BY235" s="46"/>
      <c r="BZ235" s="46"/>
      <c r="CA235" s="60"/>
      <c r="CB235" s="60"/>
      <c r="CC235" s="46"/>
      <c r="CD235" s="46"/>
      <c r="CE235" s="60"/>
      <c r="CF235" s="60"/>
      <c r="CG235" s="46"/>
      <c r="CH235" s="46"/>
      <c r="CI235" s="60"/>
    </row>
    <row r="236" spans="2:87" s="5" customFormat="1" ht="13.5" customHeight="1" thickTop="1">
      <c r="B236" s="1" t="s">
        <v>346</v>
      </c>
      <c r="C236" s="54">
        <f t="shared" ref="C236:Q236" si="906">C79</f>
        <v>-537.77</v>
      </c>
      <c r="D236" s="54">
        <f t="shared" si="906"/>
        <v>207.577</v>
      </c>
      <c r="E236" s="231">
        <f t="shared" si="906"/>
        <v>560.37099999999998</v>
      </c>
      <c r="F236" s="231">
        <f t="shared" si="906"/>
        <v>-356.42399999999998</v>
      </c>
      <c r="G236" s="231">
        <f t="shared" si="906"/>
        <v>99.087000000000003</v>
      </c>
      <c r="H236" s="231">
        <f t="shared" si="906"/>
        <v>99.087000000000003</v>
      </c>
      <c r="I236" s="231">
        <f t="shared" si="906"/>
        <v>-377.916</v>
      </c>
      <c r="J236" s="231">
        <f t="shared" si="906"/>
        <v>-377.916</v>
      </c>
      <c r="K236" s="231">
        <f t="shared" si="906"/>
        <v>-9</v>
      </c>
      <c r="L236" s="231">
        <f t="shared" si="906"/>
        <v>278.95100000000002</v>
      </c>
      <c r="M236" s="231">
        <f t="shared" si="906"/>
        <v>278.95100000000002</v>
      </c>
      <c r="N236" s="231">
        <f t="shared" si="906"/>
        <v>-472.73399999999998</v>
      </c>
      <c r="O236" s="231">
        <f t="shared" si="906"/>
        <v>-472.73500000000001</v>
      </c>
      <c r="P236" s="231">
        <f t="shared" si="906"/>
        <v>-836.77499999999998</v>
      </c>
      <c r="Q236" s="231">
        <f t="shared" si="906"/>
        <v>630.76900000000001</v>
      </c>
      <c r="R236" s="231">
        <f t="shared" ref="R236" si="907">R79</f>
        <v>-714.66200000000003</v>
      </c>
      <c r="S236" s="231">
        <f>S79</f>
        <v>-637.25400000000002</v>
      </c>
      <c r="U236" s="231">
        <f t="shared" ref="U236:BG236" si="908">U79</f>
        <v>189.31800000000001</v>
      </c>
      <c r="V236" s="231">
        <f t="shared" si="908"/>
        <v>498.37599999999998</v>
      </c>
      <c r="W236" s="231">
        <f t="shared" si="908"/>
        <v>-279.43200000000002</v>
      </c>
      <c r="X236" s="231">
        <f t="shared" si="908"/>
        <v>152.10900000000004</v>
      </c>
      <c r="Y236" s="231">
        <f t="shared" si="908"/>
        <v>-380.928</v>
      </c>
      <c r="Z236" s="231">
        <f t="shared" si="908"/>
        <v>-472.36900000000003</v>
      </c>
      <c r="AA236" s="231">
        <f t="shared" si="908"/>
        <v>-10.092999999999961</v>
      </c>
      <c r="AB236" s="231">
        <f t="shared" si="908"/>
        <v>506.96600000000001</v>
      </c>
      <c r="AC236" s="231">
        <f t="shared" si="908"/>
        <v>-274.32299999999998</v>
      </c>
      <c r="AD236" s="231">
        <f t="shared" si="908"/>
        <v>429.58399999999995</v>
      </c>
      <c r="AE236" s="231">
        <f t="shared" si="908"/>
        <v>-388.97699999999998</v>
      </c>
      <c r="AF236" s="231">
        <f t="shared" si="908"/>
        <v>332.803</v>
      </c>
      <c r="AG236" s="231">
        <f t="shared" si="908"/>
        <v>-90.117000000000004</v>
      </c>
      <c r="AH236" s="231">
        <f t="shared" si="908"/>
        <v>-40.041999999999987</v>
      </c>
      <c r="AI236" s="231">
        <f t="shared" si="908"/>
        <v>58.900999999999996</v>
      </c>
      <c r="AJ236" s="231">
        <f t="shared" si="908"/>
        <v>-306.65800000000002</v>
      </c>
      <c r="AK236" s="231">
        <f t="shared" si="908"/>
        <v>2113.7809999999999</v>
      </c>
      <c r="AL236" s="231">
        <f t="shared" si="908"/>
        <v>-720.78099999999995</v>
      </c>
      <c r="AM236" s="231">
        <f t="shared" si="908"/>
        <v>-100.15300000000002</v>
      </c>
      <c r="AN236" s="231">
        <f t="shared" si="908"/>
        <v>-1301.847</v>
      </c>
      <c r="AO236" s="231">
        <f t="shared" si="908"/>
        <v>222.166</v>
      </c>
      <c r="AP236" s="231">
        <f t="shared" si="908"/>
        <v>-312.03699999999998</v>
      </c>
      <c r="AQ236" s="231">
        <f t="shared" si="908"/>
        <v>185.36199999999997</v>
      </c>
      <c r="AR236" s="231">
        <f t="shared" si="908"/>
        <v>183.46000000000004</v>
      </c>
      <c r="AS236" s="231">
        <f t="shared" si="908"/>
        <v>-150.04</v>
      </c>
      <c r="AT236" s="231">
        <f t="shared" si="908"/>
        <v>23.020999999999987</v>
      </c>
      <c r="AU236" s="231">
        <f t="shared" si="908"/>
        <v>-21.651999999999987</v>
      </c>
      <c r="AV236" s="231">
        <f t="shared" si="908"/>
        <v>-324.06299999999999</v>
      </c>
      <c r="AW236" s="231">
        <f t="shared" si="908"/>
        <v>-126.244</v>
      </c>
      <c r="AX236" s="231">
        <f t="shared" si="908"/>
        <v>-578.78</v>
      </c>
      <c r="AY236" s="231">
        <f t="shared" si="908"/>
        <v>74.086999999999961</v>
      </c>
      <c r="AZ236" s="231">
        <f t="shared" si="908"/>
        <v>-205.83799999999999</v>
      </c>
      <c r="BA236" s="231">
        <f t="shared" si="908"/>
        <v>-316.09199999999998</v>
      </c>
      <c r="BB236" s="231">
        <f t="shared" si="908"/>
        <v>602.22299999999996</v>
      </c>
      <c r="BC236" s="231">
        <f t="shared" si="908"/>
        <v>446.78500000000008</v>
      </c>
      <c r="BD236" s="231">
        <f t="shared" si="908"/>
        <v>-102.14700000000005</v>
      </c>
      <c r="BE236" s="231">
        <f t="shared" si="908"/>
        <v>104.904</v>
      </c>
      <c r="BF236" s="231">
        <f t="shared" si="908"/>
        <v>-447.80099999999999</v>
      </c>
      <c r="BG236" s="231">
        <f t="shared" si="908"/>
        <v>-159.048</v>
      </c>
      <c r="BH236" s="231">
        <f t="shared" ref="BH236:BI236" si="909">BH79</f>
        <v>-212.71700000000004</v>
      </c>
      <c r="BI236" s="231">
        <f t="shared" si="909"/>
        <v>182.31200000000001</v>
      </c>
      <c r="BJ236" s="231"/>
      <c r="BK236" s="54"/>
      <c r="BL236" s="54"/>
      <c r="BM236" s="54"/>
      <c r="BN236" s="54"/>
      <c r="BO236" s="54"/>
      <c r="BP236" s="54"/>
      <c r="BQ236" s="54" t="e">
        <f>#REF!-Y236-Z236-AA236</f>
        <v>#REF!</v>
      </c>
      <c r="BR236" s="54"/>
      <c r="BS236" s="54"/>
      <c r="BT236" s="46"/>
      <c r="BU236" s="46"/>
      <c r="BV236" s="54"/>
      <c r="BW236" s="54"/>
      <c r="BX236" s="54"/>
      <c r="BY236" s="46"/>
      <c r="BZ236" s="46"/>
      <c r="CA236" s="54"/>
      <c r="CB236" s="54"/>
      <c r="CC236" s="46"/>
      <c r="CD236" s="46"/>
      <c r="CE236" s="54"/>
      <c r="CF236" s="54"/>
      <c r="CG236" s="46"/>
      <c r="CH236" s="46"/>
      <c r="CI236" s="54"/>
    </row>
    <row r="237" spans="2:87" s="5" customFormat="1" ht="13.5" customHeight="1">
      <c r="B237" s="1" t="s">
        <v>347</v>
      </c>
      <c r="C237" s="54">
        <f t="shared" ref="C237:Q237" si="910">C80</f>
        <v>3075.1240000000003</v>
      </c>
      <c r="D237" s="54">
        <f t="shared" si="910"/>
        <v>-2092.9390000000012</v>
      </c>
      <c r="E237" s="231">
        <f t="shared" si="910"/>
        <v>1491.5000000000027</v>
      </c>
      <c r="F237" s="231">
        <f t="shared" si="910"/>
        <v>-6370.2959999999985</v>
      </c>
      <c r="G237" s="231">
        <f t="shared" si="910"/>
        <v>-6077.8740000000053</v>
      </c>
      <c r="H237" s="231">
        <f t="shared" si="910"/>
        <v>-4307.2400000000007</v>
      </c>
      <c r="I237" s="231">
        <f t="shared" si="910"/>
        <v>-8438.0800000000017</v>
      </c>
      <c r="J237" s="231">
        <f t="shared" si="910"/>
        <v>-8215.1990000000042</v>
      </c>
      <c r="K237" s="231">
        <f t="shared" si="910"/>
        <v>2245.174</v>
      </c>
      <c r="L237" s="231">
        <f t="shared" si="910"/>
        <v>436.33899999999949</v>
      </c>
      <c r="M237" s="231">
        <f t="shared" si="910"/>
        <v>2745.579999999999</v>
      </c>
      <c r="N237" s="231">
        <f t="shared" si="910"/>
        <v>-2804.704999999994</v>
      </c>
      <c r="O237" s="231">
        <f t="shared" si="910"/>
        <v>-1013.1119999999969</v>
      </c>
      <c r="P237" s="231">
        <f t="shared" si="910"/>
        <v>1499.5459999999812</v>
      </c>
      <c r="Q237" s="231">
        <f t="shared" si="910"/>
        <v>2066.0719999999988</v>
      </c>
      <c r="R237" s="231">
        <f t="shared" ref="R237" si="911">R80</f>
        <v>3126.257000000001</v>
      </c>
      <c r="S237" s="231">
        <f>S80</f>
        <v>2777.1180000000018</v>
      </c>
      <c r="U237" s="231">
        <f t="shared" ref="U237:BG237" si="912">U80</f>
        <v>1516.1469999999997</v>
      </c>
      <c r="V237" s="231">
        <f t="shared" si="912"/>
        <v>1206.329</v>
      </c>
      <c r="W237" s="231">
        <f t="shared" si="912"/>
        <v>1102.5240000000015</v>
      </c>
      <c r="X237" s="231">
        <f t="shared" si="912"/>
        <v>-2333.4999999999982</v>
      </c>
      <c r="Y237" s="231">
        <f t="shared" si="912"/>
        <v>609.65999999999974</v>
      </c>
      <c r="Z237" s="231">
        <f t="shared" si="912"/>
        <v>-656.39499999999975</v>
      </c>
      <c r="AA237" s="231">
        <f t="shared" si="912"/>
        <v>-377.26499999999862</v>
      </c>
      <c r="AB237" s="231">
        <f t="shared" si="912"/>
        <v>-5946.2960000000003</v>
      </c>
      <c r="AC237" s="231">
        <f t="shared" si="912"/>
        <v>367.5979999999995</v>
      </c>
      <c r="AD237" s="231">
        <f t="shared" si="912"/>
        <v>-977.94300000000021</v>
      </c>
      <c r="AE237" s="231">
        <f t="shared" si="912"/>
        <v>90.194000000002802</v>
      </c>
      <c r="AF237" s="231">
        <f t="shared" si="912"/>
        <v>-5557.7230000000072</v>
      </c>
      <c r="AG237" s="231">
        <f t="shared" si="912"/>
        <v>-1181.0589999999995</v>
      </c>
      <c r="AH237" s="231">
        <f t="shared" si="912"/>
        <v>-2496.3080000000009</v>
      </c>
      <c r="AI237" s="231">
        <f t="shared" si="912"/>
        <v>-2234.5579999999973</v>
      </c>
      <c r="AJ237" s="231">
        <f t="shared" si="912"/>
        <v>-2526.1550000000043</v>
      </c>
      <c r="AK237" s="231">
        <f t="shared" si="912"/>
        <v>1269.3590000000004</v>
      </c>
      <c r="AL237" s="231">
        <f t="shared" si="912"/>
        <v>3433.7670000000071</v>
      </c>
      <c r="AM237" s="231">
        <f t="shared" si="912"/>
        <v>2627.1959999999954</v>
      </c>
      <c r="AN237" s="231">
        <f t="shared" si="912"/>
        <v>-5085.1480000000029</v>
      </c>
      <c r="AO237" s="231">
        <f t="shared" si="912"/>
        <v>1058.7620000000006</v>
      </c>
      <c r="AP237" s="231">
        <f t="shared" si="912"/>
        <v>2552.9249999999993</v>
      </c>
      <c r="AQ237" s="231">
        <f t="shared" si="912"/>
        <v>811.88900000000399</v>
      </c>
      <c r="AR237" s="231">
        <f t="shared" si="912"/>
        <v>-1677.9960000000049</v>
      </c>
      <c r="AS237" s="231">
        <f t="shared" si="912"/>
        <v>610.41199999999947</v>
      </c>
      <c r="AT237" s="231">
        <f t="shared" si="912"/>
        <v>-3504.5310000000027</v>
      </c>
      <c r="AU237" s="231">
        <f t="shared" si="912"/>
        <v>3258.9130000000023</v>
      </c>
      <c r="AV237" s="231">
        <f t="shared" si="912"/>
        <v>-3169.4989999999934</v>
      </c>
      <c r="AW237" s="231">
        <f t="shared" si="912"/>
        <v>752.91399999999976</v>
      </c>
      <c r="AX237" s="231">
        <f t="shared" si="912"/>
        <v>414.69299999999748</v>
      </c>
      <c r="AY237" s="231">
        <f t="shared" si="912"/>
        <v>-119.82799999999918</v>
      </c>
      <c r="AZ237" s="231">
        <f t="shared" si="912"/>
        <v>451.766999999983</v>
      </c>
      <c r="BA237" s="231">
        <f t="shared" si="912"/>
        <v>375.59500000000116</v>
      </c>
      <c r="BB237" s="231">
        <f t="shared" si="912"/>
        <v>773.95100000000275</v>
      </c>
      <c r="BC237" s="231">
        <f t="shared" si="912"/>
        <v>266.93799999999408</v>
      </c>
      <c r="BD237" s="231">
        <f t="shared" si="912"/>
        <v>649.58800000000065</v>
      </c>
      <c r="BE237" s="231">
        <f t="shared" si="912"/>
        <v>1133.08</v>
      </c>
      <c r="BF237" s="231">
        <f t="shared" si="912"/>
        <v>570.94000000000415</v>
      </c>
      <c r="BG237" s="231">
        <f t="shared" si="912"/>
        <v>319.08599999999251</v>
      </c>
      <c r="BH237" s="231">
        <f t="shared" ref="BH237:BI237" si="913">BH80</f>
        <v>1103.1510000000044</v>
      </c>
      <c r="BI237" s="231">
        <f t="shared" si="913"/>
        <v>783.94100000000071</v>
      </c>
      <c r="BJ237" s="231"/>
      <c r="BK237" s="54"/>
      <c r="BL237" s="54"/>
      <c r="BM237" s="54"/>
      <c r="BN237" s="54"/>
      <c r="BO237" s="54"/>
      <c r="BP237" s="54"/>
      <c r="BQ237" s="54" t="e">
        <f>#REF!-Y237-Z237-AA237</f>
        <v>#REF!</v>
      </c>
      <c r="BR237" s="54"/>
      <c r="BS237" s="54"/>
      <c r="BT237" s="46"/>
      <c r="BU237" s="46"/>
      <c r="BV237" s="54"/>
      <c r="BW237" s="54"/>
      <c r="BX237" s="54"/>
      <c r="BY237" s="46"/>
      <c r="BZ237" s="46"/>
      <c r="CA237" s="54"/>
      <c r="CB237" s="54"/>
      <c r="CC237" s="46"/>
      <c r="CD237" s="46"/>
      <c r="CE237" s="54"/>
      <c r="CF237" s="54"/>
      <c r="CG237" s="46"/>
      <c r="CH237" s="46"/>
      <c r="CI237" s="54"/>
    </row>
    <row r="238" spans="2:87" s="5" customFormat="1" ht="13.5" customHeight="1" thickBot="1">
      <c r="B238" s="51" t="s">
        <v>348</v>
      </c>
      <c r="C238" s="72">
        <f>SUM(C235:C237)</f>
        <v>67.26299999999992</v>
      </c>
      <c r="D238" s="72">
        <f t="shared" ref="D238:AA238" si="914">SUM(D235:D237)</f>
        <v>1253.8550000000005</v>
      </c>
      <c r="E238" s="234">
        <f t="shared" si="914"/>
        <v>2989.172</v>
      </c>
      <c r="F238" s="234">
        <f t="shared" ref="F238:K238" si="915">SUM(F235:F237)</f>
        <v>401.93599999999969</v>
      </c>
      <c r="G238" s="234">
        <f t="shared" si="915"/>
        <v>367.61100000000079</v>
      </c>
      <c r="H238" s="234">
        <f t="shared" si="915"/>
        <v>367.61100000000079</v>
      </c>
      <c r="I238" s="234">
        <f t="shared" si="915"/>
        <v>-5779.5319999999992</v>
      </c>
      <c r="J238" s="234">
        <f t="shared" si="915"/>
        <v>-1332.5320000000011</v>
      </c>
      <c r="K238" s="234">
        <f t="shared" si="915"/>
        <v>3016.259</v>
      </c>
      <c r="L238" s="234">
        <f t="shared" ref="L238:N238" si="916">SUM(L235:L237)</f>
        <v>-520.07899999999995</v>
      </c>
      <c r="M238" s="234">
        <f t="shared" ref="M238" si="917">SUM(M235:M237)</f>
        <v>-520.07899999999972</v>
      </c>
      <c r="N238" s="234">
        <f t="shared" si="916"/>
        <v>3909.9409999999993</v>
      </c>
      <c r="O238" s="234">
        <f t="shared" ref="O238" si="918">SUM(O235:O237)</f>
        <v>3294.8060000000019</v>
      </c>
      <c r="P238" s="234">
        <f>SUM(P235:P237)</f>
        <v>-6045.9699999999984</v>
      </c>
      <c r="Q238" s="234">
        <f>SUM(Q235:Q237)</f>
        <v>1496.9190000000001</v>
      </c>
      <c r="R238" s="234">
        <f>SUM(R235:R237)</f>
        <v>319.99599999999964</v>
      </c>
      <c r="S238" s="234">
        <f t="shared" ref="S238" si="919">SUM(S235:S237)</f>
        <v>2347.8790000000045</v>
      </c>
      <c r="U238" s="234">
        <f t="shared" si="914"/>
        <v>2681.0590000000002</v>
      </c>
      <c r="V238" s="234">
        <f t="shared" si="914"/>
        <v>-1571.4040000000002</v>
      </c>
      <c r="W238" s="234">
        <f t="shared" si="914"/>
        <v>4262.607</v>
      </c>
      <c r="X238" s="234">
        <f t="shared" si="914"/>
        <v>-2383.0899999999997</v>
      </c>
      <c r="Y238" s="234">
        <f t="shared" si="914"/>
        <v>970.17700000000002</v>
      </c>
      <c r="Z238" s="234">
        <f t="shared" si="914"/>
        <v>-2155.1310000000003</v>
      </c>
      <c r="AA238" s="234">
        <f t="shared" si="914"/>
        <v>55.563999999999851</v>
      </c>
      <c r="AB238" s="234">
        <f t="shared" ref="AB238:AH238" si="920">SUM(AB235:AB237)</f>
        <v>1531.3259999999982</v>
      </c>
      <c r="AC238" s="234">
        <f t="shared" si="920"/>
        <v>-2199.4760000000001</v>
      </c>
      <c r="AD238" s="234">
        <f t="shared" si="920"/>
        <v>3059.3429999999998</v>
      </c>
      <c r="AE238" s="234">
        <f t="shared" si="920"/>
        <v>-102.35699999999952</v>
      </c>
      <c r="AF238" s="234">
        <f t="shared" si="920"/>
        <v>-389.89900000000216</v>
      </c>
      <c r="AG238" s="234">
        <f t="shared" si="920"/>
        <v>-478.91899999999987</v>
      </c>
      <c r="AH238" s="234">
        <f t="shared" si="920"/>
        <v>-1416.0910000000001</v>
      </c>
      <c r="AI238" s="234">
        <f t="shared" ref="AI238:AN238" si="921">SUM(AI235:AI237)</f>
        <v>11371.387000000001</v>
      </c>
      <c r="AJ238" s="234">
        <f t="shared" si="921"/>
        <v>-10808.909000000003</v>
      </c>
      <c r="AK238" s="234">
        <f t="shared" si="921"/>
        <v>19191.534</v>
      </c>
      <c r="AL238" s="234">
        <f t="shared" si="921"/>
        <v>-15106.708999999999</v>
      </c>
      <c r="AM238" s="234">
        <f t="shared" si="921"/>
        <v>1695.633</v>
      </c>
      <c r="AN238" s="234">
        <f t="shared" si="921"/>
        <v>-2764.1990000000033</v>
      </c>
      <c r="AO238" s="234">
        <f>SUM(AO235:AO237)</f>
        <v>2050.2849999999999</v>
      </c>
      <c r="AP238" s="234">
        <f>SUM(AP235:AP237)</f>
        <v>595.5169999999996</v>
      </c>
      <c r="AQ238" s="234">
        <f>SUM(AQ235:AQ237)</f>
        <v>-759.82799999999975</v>
      </c>
      <c r="AR238" s="234">
        <f t="shared" ref="AR238" si="922">SUM(AR235:AR237)</f>
        <v>-2406.0530000000044</v>
      </c>
      <c r="AS238" s="234">
        <f>SUM(AS235:AS237)</f>
        <v>351.40700000000004</v>
      </c>
      <c r="AT238" s="234">
        <f>SUM(AT235:AT237)</f>
        <v>-2326.1959999999999</v>
      </c>
      <c r="AU238" s="234">
        <f>SUM(AU235:AU237)</f>
        <v>554.36200000000053</v>
      </c>
      <c r="AV238" s="234">
        <f t="shared" ref="AV238" si="923">SUM(AV235:AV237)</f>
        <v>5330.3680000000068</v>
      </c>
      <c r="AW238" s="234">
        <f>SUM(AW235:AW237)</f>
        <v>-6311</v>
      </c>
      <c r="AX238" s="234">
        <f>SUM(AX235:AX237)</f>
        <v>588.6489999999983</v>
      </c>
      <c r="AY238" s="234">
        <f>SUM(AY235:AY237)</f>
        <v>-496.5579999999992</v>
      </c>
      <c r="AZ238" s="234">
        <f t="shared" ref="AZ238" si="924">SUM(AZ235:AZ237)</f>
        <v>172.93899999999735</v>
      </c>
      <c r="BA238" s="234">
        <f>SUM(BA235:BA237)</f>
        <v>11369.877</v>
      </c>
      <c r="BB238" s="234">
        <f>SUM(BB235:BB237)</f>
        <v>-9826.2450000000008</v>
      </c>
      <c r="BC238" s="234">
        <f>SUM(BC235:BC237)</f>
        <v>553.75300000000095</v>
      </c>
      <c r="BD238" s="234">
        <f t="shared" ref="BD238" si="925">SUM(BD235:BD237)</f>
        <v>-600.46600000000672</v>
      </c>
      <c r="BE238" s="234">
        <f>SUM(BE235:BE237)</f>
        <v>9723.2099999999991</v>
      </c>
      <c r="BF238" s="234">
        <f>SUM(BF235:BF237)</f>
        <v>-10391.482</v>
      </c>
      <c r="BG238" s="234">
        <f>SUM(BG235:BG237)</f>
        <v>6671.4710000000014</v>
      </c>
      <c r="BH238" s="234">
        <f>SUM(BH235:BH237)</f>
        <v>-5683.2029999999959</v>
      </c>
      <c r="BI238" s="234">
        <f>SUM(BI235:BI237)</f>
        <v>11751.092999999999</v>
      </c>
      <c r="BJ238" s="231"/>
      <c r="BK238" s="54"/>
      <c r="BL238" s="54"/>
      <c r="BM238" s="54"/>
      <c r="BN238" s="54"/>
      <c r="BO238" s="54"/>
      <c r="BP238" s="54"/>
      <c r="BQ238" s="72" t="e">
        <f>SUM(BQ235:BQ237)</f>
        <v>#REF!</v>
      </c>
      <c r="BR238" s="54"/>
      <c r="BS238" s="54"/>
      <c r="BT238" s="46"/>
      <c r="BU238" s="46"/>
      <c r="BV238" s="54"/>
      <c r="BW238" s="54"/>
      <c r="BX238" s="54"/>
      <c r="BY238" s="46"/>
      <c r="BZ238" s="46"/>
      <c r="CA238" s="54"/>
      <c r="CB238" s="54"/>
      <c r="CC238" s="46"/>
      <c r="CD238" s="46"/>
      <c r="CE238" s="54"/>
      <c r="CF238" s="54"/>
      <c r="CG238" s="46"/>
      <c r="CH238" s="46"/>
      <c r="CI238" s="54"/>
    </row>
    <row r="239" spans="2:87" ht="13.5" customHeight="1" thickTop="1">
      <c r="B239" s="7" t="s">
        <v>349</v>
      </c>
      <c r="C239" s="114">
        <f t="shared" ref="C239:AH239" si="926">C165</f>
        <v>2572</v>
      </c>
      <c r="D239" s="114">
        <f t="shared" si="926"/>
        <v>3825</v>
      </c>
      <c r="E239" s="114">
        <f t="shared" si="926"/>
        <v>6814.27</v>
      </c>
      <c r="F239" s="114">
        <f t="shared" si="926"/>
        <v>7216.2060000000001</v>
      </c>
      <c r="G239" s="114">
        <f t="shared" si="926"/>
        <v>7583.817</v>
      </c>
      <c r="H239" s="114">
        <f t="shared" ref="H239:N239" si="927">H165</f>
        <v>7583.817</v>
      </c>
      <c r="I239" s="114">
        <f t="shared" si="927"/>
        <v>6251.2849999999999</v>
      </c>
      <c r="J239" s="114">
        <f t="shared" si="927"/>
        <v>6251.2849999999999</v>
      </c>
      <c r="K239" s="114">
        <f t="shared" si="927"/>
        <v>9267.5439999999999</v>
      </c>
      <c r="L239" s="114">
        <f t="shared" si="927"/>
        <v>8747.4650000000001</v>
      </c>
      <c r="M239" s="114">
        <f t="shared" ref="M239" si="928">M165</f>
        <v>8747.4650000000001</v>
      </c>
      <c r="N239" s="114">
        <f t="shared" si="927"/>
        <v>12313.138000000001</v>
      </c>
      <c r="O239" s="114">
        <f t="shared" ref="O239" si="929">O165</f>
        <v>12313.138000000001</v>
      </c>
      <c r="P239" s="114">
        <f>P165</f>
        <v>6353.1239999999998</v>
      </c>
      <c r="Q239" s="114">
        <f>Q165</f>
        <v>8057.0429999999997</v>
      </c>
      <c r="R239" s="114">
        <f>R165</f>
        <v>8535.0390000000007</v>
      </c>
      <c r="S239" s="114">
        <f t="shared" ref="S239" si="930">S165</f>
        <v>19573.956999999999</v>
      </c>
      <c r="U239" s="114">
        <f t="shared" si="926"/>
        <v>6407</v>
      </c>
      <c r="V239" s="114">
        <f t="shared" si="926"/>
        <v>4631</v>
      </c>
      <c r="W239" s="114">
        <f t="shared" si="926"/>
        <v>8895</v>
      </c>
      <c r="X239" s="114">
        <f t="shared" si="926"/>
        <v>6814.27</v>
      </c>
      <c r="Y239" s="114">
        <f t="shared" si="926"/>
        <v>7784</v>
      </c>
      <c r="Z239" s="114">
        <f t="shared" si="926"/>
        <v>5629</v>
      </c>
      <c r="AA239" s="114">
        <f t="shared" si="926"/>
        <v>5685</v>
      </c>
      <c r="AB239" s="114">
        <f t="shared" si="926"/>
        <v>7216.2060000000001</v>
      </c>
      <c r="AC239" s="114">
        <f t="shared" si="926"/>
        <v>5016.7299999999996</v>
      </c>
      <c r="AD239" s="114">
        <f t="shared" si="926"/>
        <v>8076.0730000000003</v>
      </c>
      <c r="AE239" s="114">
        <f t="shared" si="926"/>
        <v>7973.7160000000003</v>
      </c>
      <c r="AF239" s="114">
        <f t="shared" si="926"/>
        <v>7583.817</v>
      </c>
      <c r="AG239" s="114">
        <f t="shared" si="926"/>
        <v>7104.8980000000001</v>
      </c>
      <c r="AH239" s="114">
        <f t="shared" si="926"/>
        <v>5688.8069999999998</v>
      </c>
      <c r="AI239" s="114">
        <f t="shared" ref="AI239:AN239" si="931">AI165</f>
        <v>17060.194</v>
      </c>
      <c r="AJ239" s="114">
        <f t="shared" si="931"/>
        <v>6251.2849999999999</v>
      </c>
      <c r="AK239" s="114">
        <f t="shared" si="931"/>
        <v>25442.819</v>
      </c>
      <c r="AL239" s="114">
        <f t="shared" si="931"/>
        <v>10336.11</v>
      </c>
      <c r="AM239" s="114">
        <f t="shared" si="931"/>
        <v>12031.743</v>
      </c>
      <c r="AN239" s="114">
        <f t="shared" si="931"/>
        <v>9267.5439999999999</v>
      </c>
      <c r="AO239" s="114">
        <f>AO165</f>
        <v>11317.829</v>
      </c>
      <c r="AP239" s="114">
        <f>AP165</f>
        <v>11913.346</v>
      </c>
      <c r="AQ239" s="114">
        <f>AQ165</f>
        <v>11153.518</v>
      </c>
      <c r="AR239" s="114">
        <f t="shared" ref="AR239" si="932">AR165</f>
        <v>8747.4650000000001</v>
      </c>
      <c r="AS239" s="114">
        <f>AS165</f>
        <v>9098.8719999999994</v>
      </c>
      <c r="AT239" s="114">
        <f>AT165</f>
        <v>6772.6760000000004</v>
      </c>
      <c r="AU239" s="114">
        <f>AU165</f>
        <v>7327.0379999999996</v>
      </c>
      <c r="AV239" s="114">
        <f t="shared" ref="AV239" si="933">AV165</f>
        <v>12313.138000000001</v>
      </c>
      <c r="AW239" s="114">
        <f>AW165</f>
        <v>5981.1629999999996</v>
      </c>
      <c r="AX239" s="114">
        <f>AX165</f>
        <v>6485.7870000000003</v>
      </c>
      <c r="AY239" s="114">
        <f>AY165</f>
        <v>6249.2889999999998</v>
      </c>
      <c r="AZ239" s="114">
        <f t="shared" ref="AZ239" si="934">AZ165</f>
        <v>6353.1239999999998</v>
      </c>
      <c r="BA239" s="114">
        <f>BA165</f>
        <v>17567.612000000001</v>
      </c>
      <c r="BB239" s="114">
        <f>BB165</f>
        <v>7615.62</v>
      </c>
      <c r="BC239" s="114">
        <f>BC165</f>
        <v>8434.3169999999991</v>
      </c>
      <c r="BD239" s="114">
        <f t="shared" ref="BD239" si="935">BD165</f>
        <v>8057.0429999999997</v>
      </c>
      <c r="BE239" s="114">
        <f>BE165</f>
        <v>17778.945</v>
      </c>
      <c r="BF239" s="114">
        <f>BF165</f>
        <v>7493.7719999999999</v>
      </c>
      <c r="BG239" s="114">
        <f>BG165</f>
        <v>13616.759</v>
      </c>
      <c r="BH239" s="114">
        <f>BH165</f>
        <v>8535.0390000000007</v>
      </c>
      <c r="BI239" s="114">
        <f>BI165</f>
        <v>19573.956999999999</v>
      </c>
      <c r="BJ239" s="114"/>
      <c r="BK239" s="114"/>
      <c r="BL239" s="114"/>
      <c r="BM239" s="114"/>
      <c r="BN239" s="114"/>
      <c r="BO239" s="114"/>
      <c r="BP239" s="114"/>
      <c r="BQ239" s="114" t="e">
        <f>BQ82</f>
        <v>#REF!</v>
      </c>
      <c r="BR239" s="114"/>
      <c r="BS239" s="114"/>
      <c r="BT239" s="46"/>
      <c r="BU239" s="46"/>
      <c r="BV239" s="114"/>
      <c r="BW239" s="114"/>
      <c r="BX239" s="114"/>
      <c r="BY239" s="46"/>
      <c r="BZ239" s="46"/>
      <c r="CA239" s="114"/>
      <c r="CB239" s="114"/>
      <c r="CC239" s="46"/>
      <c r="CD239" s="46"/>
      <c r="CE239" s="114"/>
      <c r="CF239" s="114"/>
      <c r="CG239" s="46"/>
      <c r="CH239" s="46"/>
      <c r="CI239" s="114"/>
    </row>
    <row r="240" spans="2:87" ht="13.5" customHeight="1">
      <c r="B240" s="15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57"/>
      <c r="BR240" s="42"/>
      <c r="BS240" s="42"/>
      <c r="BT240" s="46"/>
      <c r="BU240" s="46"/>
      <c r="BV240" s="42"/>
      <c r="BW240" s="42"/>
      <c r="BX240" s="42"/>
      <c r="BY240" s="46"/>
      <c r="BZ240" s="46"/>
      <c r="CA240" s="42"/>
      <c r="CB240" s="42"/>
      <c r="CC240" s="46"/>
      <c r="CD240" s="46"/>
      <c r="CE240" s="42"/>
      <c r="CF240" s="42"/>
      <c r="CG240" s="46"/>
      <c r="CH240" s="46"/>
      <c r="CI240" s="42"/>
    </row>
    <row r="241" spans="2:87" s="5" customFormat="1" ht="13.5" customHeight="1">
      <c r="B241" s="15" t="s">
        <v>406</v>
      </c>
      <c r="C241" s="46">
        <f t="shared" ref="C241:AH241" si="936">C167</f>
        <v>59632</v>
      </c>
      <c r="D241" s="46">
        <f t="shared" si="936"/>
        <v>63936</v>
      </c>
      <c r="E241" s="46">
        <f t="shared" si="936"/>
        <v>75686.73</v>
      </c>
      <c r="F241" s="46">
        <f t="shared" si="936"/>
        <v>87096.530999999988</v>
      </c>
      <c r="G241" s="46">
        <f t="shared" si="936"/>
        <v>82261.985000000001</v>
      </c>
      <c r="H241" s="46">
        <f t="shared" ref="H241:K242" si="937">H167</f>
        <v>82261.985000000001</v>
      </c>
      <c r="I241" s="46">
        <f t="shared" si="937"/>
        <v>80420.491999999998</v>
      </c>
      <c r="J241" s="46">
        <f t="shared" si="937"/>
        <v>80420.491999999998</v>
      </c>
      <c r="K241" s="46">
        <f t="shared" si="937"/>
        <v>75961.206999999995</v>
      </c>
      <c r="L241" s="46">
        <f t="shared" ref="L241:N241" si="938">L167</f>
        <v>84107.712</v>
      </c>
      <c r="M241" s="46">
        <f t="shared" ref="M241" si="939">M167</f>
        <v>84107.712</v>
      </c>
      <c r="N241" s="46">
        <f t="shared" si="938"/>
        <v>71741.335999999996</v>
      </c>
      <c r="O241" s="46">
        <f t="shared" ref="O241" si="940">O167</f>
        <v>71741.335999999996</v>
      </c>
      <c r="P241" s="46">
        <f t="shared" ref="P241:R242" si="941">P167</f>
        <v>103582.197</v>
      </c>
      <c r="Q241" s="46">
        <f t="shared" si="941"/>
        <v>142848.50900000002</v>
      </c>
      <c r="R241" s="46">
        <f t="shared" si="941"/>
        <v>145128.05300000001</v>
      </c>
      <c r="S241" s="46">
        <f t="shared" ref="S241" si="942">S167</f>
        <v>137751.18300000002</v>
      </c>
      <c r="T241" s="292"/>
      <c r="U241" s="46">
        <f t="shared" si="936"/>
        <v>62343</v>
      </c>
      <c r="V241" s="46">
        <f t="shared" si="936"/>
        <v>69333</v>
      </c>
      <c r="W241" s="46">
        <f t="shared" si="936"/>
        <v>72562</v>
      </c>
      <c r="X241" s="46">
        <f t="shared" si="936"/>
        <v>75686.73</v>
      </c>
      <c r="Y241" s="46">
        <f t="shared" si="936"/>
        <v>69651</v>
      </c>
      <c r="Z241" s="46">
        <f t="shared" si="936"/>
        <v>67313</v>
      </c>
      <c r="AA241" s="46">
        <f t="shared" si="936"/>
        <v>69871</v>
      </c>
      <c r="AB241" s="46">
        <f t="shared" si="936"/>
        <v>87096.530999999988</v>
      </c>
      <c r="AC241" s="46">
        <f t="shared" si="936"/>
        <v>84523.865000000005</v>
      </c>
      <c r="AD241" s="46">
        <f t="shared" si="936"/>
        <v>84655.418999999994</v>
      </c>
      <c r="AE241" s="46">
        <f t="shared" si="936"/>
        <v>79961.395000000004</v>
      </c>
      <c r="AF241" s="46">
        <f t="shared" si="936"/>
        <v>82261.985000000001</v>
      </c>
      <c r="AG241" s="46">
        <f t="shared" si="936"/>
        <v>82902.271000000008</v>
      </c>
      <c r="AH241" s="46">
        <f t="shared" si="936"/>
        <v>83425.841</v>
      </c>
      <c r="AI241" s="46">
        <f t="shared" ref="AI241:AK242" si="943">AI167</f>
        <v>84892.054999999993</v>
      </c>
      <c r="AJ241" s="46">
        <f t="shared" si="943"/>
        <v>80420.491999999998</v>
      </c>
      <c r="AK241" s="46">
        <f t="shared" si="943"/>
        <v>94693.752999999997</v>
      </c>
      <c r="AL241" s="46">
        <f t="shared" ref="AL241:AO242" si="944">AL167</f>
        <v>92856.750999999989</v>
      </c>
      <c r="AM241" s="46">
        <f t="shared" si="944"/>
        <v>84639.724000000002</v>
      </c>
      <c r="AN241" s="46">
        <f t="shared" si="944"/>
        <v>75961.206999999995</v>
      </c>
      <c r="AO241" s="46">
        <f t="shared" si="944"/>
        <v>76753.804000000004</v>
      </c>
      <c r="AP241" s="46">
        <f>AP167</f>
        <v>76548.736999999994</v>
      </c>
      <c r="AQ241" s="46">
        <f>AQ167</f>
        <v>79734.562000000005</v>
      </c>
      <c r="AR241" s="46">
        <f t="shared" ref="AR241:AS241" si="945">AR167</f>
        <v>84107.712</v>
      </c>
      <c r="AS241" s="46">
        <f t="shared" si="945"/>
        <v>81922.910999999993</v>
      </c>
      <c r="AT241" s="46">
        <f>AT167</f>
        <v>86900.307000000001</v>
      </c>
      <c r="AU241" s="46">
        <f>AU167</f>
        <v>92391.284</v>
      </c>
      <c r="AV241" s="46">
        <f t="shared" ref="AV241:AW241" si="946">AV167</f>
        <v>71741.335999999996</v>
      </c>
      <c r="AW241" s="46">
        <f t="shared" si="946"/>
        <v>86557.895000000004</v>
      </c>
      <c r="AX241" s="46">
        <f>AX167</f>
        <v>93994.226999999999</v>
      </c>
      <c r="AY241" s="46">
        <f>AY167</f>
        <v>101032.43</v>
      </c>
      <c r="AZ241" s="46">
        <f t="shared" ref="AZ241:BA241" si="947">AZ167</f>
        <v>103582.197</v>
      </c>
      <c r="BA241" s="46">
        <f t="shared" si="947"/>
        <v>110823.81899999999</v>
      </c>
      <c r="BB241" s="46">
        <f>BB167</f>
        <v>127879.698</v>
      </c>
      <c r="BC241" s="46">
        <f>BC167</f>
        <v>137201.193</v>
      </c>
      <c r="BD241" s="46">
        <f t="shared" ref="BD241:BE241" si="948">BD167</f>
        <v>142848.50900000002</v>
      </c>
      <c r="BE241" s="46">
        <f t="shared" si="948"/>
        <v>143459.47400000002</v>
      </c>
      <c r="BF241" s="46">
        <f t="shared" ref="BF241:BI242" si="949">BF167</f>
        <v>149441.34100000001</v>
      </c>
      <c r="BG241" s="46">
        <f t="shared" si="949"/>
        <v>143071.36500000002</v>
      </c>
      <c r="BH241" s="46">
        <f t="shared" si="949"/>
        <v>145128.05300000001</v>
      </c>
      <c r="BI241" s="46">
        <f t="shared" si="949"/>
        <v>137751.18300000002</v>
      </c>
      <c r="BJ241" s="46"/>
      <c r="BK241" s="46"/>
      <c r="BL241" s="46"/>
      <c r="BM241" s="46"/>
      <c r="BN241" s="46"/>
      <c r="BO241" s="46"/>
      <c r="BP241" s="46"/>
      <c r="BQ241" s="361"/>
      <c r="BR241" s="46"/>
      <c r="BS241" s="46"/>
      <c r="BT241" s="46"/>
      <c r="BU241" s="46"/>
      <c r="BV241" s="46"/>
      <c r="BW241" s="46"/>
      <c r="BX241" s="46"/>
      <c r="BY241" s="46"/>
      <c r="BZ241" s="46"/>
      <c r="CA241" s="46"/>
      <c r="CB241" s="46"/>
      <c r="CC241" s="46"/>
      <c r="CD241" s="46"/>
      <c r="CE241" s="46"/>
      <c r="CF241" s="46"/>
      <c r="CG241" s="46"/>
      <c r="CH241" s="46"/>
      <c r="CI241" s="46"/>
    </row>
    <row r="242" spans="2:87" ht="13.5" customHeight="1">
      <c r="B242" s="7" t="s">
        <v>407</v>
      </c>
      <c r="C242" s="114">
        <f t="shared" ref="C242:AH242" si="950">C168</f>
        <v>62204</v>
      </c>
      <c r="D242" s="114">
        <f t="shared" si="950"/>
        <v>67761</v>
      </c>
      <c r="E242" s="114">
        <f t="shared" si="950"/>
        <v>82501</v>
      </c>
      <c r="F242" s="114">
        <f t="shared" si="950"/>
        <v>94312.736999999994</v>
      </c>
      <c r="G242" s="114">
        <f t="shared" si="950"/>
        <v>89845.801999999996</v>
      </c>
      <c r="H242" s="114">
        <f t="shared" si="937"/>
        <v>89845.801999999996</v>
      </c>
      <c r="I242" s="114">
        <f t="shared" si="937"/>
        <v>86671.777000000002</v>
      </c>
      <c r="J242" s="114">
        <f t="shared" si="937"/>
        <v>86671.777000000002</v>
      </c>
      <c r="K242" s="114">
        <f t="shared" si="937"/>
        <v>85228.750999999989</v>
      </c>
      <c r="L242" s="114">
        <f t="shared" ref="L242:N242" si="951">L168</f>
        <v>92855.176999999996</v>
      </c>
      <c r="M242" s="114">
        <f t="shared" ref="M242" si="952">M168</f>
        <v>92855.176999999996</v>
      </c>
      <c r="N242" s="114">
        <f t="shared" si="951"/>
        <v>84054.474000000002</v>
      </c>
      <c r="O242" s="114">
        <f t="shared" ref="O242" si="953">O168</f>
        <v>84054.474000000002</v>
      </c>
      <c r="P242" s="114">
        <f t="shared" si="941"/>
        <v>109935.321</v>
      </c>
      <c r="Q242" s="114">
        <f t="shared" si="941"/>
        <v>150905.55200000003</v>
      </c>
      <c r="R242" s="114">
        <f t="shared" si="941"/>
        <v>153663.092</v>
      </c>
      <c r="S242" s="114">
        <f t="shared" ref="S242" si="954">S168</f>
        <v>157325.14000000001</v>
      </c>
      <c r="U242" s="114">
        <f t="shared" si="950"/>
        <v>68750</v>
      </c>
      <c r="V242" s="114">
        <f t="shared" si="950"/>
        <v>73964</v>
      </c>
      <c r="W242" s="114">
        <f t="shared" si="950"/>
        <v>81457</v>
      </c>
      <c r="X242" s="114">
        <f t="shared" si="950"/>
        <v>82501</v>
      </c>
      <c r="Y242" s="114">
        <f t="shared" si="950"/>
        <v>77435</v>
      </c>
      <c r="Z242" s="114">
        <f t="shared" si="950"/>
        <v>72942</v>
      </c>
      <c r="AA242" s="114">
        <f t="shared" si="950"/>
        <v>75556</v>
      </c>
      <c r="AB242" s="114">
        <f t="shared" si="950"/>
        <v>94312.736999999994</v>
      </c>
      <c r="AC242" s="114">
        <f t="shared" si="950"/>
        <v>89540.595000000001</v>
      </c>
      <c r="AD242" s="114">
        <f t="shared" si="950"/>
        <v>92731.491999999998</v>
      </c>
      <c r="AE242" s="114">
        <f t="shared" si="950"/>
        <v>87935.111000000004</v>
      </c>
      <c r="AF242" s="114">
        <f t="shared" si="950"/>
        <v>89845.801999999996</v>
      </c>
      <c r="AG242" s="114">
        <f t="shared" si="950"/>
        <v>90007.169000000009</v>
      </c>
      <c r="AH242" s="114">
        <f t="shared" si="950"/>
        <v>89114.648000000001</v>
      </c>
      <c r="AI242" s="114">
        <f t="shared" si="943"/>
        <v>101952.249</v>
      </c>
      <c r="AJ242" s="114">
        <f t="shared" si="943"/>
        <v>86671.777000000002</v>
      </c>
      <c r="AK242" s="114">
        <f t="shared" si="943"/>
        <v>120136.572</v>
      </c>
      <c r="AL242" s="114">
        <f t="shared" si="944"/>
        <v>103192.86099999999</v>
      </c>
      <c r="AM242" s="114">
        <f t="shared" si="944"/>
        <v>96671.467000000004</v>
      </c>
      <c r="AN242" s="114">
        <f t="shared" si="944"/>
        <v>85228.750999999989</v>
      </c>
      <c r="AO242" s="114">
        <f t="shared" si="944"/>
        <v>88071.633000000002</v>
      </c>
      <c r="AP242" s="114">
        <f>AP168</f>
        <v>88462.082999999999</v>
      </c>
      <c r="AQ242" s="114">
        <f>AQ168</f>
        <v>90888.08</v>
      </c>
      <c r="AR242" s="114">
        <f t="shared" ref="AR242:AS242" si="955">AR168</f>
        <v>92855.176999999996</v>
      </c>
      <c r="AS242" s="114">
        <f t="shared" si="955"/>
        <v>91021.782999999996</v>
      </c>
      <c r="AT242" s="114">
        <f>AT168</f>
        <v>93672.983000000007</v>
      </c>
      <c r="AU242" s="114">
        <f>AU168</f>
        <v>99718.322</v>
      </c>
      <c r="AV242" s="114">
        <f t="shared" ref="AV242:AW242" si="956">AV168</f>
        <v>84054.474000000002</v>
      </c>
      <c r="AW242" s="114">
        <f t="shared" si="956"/>
        <v>92539.058000000005</v>
      </c>
      <c r="AX242" s="114">
        <f>AX168</f>
        <v>100480.014</v>
      </c>
      <c r="AY242" s="114">
        <f>AY168</f>
        <v>107281.719</v>
      </c>
      <c r="AZ242" s="114">
        <f t="shared" ref="AZ242:BA242" si="957">AZ168</f>
        <v>109935.321</v>
      </c>
      <c r="BA242" s="114">
        <f t="shared" si="957"/>
        <v>128391.431</v>
      </c>
      <c r="BB242" s="114">
        <f>BB168</f>
        <v>135495.318</v>
      </c>
      <c r="BC242" s="114">
        <f>BC168</f>
        <v>145635.51</v>
      </c>
      <c r="BD242" s="114">
        <f t="shared" ref="BD242:BE242" si="958">BD168</f>
        <v>150905.55200000003</v>
      </c>
      <c r="BE242" s="114">
        <f t="shared" si="958"/>
        <v>161238.41900000002</v>
      </c>
      <c r="BF242" s="114">
        <f t="shared" si="949"/>
        <v>156935.11300000001</v>
      </c>
      <c r="BG242" s="114">
        <f t="shared" si="949"/>
        <v>156688.12400000001</v>
      </c>
      <c r="BH242" s="114">
        <f t="shared" si="949"/>
        <v>153663.092</v>
      </c>
      <c r="BI242" s="114">
        <f t="shared" si="949"/>
        <v>157325.14000000001</v>
      </c>
      <c r="BJ242" s="114"/>
      <c r="BK242" s="114"/>
      <c r="BL242" s="114"/>
      <c r="BM242" s="114"/>
      <c r="BN242" s="114"/>
      <c r="BO242" s="114"/>
      <c r="BP242" s="114"/>
      <c r="BQ242" s="57"/>
      <c r="BR242" s="114"/>
      <c r="BS242" s="114"/>
      <c r="BT242" s="46"/>
      <c r="BU242" s="46"/>
      <c r="BV242" s="114"/>
      <c r="BW242" s="114"/>
      <c r="BX242" s="114"/>
      <c r="BY242" s="46"/>
      <c r="BZ242" s="46"/>
      <c r="CA242" s="114"/>
      <c r="CB242" s="114"/>
      <c r="CC242" s="46"/>
      <c r="CD242" s="46"/>
      <c r="CE242" s="114"/>
      <c r="CF242" s="114"/>
      <c r="CG242" s="46"/>
      <c r="CH242" s="46"/>
      <c r="CI242" s="114"/>
    </row>
    <row r="243" spans="2:87" ht="13.5" customHeight="1">
      <c r="B243" s="15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N243" s="57"/>
      <c r="AO243" s="57"/>
      <c r="AP243" s="57"/>
      <c r="AQ243" s="57"/>
      <c r="AR243" s="57"/>
      <c r="AS243" s="57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46"/>
      <c r="BU243" s="46"/>
      <c r="BV243" s="57"/>
      <c r="BW243" s="57"/>
      <c r="BX243" s="57"/>
      <c r="BY243" s="46"/>
      <c r="BZ243" s="46"/>
      <c r="CA243" s="57"/>
      <c r="CB243" s="57"/>
      <c r="CC243" s="46"/>
      <c r="CD243" s="46"/>
      <c r="CE243" s="57"/>
      <c r="CF243" s="57"/>
      <c r="CG243" s="46"/>
      <c r="CH243" s="46"/>
      <c r="CI243" s="57"/>
    </row>
    <row r="244" spans="2:87" s="5" customFormat="1" ht="13.5" customHeight="1">
      <c r="B244" s="5" t="s">
        <v>382</v>
      </c>
      <c r="C244" s="46">
        <f t="shared" ref="C244:AH244" si="959">C172</f>
        <v>59632</v>
      </c>
      <c r="D244" s="46">
        <f t="shared" si="959"/>
        <v>63936</v>
      </c>
      <c r="E244" s="46">
        <f t="shared" si="959"/>
        <v>75686.73</v>
      </c>
      <c r="F244" s="46">
        <f t="shared" si="959"/>
        <v>87096.530999999988</v>
      </c>
      <c r="G244" s="46">
        <f t="shared" si="959"/>
        <v>91444.207999999999</v>
      </c>
      <c r="H244" s="46">
        <f t="shared" ref="H244:K245" si="960">H172</f>
        <v>91400.042000000001</v>
      </c>
      <c r="I244" s="46">
        <f t="shared" si="960"/>
        <v>89351.631999999998</v>
      </c>
      <c r="J244" s="46">
        <f t="shared" si="960"/>
        <v>89351.631999999998</v>
      </c>
      <c r="K244" s="46">
        <f t="shared" si="960"/>
        <v>84956.476999999999</v>
      </c>
      <c r="L244" s="46">
        <f t="shared" ref="L244:N244" si="961">L172</f>
        <v>92974.481</v>
      </c>
      <c r="M244" s="46">
        <f t="shared" ref="M244" si="962">M172</f>
        <v>92974.481</v>
      </c>
      <c r="N244" s="46">
        <f t="shared" si="961"/>
        <v>79807.262999999992</v>
      </c>
      <c r="O244" s="46">
        <f t="shared" ref="O244" si="963">O172</f>
        <v>79807.262999999992</v>
      </c>
      <c r="P244" s="46">
        <f t="shared" ref="P244:R245" si="964">P172</f>
        <v>103582.197</v>
      </c>
      <c r="Q244" s="46">
        <f t="shared" si="964"/>
        <v>142848.50900000002</v>
      </c>
      <c r="R244" s="46">
        <f t="shared" si="964"/>
        <v>145128.05300000001</v>
      </c>
      <c r="S244" s="46">
        <f t="shared" ref="S244" si="965">S172</f>
        <v>137751.18300000002</v>
      </c>
      <c r="T244" s="292"/>
      <c r="U244" s="46">
        <f t="shared" si="959"/>
        <v>62343</v>
      </c>
      <c r="V244" s="46">
        <f t="shared" si="959"/>
        <v>69333</v>
      </c>
      <c r="W244" s="46">
        <f t="shared" si="959"/>
        <v>72562</v>
      </c>
      <c r="X244" s="46">
        <f t="shared" si="959"/>
        <v>75686.73</v>
      </c>
      <c r="Y244" s="46">
        <f t="shared" si="959"/>
        <v>69651</v>
      </c>
      <c r="Z244" s="46">
        <f t="shared" si="959"/>
        <v>67313</v>
      </c>
      <c r="AA244" s="46">
        <f t="shared" si="959"/>
        <v>69871</v>
      </c>
      <c r="AB244" s="46">
        <f t="shared" si="959"/>
        <v>87096.530999999988</v>
      </c>
      <c r="AC244" s="46">
        <f t="shared" si="959"/>
        <v>84523.865000000005</v>
      </c>
      <c r="AD244" s="46">
        <f t="shared" si="959"/>
        <v>93913.134999999995</v>
      </c>
      <c r="AE244" s="46">
        <f t="shared" si="959"/>
        <v>89063.165000000008</v>
      </c>
      <c r="AF244" s="46">
        <f t="shared" si="959"/>
        <v>91444.207999999999</v>
      </c>
      <c r="AG244" s="46">
        <f t="shared" si="959"/>
        <v>92122.33600000001</v>
      </c>
      <c r="AH244" s="46">
        <f t="shared" si="959"/>
        <v>92614.315000000002</v>
      </c>
      <c r="AI244" s="46">
        <f t="shared" ref="AI244:AK245" si="966">AI172</f>
        <v>94003.11099999999</v>
      </c>
      <c r="AJ244" s="46">
        <f t="shared" si="966"/>
        <v>89351.631999999998</v>
      </c>
      <c r="AK244" s="46">
        <f t="shared" si="966"/>
        <v>104282.516</v>
      </c>
      <c r="AL244" s="46">
        <f t="shared" ref="AL244:AO245" si="967">AL172</f>
        <v>102359.416</v>
      </c>
      <c r="AM244" s="46">
        <f t="shared" si="967"/>
        <v>94025.668000000005</v>
      </c>
      <c r="AN244" s="46">
        <f t="shared" si="967"/>
        <v>84956.476999999999</v>
      </c>
      <c r="AO244" s="46">
        <f t="shared" si="967"/>
        <v>85814.17300000001</v>
      </c>
      <c r="AP244" s="46">
        <f>AP172</f>
        <v>85450.409999999989</v>
      </c>
      <c r="AQ244" s="46">
        <f>AQ172</f>
        <v>88648.044000000009</v>
      </c>
      <c r="AR244" s="46">
        <f t="shared" ref="AR244:AS244" si="968">AR172</f>
        <v>92974.481</v>
      </c>
      <c r="AS244" s="46">
        <f t="shared" si="968"/>
        <v>90646.184999999998</v>
      </c>
      <c r="AT244" s="46">
        <f>AT172</f>
        <v>95540.620999999999</v>
      </c>
      <c r="AU244" s="46">
        <f>AU172</f>
        <v>100815.44</v>
      </c>
      <c r="AV244" s="46">
        <f t="shared" ref="AV244:AW244" si="969">AV172</f>
        <v>79807.262999999992</v>
      </c>
      <c r="AW244" s="46">
        <f t="shared" si="969"/>
        <v>94656.619000000006</v>
      </c>
      <c r="AX244" s="46">
        <f>AX172</f>
        <v>93994.226999999999</v>
      </c>
      <c r="AY244" s="46">
        <f>AY172</f>
        <v>101032.43</v>
      </c>
      <c r="AZ244" s="46">
        <f t="shared" ref="AZ244:BA244" si="970">AZ172</f>
        <v>103582.197</v>
      </c>
      <c r="BA244" s="46">
        <f t="shared" si="970"/>
        <v>110823.81899999999</v>
      </c>
      <c r="BB244" s="46">
        <f>BB172</f>
        <v>127879.698</v>
      </c>
      <c r="BC244" s="46">
        <f>BC172</f>
        <v>137201.193</v>
      </c>
      <c r="BD244" s="46">
        <f t="shared" ref="BD244:BE244" si="971">BD172</f>
        <v>142848.50900000002</v>
      </c>
      <c r="BE244" s="46">
        <f t="shared" si="971"/>
        <v>143459.47400000002</v>
      </c>
      <c r="BF244" s="46">
        <f t="shared" ref="BF244:BI245" si="972">BF172</f>
        <v>149441.34100000001</v>
      </c>
      <c r="BG244" s="46">
        <f t="shared" si="972"/>
        <v>143071.36500000002</v>
      </c>
      <c r="BH244" s="46">
        <f t="shared" si="972"/>
        <v>145128.05300000001</v>
      </c>
      <c r="BI244" s="46">
        <f t="shared" si="972"/>
        <v>137751.18300000002</v>
      </c>
      <c r="BJ244" s="46"/>
      <c r="BK244" s="361"/>
      <c r="BL244" s="361"/>
      <c r="BM244" s="361"/>
      <c r="BN244" s="361"/>
      <c r="BO244" s="361"/>
      <c r="BP244" s="361"/>
      <c r="BQ244" s="361"/>
      <c r="BR244" s="361"/>
      <c r="BS244" s="361"/>
      <c r="BT244" s="46"/>
      <c r="BU244" s="46"/>
      <c r="BV244" s="361"/>
      <c r="BW244" s="361"/>
      <c r="BX244" s="361"/>
      <c r="BY244" s="46"/>
      <c r="BZ244" s="46"/>
      <c r="CA244" s="361"/>
      <c r="CB244" s="361"/>
      <c r="CC244" s="46"/>
      <c r="CD244" s="46"/>
      <c r="CE244" s="361"/>
      <c r="CF244" s="361"/>
      <c r="CG244" s="46"/>
      <c r="CH244" s="46"/>
      <c r="CI244" s="361"/>
    </row>
    <row r="245" spans="2:87" ht="13.5" customHeight="1">
      <c r="B245" s="1" t="s">
        <v>383</v>
      </c>
      <c r="C245" s="114">
        <f t="shared" ref="C245:AH245" si="973">C173</f>
        <v>62204</v>
      </c>
      <c r="D245" s="114">
        <f t="shared" si="973"/>
        <v>67761</v>
      </c>
      <c r="E245" s="114">
        <f t="shared" si="973"/>
        <v>82501</v>
      </c>
      <c r="F245" s="114">
        <f t="shared" si="973"/>
        <v>94312.736999999994</v>
      </c>
      <c r="G245" s="114">
        <f t="shared" si="973"/>
        <v>99028.024999999994</v>
      </c>
      <c r="H245" s="114">
        <f t="shared" si="960"/>
        <v>98983.858999999997</v>
      </c>
      <c r="I245" s="114">
        <f t="shared" si="960"/>
        <v>95602.917000000001</v>
      </c>
      <c r="J245" s="114">
        <f t="shared" si="960"/>
        <v>95602.917000000001</v>
      </c>
      <c r="K245" s="114">
        <f t="shared" si="960"/>
        <v>94224.020999999993</v>
      </c>
      <c r="L245" s="114">
        <f t="shared" ref="L245:N245" si="974">L173</f>
        <v>101721.946</v>
      </c>
      <c r="M245" s="114">
        <f t="shared" ref="M245" si="975">M173</f>
        <v>101721.946</v>
      </c>
      <c r="N245" s="114">
        <f t="shared" si="974"/>
        <v>92120.400999999998</v>
      </c>
      <c r="O245" s="114">
        <f t="shared" ref="O245" si="976">O173</f>
        <v>92120.400999999998</v>
      </c>
      <c r="P245" s="114">
        <f t="shared" si="964"/>
        <v>109935.321</v>
      </c>
      <c r="Q245" s="114">
        <f t="shared" si="964"/>
        <v>150905.55200000003</v>
      </c>
      <c r="R245" s="114">
        <f t="shared" si="964"/>
        <v>153663.092</v>
      </c>
      <c r="S245" s="114">
        <f t="shared" ref="S245" si="977">S173</f>
        <v>157325.14000000001</v>
      </c>
      <c r="U245" s="114">
        <f t="shared" si="973"/>
        <v>68750</v>
      </c>
      <c r="V245" s="114">
        <f t="shared" si="973"/>
        <v>73964</v>
      </c>
      <c r="W245" s="114">
        <f t="shared" si="973"/>
        <v>81457</v>
      </c>
      <c r="X245" s="114">
        <f t="shared" si="973"/>
        <v>82501</v>
      </c>
      <c r="Y245" s="114">
        <f t="shared" si="973"/>
        <v>77435</v>
      </c>
      <c r="Z245" s="114">
        <f t="shared" si="973"/>
        <v>72942</v>
      </c>
      <c r="AA245" s="114">
        <f t="shared" si="973"/>
        <v>75556</v>
      </c>
      <c r="AB245" s="114">
        <f t="shared" si="973"/>
        <v>94312.736999999994</v>
      </c>
      <c r="AC245" s="114">
        <f t="shared" si="973"/>
        <v>89540.595000000001</v>
      </c>
      <c r="AD245" s="114">
        <f t="shared" si="973"/>
        <v>101989.208</v>
      </c>
      <c r="AE245" s="114">
        <f t="shared" si="973"/>
        <v>97036.881000000008</v>
      </c>
      <c r="AF245" s="114">
        <f t="shared" si="973"/>
        <v>99028.024999999994</v>
      </c>
      <c r="AG245" s="114">
        <f t="shared" si="973"/>
        <v>99227.234000000011</v>
      </c>
      <c r="AH245" s="114">
        <f t="shared" si="973"/>
        <v>98303.122000000003</v>
      </c>
      <c r="AI245" s="114">
        <f t="shared" si="966"/>
        <v>111063.30499999999</v>
      </c>
      <c r="AJ245" s="114">
        <f t="shared" si="966"/>
        <v>95602.917000000001</v>
      </c>
      <c r="AK245" s="114">
        <f t="shared" si="966"/>
        <v>129725.33500000001</v>
      </c>
      <c r="AL245" s="114">
        <f t="shared" si="967"/>
        <v>112695.52599999998</v>
      </c>
      <c r="AM245" s="114">
        <f t="shared" si="967"/>
        <v>106057.41100000001</v>
      </c>
      <c r="AN245" s="114">
        <f t="shared" si="967"/>
        <v>94224.020999999993</v>
      </c>
      <c r="AO245" s="114">
        <f t="shared" si="967"/>
        <v>97132.002000000008</v>
      </c>
      <c r="AP245" s="114">
        <f>AP173</f>
        <v>97363.755999999994</v>
      </c>
      <c r="AQ245" s="114">
        <f>AQ173</f>
        <v>99801.562000000005</v>
      </c>
      <c r="AR245" s="114">
        <f t="shared" ref="AR245:AS245" si="978">AR173</f>
        <v>101721.946</v>
      </c>
      <c r="AS245" s="114">
        <f t="shared" si="978"/>
        <v>99745.057000000001</v>
      </c>
      <c r="AT245" s="114">
        <f>AT173</f>
        <v>102313.29700000001</v>
      </c>
      <c r="AU245" s="114">
        <f>AU173</f>
        <v>108142.478</v>
      </c>
      <c r="AV245" s="114">
        <f t="shared" ref="AV245:AW245" si="979">AV173</f>
        <v>92120.400999999998</v>
      </c>
      <c r="AW245" s="114">
        <f t="shared" si="979"/>
        <v>100637.78200000001</v>
      </c>
      <c r="AX245" s="114">
        <f>AX173</f>
        <v>100480.014</v>
      </c>
      <c r="AY245" s="114">
        <f>AY173</f>
        <v>107281.719</v>
      </c>
      <c r="AZ245" s="114">
        <f t="shared" ref="AZ245:BA245" si="980">AZ173</f>
        <v>109935.321</v>
      </c>
      <c r="BA245" s="114">
        <f t="shared" si="980"/>
        <v>128391.431</v>
      </c>
      <c r="BB245" s="114">
        <f>BB173</f>
        <v>135495.318</v>
      </c>
      <c r="BC245" s="114">
        <f>BC173</f>
        <v>145635.51</v>
      </c>
      <c r="BD245" s="114">
        <f t="shared" ref="BD245:BE245" si="981">BD173</f>
        <v>150905.55200000003</v>
      </c>
      <c r="BE245" s="114">
        <f t="shared" si="981"/>
        <v>161238.41900000002</v>
      </c>
      <c r="BF245" s="114">
        <f t="shared" si="972"/>
        <v>156935.11300000001</v>
      </c>
      <c r="BG245" s="114">
        <f t="shared" si="972"/>
        <v>156688.12400000001</v>
      </c>
      <c r="BH245" s="114">
        <f t="shared" si="972"/>
        <v>153663.092</v>
      </c>
      <c r="BI245" s="114">
        <f t="shared" si="972"/>
        <v>157325.14000000001</v>
      </c>
      <c r="BJ245" s="114"/>
      <c r="BK245" s="57"/>
      <c r="BL245" s="57"/>
      <c r="BM245" s="57"/>
      <c r="BN245" s="57"/>
      <c r="BO245" s="57"/>
      <c r="BP245" s="57"/>
      <c r="BQ245" s="57"/>
      <c r="BR245" s="57"/>
      <c r="BS245" s="57"/>
      <c r="BT245" s="114"/>
      <c r="BU245" s="114"/>
      <c r="BV245" s="57"/>
      <c r="BW245" s="57"/>
      <c r="BX245" s="57"/>
      <c r="BY245" s="114"/>
      <c r="BZ245" s="114"/>
      <c r="CA245" s="57"/>
      <c r="CB245" s="57"/>
      <c r="CC245" s="114"/>
      <c r="CD245" s="114"/>
      <c r="CE245" s="57"/>
      <c r="CF245" s="57"/>
      <c r="CG245" s="114"/>
      <c r="CH245" s="114"/>
      <c r="CI245" s="57"/>
    </row>
    <row r="246" spans="2:87" ht="13.5" customHeight="1">
      <c r="B246" s="15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57"/>
      <c r="BL246" s="57"/>
      <c r="BM246" s="57"/>
      <c r="BN246" s="57"/>
      <c r="BO246" s="57"/>
      <c r="BP246" s="57"/>
      <c r="BQ246" s="57"/>
      <c r="BR246" s="57"/>
      <c r="BS246" s="57"/>
      <c r="BT246" s="46"/>
      <c r="BU246" s="46"/>
      <c r="BV246" s="57"/>
      <c r="BW246" s="57"/>
      <c r="BX246" s="57"/>
      <c r="BY246" s="46"/>
      <c r="BZ246" s="46"/>
      <c r="CA246" s="57"/>
      <c r="CB246" s="57"/>
      <c r="CC246" s="46"/>
      <c r="CD246" s="46"/>
      <c r="CE246" s="57"/>
      <c r="CF246" s="57"/>
      <c r="CG246" s="46"/>
      <c r="CH246" s="46"/>
      <c r="CI246" s="57"/>
    </row>
    <row r="247" spans="2:87" s="5" customFormat="1" ht="13.5" customHeight="1">
      <c r="B247" s="5" t="s">
        <v>385</v>
      </c>
      <c r="C247" s="46">
        <f t="shared" ref="C247:AH247" si="982">C178</f>
        <v>87512</v>
      </c>
      <c r="D247" s="46">
        <f t="shared" si="982"/>
        <v>97024</v>
      </c>
      <c r="E247" s="46">
        <f t="shared" si="982"/>
        <v>114574.73</v>
      </c>
      <c r="F247" s="46">
        <f t="shared" si="982"/>
        <v>133128.33899999998</v>
      </c>
      <c r="G247" s="46">
        <f t="shared" si="982"/>
        <v>141290.984</v>
      </c>
      <c r="H247" s="46">
        <f t="shared" ref="H247:K248" si="983">H178</f>
        <v>141246.818</v>
      </c>
      <c r="I247" s="46">
        <f t="shared" si="983"/>
        <v>114691.99799999999</v>
      </c>
      <c r="J247" s="46">
        <f t="shared" si="983"/>
        <v>114691.99799999999</v>
      </c>
      <c r="K247" s="46">
        <f t="shared" si="983"/>
        <v>114045.14199999999</v>
      </c>
      <c r="L247" s="46">
        <f t="shared" ref="L247:N247" si="984">L178</f>
        <v>124123.804</v>
      </c>
      <c r="M247" s="46">
        <f t="shared" ref="M247" si="985">M178</f>
        <v>124123.804</v>
      </c>
      <c r="N247" s="46">
        <f t="shared" si="984"/>
        <v>108992.54</v>
      </c>
      <c r="O247" s="46">
        <f t="shared" ref="O247" si="986">O178</f>
        <v>108992.54</v>
      </c>
      <c r="P247" s="46">
        <f t="shared" ref="P247:R248" si="987">P178</f>
        <v>130396.57</v>
      </c>
      <c r="Q247" s="46">
        <f t="shared" si="987"/>
        <v>178649.08100000001</v>
      </c>
      <c r="R247" s="46">
        <f t="shared" si="987"/>
        <v>179917.88800000001</v>
      </c>
      <c r="S247" s="46">
        <f t="shared" ref="S247" si="988">S178</f>
        <v>172208.34400000001</v>
      </c>
      <c r="T247" s="292"/>
      <c r="U247" s="46">
        <f t="shared" si="982"/>
        <v>101231</v>
      </c>
      <c r="V247" s="46">
        <f t="shared" si="982"/>
        <v>108221</v>
      </c>
      <c r="W247" s="46">
        <f t="shared" si="982"/>
        <v>111450</v>
      </c>
      <c r="X247" s="46">
        <f t="shared" si="982"/>
        <v>114574.73</v>
      </c>
      <c r="Y247" s="46">
        <f t="shared" si="982"/>
        <v>110324.95199999999</v>
      </c>
      <c r="Z247" s="46">
        <f t="shared" si="982"/>
        <v>109772.90399999999</v>
      </c>
      <c r="AA247" s="46">
        <f t="shared" si="982"/>
        <v>114116.856</v>
      </c>
      <c r="AB247" s="46">
        <f t="shared" si="982"/>
        <v>133128.33899999998</v>
      </c>
      <c r="AC247" s="46">
        <f t="shared" si="982"/>
        <v>131509.41500000001</v>
      </c>
      <c r="AD247" s="46">
        <f t="shared" si="982"/>
        <v>141852.427</v>
      </c>
      <c r="AE247" s="46">
        <f t="shared" si="982"/>
        <v>137956.19900000002</v>
      </c>
      <c r="AF247" s="46">
        <f t="shared" si="982"/>
        <v>141290.984</v>
      </c>
      <c r="AG247" s="46">
        <f t="shared" si="982"/>
        <v>114050.50600000001</v>
      </c>
      <c r="AH247" s="46">
        <f t="shared" si="982"/>
        <v>114322.61500000001</v>
      </c>
      <c r="AI247" s="46">
        <f t="shared" ref="AI247:AK248" si="989">AI178</f>
        <v>116642.976</v>
      </c>
      <c r="AJ247" s="46">
        <f t="shared" si="989"/>
        <v>114691.99799999999</v>
      </c>
      <c r="AK247" s="46">
        <f t="shared" si="989"/>
        <v>134302.16899999999</v>
      </c>
      <c r="AL247" s="46">
        <f t="shared" ref="AL247:AO248" si="990">AL178</f>
        <v>131850.09</v>
      </c>
      <c r="AM247" s="46">
        <f t="shared" si="990"/>
        <v>124221.77100000001</v>
      </c>
      <c r="AN247" s="46">
        <f t="shared" si="990"/>
        <v>114045.14199999999</v>
      </c>
      <c r="AO247" s="46">
        <f t="shared" si="990"/>
        <v>115428.71</v>
      </c>
      <c r="AP247" s="46">
        <f>AP178</f>
        <v>114025.43099999998</v>
      </c>
      <c r="AQ247" s="46">
        <f>AQ178</f>
        <v>117889.93500000001</v>
      </c>
      <c r="AR247" s="46">
        <f t="shared" ref="AR247:AS247" si="991">AR178</f>
        <v>124123.804</v>
      </c>
      <c r="AS247" s="46">
        <f t="shared" si="991"/>
        <v>121332.969</v>
      </c>
      <c r="AT247" s="46">
        <f>AT178</f>
        <v>125807.988</v>
      </c>
      <c r="AU247" s="46">
        <f>AU178</f>
        <v>131332.01300000001</v>
      </c>
      <c r="AV247" s="46">
        <f t="shared" ref="AV247:AW247" si="992">AV178</f>
        <v>108992.54</v>
      </c>
      <c r="AW247" s="46">
        <f t="shared" si="992"/>
        <v>122291.038</v>
      </c>
      <c r="AX247" s="46">
        <f>AX178</f>
        <v>120515.58499999999</v>
      </c>
      <c r="AY247" s="46">
        <f>AY178</f>
        <v>128331.76999999999</v>
      </c>
      <c r="AZ247" s="46">
        <f t="shared" ref="AZ247:BA247" si="993">AZ178</f>
        <v>130396.57</v>
      </c>
      <c r="BA247" s="46">
        <f t="shared" si="993"/>
        <v>137781.68599999999</v>
      </c>
      <c r="BB247" s="46">
        <f>BB178</f>
        <v>158059.986</v>
      </c>
      <c r="BC247" s="46">
        <f>BC178</f>
        <v>170489.87099999998</v>
      </c>
      <c r="BD247" s="46">
        <f t="shared" ref="BD247:BE247" si="994">BD178</f>
        <v>178649.08100000001</v>
      </c>
      <c r="BE247" s="46">
        <f t="shared" si="994"/>
        <v>179932.826</v>
      </c>
      <c r="BF247" s="46">
        <f t="shared" ref="BF247:BI248" si="995">BF178</f>
        <v>185247.29</v>
      </c>
      <c r="BG247" s="46">
        <f t="shared" si="995"/>
        <v>179473.24000000002</v>
      </c>
      <c r="BH247" s="46">
        <f t="shared" si="995"/>
        <v>179917.88800000001</v>
      </c>
      <c r="BI247" s="46">
        <f t="shared" si="995"/>
        <v>172208.34400000001</v>
      </c>
      <c r="BJ247" s="46"/>
      <c r="BK247" s="361"/>
      <c r="BL247" s="361"/>
      <c r="BM247" s="361"/>
      <c r="BN247" s="361"/>
      <c r="BO247" s="361"/>
      <c r="BP247" s="361"/>
      <c r="BQ247" s="361"/>
      <c r="BR247" s="361"/>
      <c r="BS247" s="361"/>
      <c r="BT247" s="46"/>
      <c r="BU247" s="46"/>
      <c r="BV247" s="361"/>
      <c r="BW247" s="361"/>
      <c r="BX247" s="361"/>
      <c r="BY247" s="46"/>
      <c r="BZ247" s="46"/>
      <c r="CA247" s="361"/>
      <c r="CB247" s="361"/>
      <c r="CC247" s="46"/>
      <c r="CD247" s="46"/>
      <c r="CE247" s="361"/>
      <c r="CF247" s="361"/>
      <c r="CG247" s="46"/>
      <c r="CH247" s="46"/>
      <c r="CI247" s="361"/>
    </row>
    <row r="248" spans="2:87" ht="13.5" customHeight="1">
      <c r="B248" s="1" t="s">
        <v>386</v>
      </c>
      <c r="C248" s="114">
        <f t="shared" ref="C248:AH248" si="996">C179</f>
        <v>90084</v>
      </c>
      <c r="D248" s="114">
        <f t="shared" si="996"/>
        <v>100849</v>
      </c>
      <c r="E248" s="114">
        <f t="shared" si="996"/>
        <v>121389</v>
      </c>
      <c r="F248" s="114">
        <f t="shared" si="996"/>
        <v>140344.54499999998</v>
      </c>
      <c r="G248" s="114">
        <f t="shared" si="996"/>
        <v>148874.80099999998</v>
      </c>
      <c r="H248" s="114">
        <f t="shared" si="983"/>
        <v>148830.63500000001</v>
      </c>
      <c r="I248" s="114">
        <f t="shared" si="983"/>
        <v>120943.283</v>
      </c>
      <c r="J248" s="114">
        <f t="shared" si="983"/>
        <v>120943.283</v>
      </c>
      <c r="K248" s="114">
        <f t="shared" si="983"/>
        <v>123312.68599999999</v>
      </c>
      <c r="L248" s="114">
        <f t="shared" ref="L248:N248" si="997">L179</f>
        <v>132871.269</v>
      </c>
      <c r="M248" s="114">
        <f t="shared" ref="M248" si="998">M179</f>
        <v>132871.269</v>
      </c>
      <c r="N248" s="114">
        <f t="shared" si="997"/>
        <v>121305.678</v>
      </c>
      <c r="O248" s="114">
        <f t="shared" ref="O248" si="999">O179</f>
        <v>121305.678</v>
      </c>
      <c r="P248" s="114">
        <f t="shared" si="987"/>
        <v>136749.69399999999</v>
      </c>
      <c r="Q248" s="114">
        <f t="shared" si="987"/>
        <v>186706.12400000001</v>
      </c>
      <c r="R248" s="114">
        <f t="shared" si="987"/>
        <v>188452.927</v>
      </c>
      <c r="S248" s="114">
        <f t="shared" ref="S248" si="1000">S179</f>
        <v>191782.30100000001</v>
      </c>
      <c r="U248" s="114">
        <f t="shared" si="996"/>
        <v>107638</v>
      </c>
      <c r="V248" s="114">
        <f t="shared" si="996"/>
        <v>112852</v>
      </c>
      <c r="W248" s="114">
        <f t="shared" si="996"/>
        <v>120345</v>
      </c>
      <c r="X248" s="114">
        <f t="shared" si="996"/>
        <v>121389</v>
      </c>
      <c r="Y248" s="114">
        <f t="shared" si="996"/>
        <v>118108.95199999999</v>
      </c>
      <c r="Z248" s="114">
        <f t="shared" si="996"/>
        <v>115401.90399999999</v>
      </c>
      <c r="AA248" s="114">
        <f t="shared" si="996"/>
        <v>119801.856</v>
      </c>
      <c r="AB248" s="114">
        <f t="shared" si="996"/>
        <v>140344.54499999998</v>
      </c>
      <c r="AC248" s="114">
        <f t="shared" si="996"/>
        <v>136526.14500000002</v>
      </c>
      <c r="AD248" s="114">
        <f t="shared" si="996"/>
        <v>149928.5</v>
      </c>
      <c r="AE248" s="114">
        <f t="shared" si="996"/>
        <v>145929.91500000001</v>
      </c>
      <c r="AF248" s="114">
        <f t="shared" si="996"/>
        <v>148874.80099999998</v>
      </c>
      <c r="AG248" s="114">
        <f t="shared" si="996"/>
        <v>121155.40400000001</v>
      </c>
      <c r="AH248" s="114">
        <f t="shared" si="996"/>
        <v>120011.42200000001</v>
      </c>
      <c r="AI248" s="114">
        <f t="shared" si="989"/>
        <v>133703.16999999998</v>
      </c>
      <c r="AJ248" s="114">
        <f t="shared" si="989"/>
        <v>120943.283</v>
      </c>
      <c r="AK248" s="114">
        <f t="shared" si="989"/>
        <v>159744.98800000001</v>
      </c>
      <c r="AL248" s="114">
        <f t="shared" si="990"/>
        <v>142186.19999999998</v>
      </c>
      <c r="AM248" s="114">
        <f t="shared" si="990"/>
        <v>136253.514</v>
      </c>
      <c r="AN248" s="114">
        <f t="shared" si="990"/>
        <v>123312.68599999999</v>
      </c>
      <c r="AO248" s="114">
        <f t="shared" si="990"/>
        <v>126746.539</v>
      </c>
      <c r="AP248" s="114">
        <f>AP179</f>
        <v>125938.777</v>
      </c>
      <c r="AQ248" s="114">
        <f>AQ179</f>
        <v>129043.45300000001</v>
      </c>
      <c r="AR248" s="114">
        <f t="shared" ref="AR248:AS248" si="1001">AR179</f>
        <v>132871.269</v>
      </c>
      <c r="AS248" s="114">
        <f t="shared" si="1001"/>
        <v>130431.841</v>
      </c>
      <c r="AT248" s="114">
        <f>AT179</f>
        <v>132580.66399999999</v>
      </c>
      <c r="AU248" s="114">
        <f>AU179</f>
        <v>138659.05100000001</v>
      </c>
      <c r="AV248" s="114">
        <f t="shared" ref="AV248:AW248" si="1002">AV179</f>
        <v>121305.678</v>
      </c>
      <c r="AW248" s="114">
        <f t="shared" si="1002"/>
        <v>128272.201</v>
      </c>
      <c r="AX248" s="114">
        <f>AX179</f>
        <v>127001.372</v>
      </c>
      <c r="AY248" s="114">
        <f>AY179</f>
        <v>134581.05900000001</v>
      </c>
      <c r="AZ248" s="114">
        <f t="shared" ref="AZ248:BA248" si="1003">AZ179</f>
        <v>136749.69399999999</v>
      </c>
      <c r="BA248" s="114">
        <f t="shared" si="1003"/>
        <v>155349.29800000001</v>
      </c>
      <c r="BB248" s="114">
        <f>BB179</f>
        <v>165675.606</v>
      </c>
      <c r="BC248" s="114">
        <f>BC179</f>
        <v>178924.18800000002</v>
      </c>
      <c r="BD248" s="114">
        <f t="shared" ref="BD248:BE248" si="1004">BD179</f>
        <v>186706.12400000001</v>
      </c>
      <c r="BE248" s="114">
        <f t="shared" si="1004"/>
        <v>197711.77100000001</v>
      </c>
      <c r="BF248" s="114">
        <f t="shared" si="995"/>
        <v>192741.06200000001</v>
      </c>
      <c r="BG248" s="114">
        <f t="shared" si="995"/>
        <v>193089.99900000001</v>
      </c>
      <c r="BH248" s="114">
        <f t="shared" si="995"/>
        <v>188452.927</v>
      </c>
      <c r="BI248" s="114">
        <f t="shared" si="995"/>
        <v>191782.30100000001</v>
      </c>
      <c r="BJ248" s="114"/>
      <c r="BK248" s="57"/>
      <c r="BL248" s="57"/>
      <c r="BM248" s="57"/>
      <c r="BN248" s="57"/>
      <c r="BO248" s="57"/>
      <c r="BP248" s="57"/>
      <c r="BQ248" s="57"/>
      <c r="BR248" s="57"/>
      <c r="BS248" s="57"/>
      <c r="BT248" s="114"/>
      <c r="BU248" s="114"/>
      <c r="BV248" s="57"/>
      <c r="BW248" s="57"/>
      <c r="BX248" s="57"/>
      <c r="BY248" s="114"/>
      <c r="BZ248" s="114"/>
      <c r="CA248" s="57"/>
      <c r="CB248" s="57"/>
      <c r="CC248" s="114"/>
      <c r="CD248" s="114"/>
      <c r="CE248" s="57"/>
      <c r="CF248" s="57"/>
      <c r="CG248" s="114"/>
      <c r="CH248" s="114"/>
      <c r="CI248" s="57"/>
    </row>
    <row r="249" spans="2:87" ht="13.5" customHeight="1">
      <c r="B249" s="15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57"/>
      <c r="BL249" s="57"/>
      <c r="BM249" s="57"/>
      <c r="BN249" s="57"/>
      <c r="BO249" s="57"/>
      <c r="BP249" s="57"/>
      <c r="BQ249" s="57"/>
      <c r="BR249" s="57"/>
      <c r="BS249" s="57"/>
      <c r="BT249" s="46"/>
      <c r="BU249" s="46"/>
      <c r="BV249" s="57"/>
      <c r="BW249" s="57"/>
      <c r="BX249" s="57"/>
      <c r="BY249" s="46"/>
      <c r="BZ249" s="46"/>
      <c r="CA249" s="57"/>
      <c r="CB249" s="57"/>
      <c r="CC249" s="46"/>
      <c r="CD249" s="46"/>
      <c r="CE249" s="57"/>
      <c r="CF249" s="57"/>
      <c r="CG249" s="46"/>
      <c r="CH249" s="46"/>
      <c r="CI249" s="57"/>
    </row>
    <row r="250" spans="2:87" s="5" customFormat="1" ht="13.5" customHeight="1">
      <c r="B250" s="5" t="s">
        <v>408</v>
      </c>
      <c r="C250" s="46">
        <f t="shared" ref="C250:Q250" si="1005">C91</f>
        <v>18420</v>
      </c>
      <c r="D250" s="46">
        <f t="shared" si="1005"/>
        <v>23369</v>
      </c>
      <c r="E250" s="46">
        <f t="shared" si="1005"/>
        <v>29298</v>
      </c>
      <c r="F250" s="46">
        <f t="shared" si="1005"/>
        <v>27288</v>
      </c>
      <c r="G250" s="46">
        <f t="shared" si="1005"/>
        <v>31705</v>
      </c>
      <c r="H250" s="46">
        <f t="shared" si="1005"/>
        <v>31700</v>
      </c>
      <c r="I250" s="46">
        <f t="shared" si="1005"/>
        <v>33426</v>
      </c>
      <c r="J250" s="46">
        <f t="shared" si="1005"/>
        <v>37873</v>
      </c>
      <c r="K250" s="46">
        <f t="shared" si="1005"/>
        <v>45193</v>
      </c>
      <c r="L250" s="46">
        <f t="shared" si="1005"/>
        <v>49178</v>
      </c>
      <c r="M250" s="46">
        <f t="shared" si="1005"/>
        <v>47372</v>
      </c>
      <c r="N250" s="46">
        <f t="shared" si="1005"/>
        <v>53445</v>
      </c>
      <c r="O250" s="46">
        <f t="shared" si="1005"/>
        <v>53445</v>
      </c>
      <c r="P250" s="46">
        <f t="shared" si="1005"/>
        <v>54942</v>
      </c>
      <c r="Q250" s="46">
        <f t="shared" si="1005"/>
        <v>55474</v>
      </c>
      <c r="R250" s="46">
        <f t="shared" ref="R250" si="1006">R91</f>
        <v>59456</v>
      </c>
      <c r="S250" s="46">
        <f>S91</f>
        <v>60675</v>
      </c>
      <c r="T250" s="292"/>
      <c r="U250" s="46"/>
      <c r="V250" s="46"/>
      <c r="W250" s="46"/>
      <c r="X250" s="46">
        <f t="shared" ref="X250:AJ250" si="1007">X91</f>
        <v>29298</v>
      </c>
      <c r="Y250" s="46">
        <f t="shared" si="1007"/>
        <v>29309</v>
      </c>
      <c r="Z250" s="46">
        <f t="shared" si="1007"/>
        <v>29317</v>
      </c>
      <c r="AA250" s="46">
        <f t="shared" si="1007"/>
        <v>28399</v>
      </c>
      <c r="AB250" s="46">
        <f t="shared" si="1007"/>
        <v>27288</v>
      </c>
      <c r="AC250" s="46">
        <f t="shared" si="1007"/>
        <v>27996</v>
      </c>
      <c r="AD250" s="46">
        <f t="shared" si="1007"/>
        <v>28580</v>
      </c>
      <c r="AE250" s="46">
        <f t="shared" si="1007"/>
        <v>29779</v>
      </c>
      <c r="AF250" s="46">
        <f t="shared" si="1007"/>
        <v>31705</v>
      </c>
      <c r="AG250" s="46">
        <f t="shared" si="1007"/>
        <v>32133</v>
      </c>
      <c r="AH250" s="46">
        <f t="shared" si="1007"/>
        <v>32379</v>
      </c>
      <c r="AI250" s="46">
        <f t="shared" si="1007"/>
        <v>33213</v>
      </c>
      <c r="AJ250" s="46">
        <f t="shared" si="1007"/>
        <v>33426</v>
      </c>
      <c r="AK250" s="46"/>
      <c r="AL250" s="46"/>
      <c r="AM250" s="46"/>
      <c r="AN250" s="46"/>
      <c r="AO250" s="46"/>
      <c r="AP250" s="46"/>
      <c r="AQ250" s="46"/>
      <c r="AR250" s="46"/>
      <c r="AS250" s="46">
        <f t="shared" ref="AS250:BG250" si="1008">AS91</f>
        <v>11897</v>
      </c>
      <c r="AT250" s="46">
        <f t="shared" si="1008"/>
        <v>24889</v>
      </c>
      <c r="AU250" s="46">
        <f t="shared" si="1008"/>
        <v>39394</v>
      </c>
      <c r="AV250" s="46">
        <f t="shared" si="1008"/>
        <v>53445</v>
      </c>
      <c r="AW250" s="46">
        <f t="shared" si="1008"/>
        <v>54405</v>
      </c>
      <c r="AX250" s="46">
        <f t="shared" si="1008"/>
        <v>55415</v>
      </c>
      <c r="AY250" s="46">
        <f t="shared" si="1008"/>
        <v>55377</v>
      </c>
      <c r="AZ250" s="46">
        <f t="shared" si="1008"/>
        <v>54942</v>
      </c>
      <c r="BA250" s="46">
        <f t="shared" si="1008"/>
        <v>53957</v>
      </c>
      <c r="BB250" s="46">
        <f t="shared" si="1008"/>
        <v>53908</v>
      </c>
      <c r="BC250" s="46">
        <f t="shared" si="1008"/>
        <v>55081</v>
      </c>
      <c r="BD250" s="46">
        <f t="shared" si="1008"/>
        <v>55474</v>
      </c>
      <c r="BE250" s="46">
        <f t="shared" si="1008"/>
        <v>56419</v>
      </c>
      <c r="BF250" s="46">
        <f t="shared" si="1008"/>
        <v>57363</v>
      </c>
      <c r="BG250" s="46">
        <f t="shared" si="1008"/>
        <v>57499</v>
      </c>
      <c r="BH250" s="46">
        <f t="shared" ref="BH250:BI250" si="1009">BH91</f>
        <v>59456</v>
      </c>
      <c r="BI250" s="46">
        <f t="shared" si="1009"/>
        <v>60675</v>
      </c>
      <c r="BJ250" s="46"/>
      <c r="BK250" s="361"/>
      <c r="BL250" s="361"/>
      <c r="BM250" s="361"/>
      <c r="BN250" s="361"/>
      <c r="BO250" s="361"/>
      <c r="BP250" s="361"/>
      <c r="BQ250" s="361"/>
      <c r="BR250" s="361"/>
      <c r="BS250" s="361"/>
      <c r="BT250" s="46"/>
      <c r="BU250" s="46"/>
      <c r="BV250" s="361"/>
      <c r="BW250" s="361"/>
      <c r="BX250" s="361"/>
      <c r="BY250" s="46"/>
      <c r="BZ250" s="46"/>
      <c r="CA250" s="361"/>
      <c r="CB250" s="361"/>
      <c r="CC250" s="46"/>
      <c r="CD250" s="46"/>
      <c r="CE250" s="361"/>
      <c r="CF250" s="361"/>
      <c r="CG250" s="46"/>
      <c r="CH250" s="46"/>
      <c r="CI250" s="361"/>
    </row>
    <row r="251" spans="2:87" ht="13.5" customHeight="1">
      <c r="B251" s="1" t="s">
        <v>409</v>
      </c>
      <c r="C251" s="114">
        <f t="shared" ref="C251:Q251" si="1010">C92</f>
        <v>21905</v>
      </c>
      <c r="D251" s="114">
        <f t="shared" si="1010"/>
        <v>27505</v>
      </c>
      <c r="E251" s="114">
        <f t="shared" si="1010"/>
        <v>34159</v>
      </c>
      <c r="F251" s="114">
        <f t="shared" si="1010"/>
        <v>33041.976000000002</v>
      </c>
      <c r="G251" s="114">
        <f t="shared" si="1010"/>
        <v>37935.847000000002</v>
      </c>
      <c r="H251" s="114">
        <f t="shared" si="1010"/>
        <v>37930.847000000002</v>
      </c>
      <c r="I251" s="114">
        <f t="shared" si="1010"/>
        <v>37873</v>
      </c>
      <c r="J251" s="114">
        <f t="shared" si="1010"/>
        <v>37873</v>
      </c>
      <c r="K251" s="114">
        <f t="shared" si="1010"/>
        <v>45193</v>
      </c>
      <c r="L251" s="114">
        <f t="shared" si="1010"/>
        <v>49178</v>
      </c>
      <c r="M251" s="114">
        <f t="shared" si="1010"/>
        <v>47372</v>
      </c>
      <c r="N251" s="114">
        <f t="shared" si="1010"/>
        <v>53445</v>
      </c>
      <c r="O251" s="114">
        <f t="shared" si="1010"/>
        <v>53445</v>
      </c>
      <c r="P251" s="114">
        <f t="shared" si="1010"/>
        <v>54942</v>
      </c>
      <c r="Q251" s="114">
        <f t="shared" si="1010"/>
        <v>55474</v>
      </c>
      <c r="R251" s="114">
        <f t="shared" ref="R251" si="1011">R92</f>
        <v>59456</v>
      </c>
      <c r="S251" s="114">
        <f>S92</f>
        <v>60675</v>
      </c>
      <c r="U251" s="114"/>
      <c r="V251" s="114"/>
      <c r="W251" s="114"/>
      <c r="X251" s="114">
        <f t="shared" ref="X251:AJ251" si="1012">X92</f>
        <v>34159</v>
      </c>
      <c r="Y251" s="114">
        <f t="shared" si="1012"/>
        <v>34393.243999999999</v>
      </c>
      <c r="Z251" s="114">
        <f t="shared" si="1012"/>
        <v>34624.487999999998</v>
      </c>
      <c r="AA251" s="114">
        <f t="shared" si="1012"/>
        <v>33929.731999999996</v>
      </c>
      <c r="AB251" s="114">
        <f t="shared" si="1012"/>
        <v>33041.976000000002</v>
      </c>
      <c r="AC251" s="114">
        <f t="shared" si="1012"/>
        <v>33869.193750000006</v>
      </c>
      <c r="AD251" s="114">
        <f t="shared" si="1012"/>
        <v>34572.411500000002</v>
      </c>
      <c r="AE251" s="114">
        <f t="shared" si="1012"/>
        <v>35890.629250000005</v>
      </c>
      <c r="AF251" s="114">
        <f t="shared" si="1012"/>
        <v>37935.847000000002</v>
      </c>
      <c r="AG251" s="114">
        <f t="shared" si="1012"/>
        <v>37858.135249999999</v>
      </c>
      <c r="AH251" s="114">
        <f t="shared" si="1012"/>
        <v>37613.423499999997</v>
      </c>
      <c r="AI251" s="114">
        <f t="shared" si="1012"/>
        <v>38007.711749999995</v>
      </c>
      <c r="AJ251" s="114">
        <f t="shared" si="1012"/>
        <v>37873</v>
      </c>
      <c r="AK251" s="114">
        <f t="shared" ref="AK251:AR251" si="1013">AK92</f>
        <v>38787</v>
      </c>
      <c r="AL251" s="114">
        <f t="shared" si="1013"/>
        <v>41357</v>
      </c>
      <c r="AM251" s="114">
        <f t="shared" si="1013"/>
        <v>43197</v>
      </c>
      <c r="AN251" s="114">
        <f t="shared" si="1013"/>
        <v>45193</v>
      </c>
      <c r="AO251" s="114">
        <f t="shared" si="1013"/>
        <v>46947</v>
      </c>
      <c r="AP251" s="114">
        <f t="shared" si="1013"/>
        <v>47628</v>
      </c>
      <c r="AQ251" s="114">
        <f t="shared" si="1013"/>
        <v>48481</v>
      </c>
      <c r="AR251" s="114">
        <f t="shared" si="1013"/>
        <v>47372</v>
      </c>
      <c r="AS251" s="114">
        <f t="shared" ref="AS251:BG251" si="1014">AS92</f>
        <v>48616</v>
      </c>
      <c r="AT251" s="114">
        <f t="shared" si="1014"/>
        <v>49552</v>
      </c>
      <c r="AU251" s="114">
        <f t="shared" si="1014"/>
        <v>51094</v>
      </c>
      <c r="AV251" s="114">
        <f t="shared" si="1014"/>
        <v>53445</v>
      </c>
      <c r="AW251" s="114">
        <f t="shared" si="1014"/>
        <v>54405</v>
      </c>
      <c r="AX251" s="114">
        <f t="shared" si="1014"/>
        <v>55415</v>
      </c>
      <c r="AY251" s="114">
        <f t="shared" si="1014"/>
        <v>55377</v>
      </c>
      <c r="AZ251" s="114">
        <f t="shared" si="1014"/>
        <v>54942</v>
      </c>
      <c r="BA251" s="114">
        <f t="shared" si="1014"/>
        <v>53957</v>
      </c>
      <c r="BB251" s="114">
        <f t="shared" si="1014"/>
        <v>53908</v>
      </c>
      <c r="BC251" s="114">
        <f t="shared" si="1014"/>
        <v>55081</v>
      </c>
      <c r="BD251" s="114">
        <f t="shared" si="1014"/>
        <v>55474</v>
      </c>
      <c r="BE251" s="114">
        <f t="shared" si="1014"/>
        <v>56419</v>
      </c>
      <c r="BF251" s="114">
        <f t="shared" si="1014"/>
        <v>57363</v>
      </c>
      <c r="BG251" s="114">
        <f t="shared" si="1014"/>
        <v>57499</v>
      </c>
      <c r="BH251" s="114">
        <f t="shared" ref="BH251:BI251" si="1015">BH92</f>
        <v>59456</v>
      </c>
      <c r="BI251" s="114">
        <f t="shared" si="1015"/>
        <v>60675</v>
      </c>
      <c r="BJ251" s="114"/>
      <c r="BK251" s="57"/>
      <c r="BL251" s="57"/>
      <c r="BM251" s="57"/>
      <c r="BN251" s="57"/>
      <c r="BO251" s="57"/>
      <c r="BP251" s="57"/>
      <c r="BQ251" s="57"/>
      <c r="BR251" s="57"/>
      <c r="BS251" s="57"/>
      <c r="BT251" s="46"/>
      <c r="BU251" s="46"/>
      <c r="BV251" s="57"/>
      <c r="BW251" s="57"/>
      <c r="BX251" s="57"/>
      <c r="BY251" s="46"/>
      <c r="BZ251" s="46"/>
      <c r="CA251" s="57"/>
      <c r="CB251" s="57"/>
      <c r="CC251" s="46"/>
      <c r="CD251" s="46"/>
      <c r="CE251" s="57"/>
      <c r="CF251" s="57"/>
      <c r="CG251" s="46"/>
      <c r="CH251" s="46"/>
      <c r="CI251" s="57"/>
    </row>
    <row r="252" spans="2:87" ht="13.5" customHeight="1">
      <c r="B252" s="15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46"/>
      <c r="BU252" s="46"/>
      <c r="BV252" s="57"/>
      <c r="BW252" s="57"/>
      <c r="BX252" s="57"/>
      <c r="BY252" s="46"/>
      <c r="BZ252" s="46"/>
      <c r="CA252" s="57"/>
      <c r="CB252" s="57"/>
      <c r="CC252" s="46"/>
      <c r="CD252" s="46"/>
      <c r="CE252" s="57"/>
      <c r="CF252" s="57"/>
      <c r="CG252" s="46"/>
      <c r="CH252" s="46"/>
      <c r="CI252" s="57"/>
    </row>
    <row r="253" spans="2:87" s="5" customFormat="1" ht="13.5" customHeight="1">
      <c r="B253" s="5" t="s">
        <v>394</v>
      </c>
      <c r="C253" s="43">
        <f t="shared" ref="C253:G253" si="1016">C192</f>
        <v>3.2373507057546145</v>
      </c>
      <c r="D253" s="43">
        <f t="shared" si="1016"/>
        <v>2.7359322178955026</v>
      </c>
      <c r="E253" s="43">
        <f t="shared" si="1016"/>
        <v>2.583341183698546</v>
      </c>
      <c r="F253" s="43">
        <f t="shared" si="1016"/>
        <v>3.1917520888302544</v>
      </c>
      <c r="G253" s="43">
        <f t="shared" si="1016"/>
        <v>2.5946060558271564</v>
      </c>
      <c r="H253" s="43">
        <f t="shared" ref="H253:K254" si="1017">H192</f>
        <v>2.5950152996845426</v>
      </c>
      <c r="I253" s="43">
        <f t="shared" si="1017"/>
        <v>2.4059262849279004</v>
      </c>
      <c r="J253" s="43">
        <f t="shared" si="1017"/>
        <v>2.123425448208486</v>
      </c>
      <c r="K253" s="43">
        <f t="shared" si="1017"/>
        <v>1.6808179806607217</v>
      </c>
      <c r="L253" s="43">
        <f t="shared" ref="L253:M253" si="1018">L192</f>
        <v>1.7102710968319168</v>
      </c>
      <c r="M253" s="43">
        <f t="shared" si="1018"/>
        <v>1.7754731064763996</v>
      </c>
      <c r="N253" s="43">
        <f t="shared" ref="N253:O253" si="1019">N192</f>
        <v>1.3423395266161473</v>
      </c>
      <c r="O253" s="43">
        <f t="shared" si="1019"/>
        <v>1.3423395266161473</v>
      </c>
      <c r="P253" s="43">
        <f t="shared" ref="P253:R254" si="1020">P192</f>
        <v>1.8853008081249318</v>
      </c>
      <c r="Q253" s="43">
        <f t="shared" si="1020"/>
        <v>2.5750533403035658</v>
      </c>
      <c r="R253" s="43">
        <f t="shared" si="1020"/>
        <v>2.4409320001345534</v>
      </c>
      <c r="S253" s="43">
        <f t="shared" ref="S253" si="1021">S192</f>
        <v>2.2703120395550065</v>
      </c>
      <c r="T253" s="292"/>
      <c r="U253" s="43"/>
      <c r="V253" s="43"/>
      <c r="W253" s="43"/>
      <c r="X253" s="43">
        <f t="shared" ref="X253:AH253" si="1022">X192</f>
        <v>2.583341183698546</v>
      </c>
      <c r="Y253" s="43">
        <f t="shared" si="1022"/>
        <v>2.3764372718277662</v>
      </c>
      <c r="Z253" s="43">
        <f t="shared" si="1022"/>
        <v>2.2960398403656583</v>
      </c>
      <c r="AA253" s="43">
        <f t="shared" si="1022"/>
        <v>2.4603331103207862</v>
      </c>
      <c r="AB253" s="43">
        <f t="shared" si="1022"/>
        <v>3.1917520888302544</v>
      </c>
      <c r="AC253" s="43">
        <f t="shared" si="1022"/>
        <v>3.0191407701100159</v>
      </c>
      <c r="AD253" s="43">
        <f t="shared" si="1022"/>
        <v>2.9620510496850945</v>
      </c>
      <c r="AE253" s="43">
        <f t="shared" si="1022"/>
        <v>2.6851605157997249</v>
      </c>
      <c r="AF253" s="43">
        <f t="shared" si="1022"/>
        <v>2.5946060558271564</v>
      </c>
      <c r="AG253" s="43">
        <f t="shared" si="1022"/>
        <v>2.5799729561509976</v>
      </c>
      <c r="AH253" s="43">
        <f t="shared" si="1022"/>
        <v>2.5765416164798172</v>
      </c>
      <c r="AI253" s="43">
        <f>AI192</f>
        <v>2.5559887694577421</v>
      </c>
      <c r="AJ253" s="43">
        <f>AJ192</f>
        <v>2.4059262849279004</v>
      </c>
      <c r="AK253" s="43"/>
      <c r="AL253" s="43"/>
      <c r="AM253" s="43"/>
      <c r="AN253" s="46"/>
      <c r="AO253" s="43"/>
      <c r="AP253" s="43"/>
      <c r="AQ253" s="43"/>
      <c r="AR253" s="46"/>
      <c r="AS253" s="43">
        <f t="shared" ref="AS253:AW254" si="1023">AS192</f>
        <v>6.8860142052618301</v>
      </c>
      <c r="AT253" s="43">
        <f t="shared" si="1023"/>
        <v>3.4915146048455141</v>
      </c>
      <c r="AU253" s="43">
        <f t="shared" si="1023"/>
        <v>2.3453136010559983</v>
      </c>
      <c r="AV253" s="46">
        <f t="shared" si="1023"/>
        <v>1.3423395266161473</v>
      </c>
      <c r="AW253" s="43">
        <f t="shared" si="1023"/>
        <v>1.5909915448947707</v>
      </c>
      <c r="AX253" s="43">
        <f t="shared" ref="AX253:BA253" si="1024">AX192</f>
        <v>1.6961874402237662</v>
      </c>
      <c r="AY253" s="43">
        <f t="shared" si="1024"/>
        <v>1.8244475143109955</v>
      </c>
      <c r="AZ253" s="46">
        <f t="shared" si="1024"/>
        <v>1.8853008081249318</v>
      </c>
      <c r="BA253" s="43">
        <f t="shared" si="1024"/>
        <v>2.053928480085994</v>
      </c>
      <c r="BB253" s="43">
        <f t="shared" ref="BB253:BE253" si="1025">BB192</f>
        <v>2.3721840543147588</v>
      </c>
      <c r="BC253" s="43">
        <f t="shared" si="1025"/>
        <v>2.4908987309598589</v>
      </c>
      <c r="BD253" s="46">
        <f t="shared" si="1025"/>
        <v>2.5750533403035658</v>
      </c>
      <c r="BE253" s="43">
        <f t="shared" si="1025"/>
        <v>2.5427510944894451</v>
      </c>
      <c r="BF253" s="43">
        <f t="shared" ref="BF253:BG253" si="1026">BF192</f>
        <v>2.6051869846416684</v>
      </c>
      <c r="BG253" s="43">
        <f t="shared" si="1026"/>
        <v>2.4882409259291469</v>
      </c>
      <c r="BH253" s="43">
        <f t="shared" ref="BH253:BI253" si="1027">BH192</f>
        <v>2.4409320001345534</v>
      </c>
      <c r="BI253" s="43">
        <f t="shared" si="1027"/>
        <v>2.2703120395550065</v>
      </c>
      <c r="BJ253" s="43"/>
      <c r="BK253" s="43"/>
      <c r="BL253" s="43"/>
      <c r="BM253" s="43"/>
      <c r="BN253" s="43"/>
      <c r="BO253" s="43"/>
      <c r="BP253" s="43"/>
      <c r="BQ253" s="43">
        <f>BQ192</f>
        <v>0</v>
      </c>
      <c r="BR253" s="43"/>
      <c r="BS253" s="43"/>
      <c r="BT253" s="46"/>
      <c r="BU253" s="46"/>
      <c r="BV253" s="43"/>
      <c r="BW253" s="43"/>
      <c r="BX253" s="43"/>
      <c r="BY253" s="46"/>
      <c r="BZ253" s="46"/>
      <c r="CA253" s="43"/>
      <c r="CB253" s="43"/>
      <c r="CC253" s="46"/>
      <c r="CD253" s="46"/>
      <c r="CE253" s="43"/>
      <c r="CF253" s="43"/>
      <c r="CG253" s="46"/>
      <c r="CH253" s="46"/>
      <c r="CI253" s="43"/>
    </row>
    <row r="254" spans="2:87" ht="12.75">
      <c r="B254" s="1" t="s">
        <v>395</v>
      </c>
      <c r="C254" s="44">
        <f t="shared" ref="C254:G254" si="1028">C193</f>
        <v>3.3769815418023885</v>
      </c>
      <c r="D254" s="44">
        <f t="shared" si="1028"/>
        <v>2.8996105952330011</v>
      </c>
      <c r="E254" s="44">
        <f t="shared" si="1028"/>
        <v>2.8159260017748653</v>
      </c>
      <c r="F254" s="44">
        <f t="shared" si="1028"/>
        <v>3.4561982189973612</v>
      </c>
      <c r="G254" s="44">
        <f t="shared" si="1028"/>
        <v>2.8338054565525943</v>
      </c>
      <c r="H254" s="44">
        <f t="shared" si="1017"/>
        <v>2.8342524290220821</v>
      </c>
      <c r="I254" s="44">
        <f t="shared" si="1017"/>
        <v>2.5929449231137438</v>
      </c>
      <c r="J254" s="44">
        <f t="shared" si="1017"/>
        <v>2.288484593245848</v>
      </c>
      <c r="K254" s="44">
        <f t="shared" si="1017"/>
        <v>1.8858838979487971</v>
      </c>
      <c r="L254" s="44">
        <f t="shared" ref="L254:M254" si="1029">L193</f>
        <v>1.8881446378461912</v>
      </c>
      <c r="M254" s="44">
        <f t="shared" si="1029"/>
        <v>1.960127860339441</v>
      </c>
      <c r="N254" s="44">
        <f t="shared" ref="N254:O254" si="1030">N193</f>
        <v>1.5727284872298626</v>
      </c>
      <c r="O254" s="44">
        <f t="shared" si="1030"/>
        <v>1.5727284872298626</v>
      </c>
      <c r="P254" s="44">
        <f t="shared" si="1020"/>
        <v>2.0009340941356339</v>
      </c>
      <c r="Q254" s="44">
        <f t="shared" si="1020"/>
        <v>2.7202933266034544</v>
      </c>
      <c r="R254" s="44">
        <f t="shared" si="1020"/>
        <v>2.5844841899892357</v>
      </c>
      <c r="S254" s="44">
        <f t="shared" ref="S254" si="1031">S193</f>
        <v>2.5929153687680264</v>
      </c>
      <c r="U254" s="44"/>
      <c r="V254" s="44"/>
      <c r="W254" s="44"/>
      <c r="X254" s="44">
        <f t="shared" ref="X254:AH254" si="1032">X193</f>
        <v>2.8159260017748653</v>
      </c>
      <c r="Y254" s="44">
        <f t="shared" si="1032"/>
        <v>2.6420212221501926</v>
      </c>
      <c r="Z254" s="44">
        <f t="shared" si="1032"/>
        <v>2.4880444793123444</v>
      </c>
      <c r="AA254" s="44">
        <f t="shared" si="1032"/>
        <v>2.6605162153596957</v>
      </c>
      <c r="AB254" s="44">
        <f t="shared" si="1032"/>
        <v>3.4561982189973612</v>
      </c>
      <c r="AC254" s="44">
        <f t="shared" si="1032"/>
        <v>3.1983352978997002</v>
      </c>
      <c r="AD254" s="44">
        <f t="shared" si="1032"/>
        <v>3.2446288313505947</v>
      </c>
      <c r="AE254" s="44">
        <f t="shared" si="1032"/>
        <v>2.9529235703012193</v>
      </c>
      <c r="AF254" s="44">
        <f t="shared" si="1032"/>
        <v>2.8338054565525943</v>
      </c>
      <c r="AG254" s="44">
        <f t="shared" si="1032"/>
        <v>2.8010820340459968</v>
      </c>
      <c r="AH254" s="44">
        <f t="shared" si="1032"/>
        <v>2.7522359554031937</v>
      </c>
      <c r="AI254" s="44">
        <f>AI193</f>
        <v>3.0696489025381628</v>
      </c>
      <c r="AJ254" s="44">
        <f>AJ193</f>
        <v>2.5929449231137438</v>
      </c>
      <c r="AK254" s="44"/>
      <c r="AL254" s="44"/>
      <c r="AM254" s="44"/>
      <c r="AN254" s="114"/>
      <c r="AO254" s="44"/>
      <c r="AP254" s="44"/>
      <c r="AQ254" s="44"/>
      <c r="AR254" s="114"/>
      <c r="AS254" s="44">
        <f t="shared" si="1023"/>
        <v>7.6508181054047233</v>
      </c>
      <c r="AT254" s="44">
        <f t="shared" si="1023"/>
        <v>3.7636298364739447</v>
      </c>
      <c r="AU254" s="44">
        <f t="shared" si="1023"/>
        <v>2.5313073564502209</v>
      </c>
      <c r="AV254" s="114">
        <f t="shared" si="1023"/>
        <v>1.5727284872298626</v>
      </c>
      <c r="AW254" s="44">
        <f t="shared" si="1023"/>
        <v>1.7009292895873542</v>
      </c>
      <c r="AX254" s="44">
        <f t="shared" ref="AX254:BA254" si="1033">AX193</f>
        <v>1.8132277181268608</v>
      </c>
      <c r="AY254" s="44">
        <f t="shared" si="1033"/>
        <v>1.9372974158946854</v>
      </c>
      <c r="AZ254" s="114">
        <f t="shared" si="1033"/>
        <v>2.0009340941356339</v>
      </c>
      <c r="BA254" s="44">
        <f t="shared" si="1033"/>
        <v>2.3795138906907352</v>
      </c>
      <c r="BB254" s="44">
        <f t="shared" ref="BB254:BE254" si="1034">BB193</f>
        <v>2.5134547377012688</v>
      </c>
      <c r="BC254" s="44">
        <f t="shared" si="1034"/>
        <v>2.6440244367386216</v>
      </c>
      <c r="BD254" s="114">
        <f t="shared" si="1034"/>
        <v>2.7202933266034544</v>
      </c>
      <c r="BE254" s="44">
        <f t="shared" si="1034"/>
        <v>2.8578744571864094</v>
      </c>
      <c r="BF254" s="44">
        <f t="shared" ref="BF254:BG254" si="1035">BF193</f>
        <v>2.7358247127939617</v>
      </c>
      <c r="BG254" s="44">
        <f t="shared" si="1035"/>
        <v>2.7250582444912088</v>
      </c>
      <c r="BH254" s="44">
        <f t="shared" ref="BH254:BI254" si="1036">BH193</f>
        <v>2.5844841899892357</v>
      </c>
      <c r="BI254" s="44">
        <f t="shared" si="1036"/>
        <v>2.5929153687680264</v>
      </c>
      <c r="BJ254" s="44"/>
      <c r="BK254" s="44"/>
      <c r="BL254" s="44"/>
      <c r="BM254" s="44"/>
      <c r="BN254" s="44"/>
      <c r="BO254" s="44"/>
      <c r="BP254" s="44"/>
      <c r="BQ254" s="44">
        <f>BQ193</f>
        <v>0</v>
      </c>
      <c r="BR254" s="44"/>
      <c r="BS254" s="44"/>
      <c r="BT254" s="114"/>
      <c r="BU254" s="114"/>
      <c r="BV254" s="44"/>
      <c r="BW254" s="44"/>
      <c r="BX254" s="44"/>
      <c r="BY254" s="114"/>
      <c r="BZ254" s="114"/>
      <c r="CA254" s="44"/>
      <c r="CB254" s="44"/>
      <c r="CC254" s="114"/>
      <c r="CD254" s="114"/>
      <c r="CE254" s="44"/>
      <c r="CF254" s="44"/>
      <c r="CG254" s="114"/>
      <c r="CH254" s="114"/>
      <c r="CI254" s="44"/>
    </row>
    <row r="255" spans="2:87" ht="12.75"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U255" s="44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  <c r="AK255" s="44"/>
      <c r="AL255" s="44"/>
      <c r="AM255" s="44"/>
      <c r="AN255" s="44"/>
      <c r="AO255" s="44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4"/>
      <c r="BI255" s="44"/>
      <c r="BJ255" s="44"/>
      <c r="BK255" s="44"/>
      <c r="BL255" s="44"/>
      <c r="BM255" s="44"/>
      <c r="BN255" s="44"/>
      <c r="BO255" s="44"/>
      <c r="BP255" s="44"/>
      <c r="BQ255" s="44"/>
      <c r="BR255" s="44"/>
      <c r="BS255" s="44"/>
      <c r="BT255" s="114"/>
      <c r="BU255" s="114"/>
      <c r="BV255" s="44"/>
      <c r="BW255" s="44"/>
      <c r="BX255" s="44"/>
      <c r="BY255" s="114"/>
      <c r="BZ255" s="114"/>
      <c r="CA255" s="44"/>
      <c r="CB255" s="44"/>
      <c r="CC255" s="114"/>
      <c r="CD255" s="114"/>
      <c r="CE255" s="44"/>
      <c r="CF255" s="44"/>
      <c r="CG255" s="114"/>
      <c r="CH255" s="114"/>
      <c r="CI255" s="44"/>
    </row>
    <row r="256" spans="2:87" s="5" customFormat="1" ht="12.75">
      <c r="B256" s="5" t="s">
        <v>382</v>
      </c>
      <c r="C256" s="43">
        <f t="shared" ref="C256:G256" si="1037">C195</f>
        <v>3.2373507057546145</v>
      </c>
      <c r="D256" s="43">
        <f t="shared" si="1037"/>
        <v>2.7359322178955026</v>
      </c>
      <c r="E256" s="43">
        <f t="shared" si="1037"/>
        <v>2.583341183698546</v>
      </c>
      <c r="F256" s="43">
        <f t="shared" si="1037"/>
        <v>3.1917520888302544</v>
      </c>
      <c r="G256" s="43">
        <f t="shared" si="1037"/>
        <v>2.8842204068758872</v>
      </c>
      <c r="H256" s="43">
        <f t="shared" ref="H256:K257" si="1038">H195</f>
        <v>2.8832820820189276</v>
      </c>
      <c r="I256" s="43">
        <f t="shared" si="1038"/>
        <v>2.6731176928139773</v>
      </c>
      <c r="J256" s="43">
        <f t="shared" si="1038"/>
        <v>2.3592435772185989</v>
      </c>
      <c r="K256" s="43">
        <f t="shared" si="1038"/>
        <v>1.8798592038590047</v>
      </c>
      <c r="L256" s="43">
        <f t="shared" ref="L256:M256" si="1039">L195</f>
        <v>1.8905706006750986</v>
      </c>
      <c r="M256" s="43">
        <f t="shared" si="1039"/>
        <v>1.9626463100565734</v>
      </c>
      <c r="N256" s="43">
        <f t="shared" ref="N256:O256" si="1040">N195</f>
        <v>1.4932596688184112</v>
      </c>
      <c r="O256" s="43">
        <f t="shared" si="1040"/>
        <v>1.4932596688184112</v>
      </c>
      <c r="P256" s="43">
        <f t="shared" ref="P256:R257" si="1041">P195</f>
        <v>1.8853008081249318</v>
      </c>
      <c r="Q256" s="43">
        <f t="shared" si="1041"/>
        <v>2.5750533403035658</v>
      </c>
      <c r="R256" s="43">
        <f t="shared" si="1041"/>
        <v>2.4409320001345534</v>
      </c>
      <c r="S256" s="43">
        <f t="shared" ref="S256" si="1042">S195</f>
        <v>2.2703120395550065</v>
      </c>
      <c r="T256" s="292"/>
      <c r="U256" s="43"/>
      <c r="V256" s="43"/>
      <c r="W256" s="43"/>
      <c r="X256" s="43">
        <f t="shared" ref="X256:AH256" si="1043">X195</f>
        <v>2.583341183698546</v>
      </c>
      <c r="Y256" s="43">
        <f t="shared" si="1043"/>
        <v>2.3764372718277662</v>
      </c>
      <c r="Z256" s="43">
        <f t="shared" si="1043"/>
        <v>2.2960398403656583</v>
      </c>
      <c r="AA256" s="43">
        <f t="shared" si="1043"/>
        <v>2.4603331103207862</v>
      </c>
      <c r="AB256" s="43">
        <f t="shared" si="1043"/>
        <v>3.1917520888302544</v>
      </c>
      <c r="AC256" s="43">
        <f t="shared" si="1043"/>
        <v>3.0191407701100159</v>
      </c>
      <c r="AD256" s="43">
        <f t="shared" si="1043"/>
        <v>3.2859739328201538</v>
      </c>
      <c r="AE256" s="43">
        <f t="shared" si="1043"/>
        <v>2.9908044259377418</v>
      </c>
      <c r="AF256" s="43">
        <f t="shared" si="1043"/>
        <v>2.8842204068758872</v>
      </c>
      <c r="AG256" s="43">
        <f t="shared" si="1043"/>
        <v>2.866907416052034</v>
      </c>
      <c r="AH256" s="43">
        <f t="shared" si="1043"/>
        <v>2.860320423731431</v>
      </c>
      <c r="AI256" s="43">
        <f>AI195</f>
        <v>2.8303107518140482</v>
      </c>
      <c r="AJ256" s="43">
        <f>AJ195</f>
        <v>2.6731176928139773</v>
      </c>
      <c r="AK256" s="43"/>
      <c r="AL256" s="43"/>
      <c r="AM256" s="43"/>
      <c r="AN256" s="46"/>
      <c r="AO256" s="43"/>
      <c r="AP256" s="43"/>
      <c r="AQ256" s="43"/>
      <c r="AR256" s="46"/>
      <c r="AS256" s="43">
        <f t="shared" ref="AS256:AW257" si="1044">AS195</f>
        <v>7.6192472892325798</v>
      </c>
      <c r="AT256" s="43">
        <f t="shared" si="1044"/>
        <v>3.8386685282654986</v>
      </c>
      <c r="AU256" s="43">
        <f t="shared" si="1044"/>
        <v>2.5591572320657967</v>
      </c>
      <c r="AV256" s="46">
        <f t="shared" si="1044"/>
        <v>1.4932596688184112</v>
      </c>
      <c r="AW256" s="43">
        <f t="shared" si="1044"/>
        <v>1.7398514658579176</v>
      </c>
      <c r="AX256" s="43">
        <f t="shared" ref="AX256:BA256" si="1045">AX195</f>
        <v>1.6961874402237662</v>
      </c>
      <c r="AY256" s="43">
        <f t="shared" si="1045"/>
        <v>1.8244475143109955</v>
      </c>
      <c r="AZ256" s="46">
        <f t="shared" si="1045"/>
        <v>1.8853008081249318</v>
      </c>
      <c r="BA256" s="43">
        <f t="shared" si="1045"/>
        <v>2.053928480085994</v>
      </c>
      <c r="BB256" s="43">
        <f t="shared" ref="BB256:BE256" si="1046">BB195</f>
        <v>2.3721840543147588</v>
      </c>
      <c r="BC256" s="43">
        <f t="shared" si="1046"/>
        <v>2.4908987309598589</v>
      </c>
      <c r="BD256" s="46">
        <f t="shared" si="1046"/>
        <v>2.5750533403035658</v>
      </c>
      <c r="BE256" s="43">
        <f t="shared" si="1046"/>
        <v>2.5427510944894451</v>
      </c>
      <c r="BF256" s="43">
        <f t="shared" ref="BF256:BG256" si="1047">BF195</f>
        <v>2.6051869846416684</v>
      </c>
      <c r="BG256" s="43">
        <f t="shared" si="1047"/>
        <v>2.4882409259291469</v>
      </c>
      <c r="BH256" s="43">
        <f t="shared" ref="BH256:BI256" si="1048">BH195</f>
        <v>2.4409320001345534</v>
      </c>
      <c r="BI256" s="43">
        <f t="shared" si="1048"/>
        <v>2.2703120395550065</v>
      </c>
      <c r="BJ256" s="43"/>
      <c r="BK256" s="43"/>
      <c r="BL256" s="43"/>
      <c r="BM256" s="43"/>
      <c r="BN256" s="43"/>
      <c r="BO256" s="43"/>
      <c r="BP256" s="43"/>
      <c r="BQ256" s="43" t="e">
        <f>BQ195</f>
        <v>#REF!</v>
      </c>
      <c r="BR256" s="43"/>
      <c r="BS256" s="43"/>
      <c r="BT256" s="46"/>
      <c r="BU256" s="46"/>
      <c r="BV256" s="43"/>
      <c r="BW256" s="43"/>
      <c r="BX256" s="43"/>
      <c r="BY256" s="46"/>
      <c r="BZ256" s="46"/>
      <c r="CA256" s="43"/>
      <c r="CB256" s="43"/>
      <c r="CC256" s="46"/>
      <c r="CD256" s="46"/>
      <c r="CE256" s="43"/>
      <c r="CF256" s="43"/>
      <c r="CG256" s="46"/>
      <c r="CH256" s="46"/>
      <c r="CI256" s="43"/>
    </row>
    <row r="257" spans="2:88" ht="12.75">
      <c r="B257" s="1" t="s">
        <v>383</v>
      </c>
      <c r="C257" s="44">
        <f t="shared" ref="C257:G257" si="1049">C196</f>
        <v>3.3769815418023885</v>
      </c>
      <c r="D257" s="44">
        <f t="shared" si="1049"/>
        <v>2.8996105952330011</v>
      </c>
      <c r="E257" s="44">
        <f t="shared" si="1049"/>
        <v>2.8159260017748653</v>
      </c>
      <c r="F257" s="44">
        <f t="shared" si="1049"/>
        <v>3.4561982189973612</v>
      </c>
      <c r="G257" s="44">
        <f t="shared" si="1049"/>
        <v>3.1234198076013246</v>
      </c>
      <c r="H257" s="44">
        <f t="shared" si="1038"/>
        <v>3.1225192113564666</v>
      </c>
      <c r="I257" s="44">
        <f t="shared" si="1038"/>
        <v>2.8601363309998207</v>
      </c>
      <c r="J257" s="44">
        <f t="shared" si="1038"/>
        <v>2.5243027222559609</v>
      </c>
      <c r="K257" s="44">
        <f t="shared" si="1038"/>
        <v>2.0849251211470801</v>
      </c>
      <c r="L257" s="44">
        <f t="shared" ref="L257:M257" si="1050">L196</f>
        <v>2.0684441416893731</v>
      </c>
      <c r="M257" s="44">
        <f t="shared" si="1050"/>
        <v>2.1473010639196151</v>
      </c>
      <c r="N257" s="44">
        <f t="shared" ref="N257:O257" si="1051">N196</f>
        <v>1.7236486294321265</v>
      </c>
      <c r="O257" s="44">
        <f t="shared" si="1051"/>
        <v>1.7236486294321265</v>
      </c>
      <c r="P257" s="44">
        <f t="shared" si="1041"/>
        <v>2.0009340941356339</v>
      </c>
      <c r="Q257" s="44">
        <f t="shared" si="1041"/>
        <v>2.7202933266034544</v>
      </c>
      <c r="R257" s="44">
        <f t="shared" si="1041"/>
        <v>2.5844841899892357</v>
      </c>
      <c r="S257" s="44">
        <f t="shared" ref="S257" si="1052">S196</f>
        <v>2.5929153687680264</v>
      </c>
      <c r="U257" s="44"/>
      <c r="V257" s="44"/>
      <c r="W257" s="44"/>
      <c r="X257" s="44">
        <f t="shared" ref="X257:AH257" si="1053">X196</f>
        <v>2.8159260017748653</v>
      </c>
      <c r="Y257" s="44">
        <f t="shared" si="1053"/>
        <v>2.6420212221501926</v>
      </c>
      <c r="Z257" s="44">
        <f t="shared" si="1053"/>
        <v>2.4880444793123444</v>
      </c>
      <c r="AA257" s="44">
        <f t="shared" si="1053"/>
        <v>2.6605162153596957</v>
      </c>
      <c r="AB257" s="44">
        <f t="shared" si="1053"/>
        <v>3.4561982189973612</v>
      </c>
      <c r="AC257" s="44">
        <f t="shared" si="1053"/>
        <v>3.1983352978997002</v>
      </c>
      <c r="AD257" s="44">
        <f t="shared" si="1053"/>
        <v>3.5685517144856544</v>
      </c>
      <c r="AE257" s="44">
        <f t="shared" si="1053"/>
        <v>3.2585674804392362</v>
      </c>
      <c r="AF257" s="44">
        <f t="shared" si="1053"/>
        <v>3.1234198076013246</v>
      </c>
      <c r="AG257" s="44">
        <f t="shared" si="1053"/>
        <v>3.0880164939470331</v>
      </c>
      <c r="AH257" s="44">
        <f t="shared" si="1053"/>
        <v>3.0360147626548071</v>
      </c>
      <c r="AI257" s="44">
        <f>AI196</f>
        <v>3.3439708848944689</v>
      </c>
      <c r="AJ257" s="44">
        <f>AJ196</f>
        <v>2.8601363309998207</v>
      </c>
      <c r="AK257" s="44"/>
      <c r="AL257" s="44"/>
      <c r="AM257" s="44"/>
      <c r="AN257" s="114"/>
      <c r="AO257" s="44"/>
      <c r="AP257" s="44"/>
      <c r="AQ257" s="44"/>
      <c r="AR257" s="114"/>
      <c r="AS257" s="44">
        <f t="shared" si="1044"/>
        <v>8.384051189375473</v>
      </c>
      <c r="AT257" s="44">
        <f t="shared" si="1044"/>
        <v>4.1107837598939296</v>
      </c>
      <c r="AU257" s="44">
        <f t="shared" si="1044"/>
        <v>2.7451509874600193</v>
      </c>
      <c r="AV257" s="114">
        <f t="shared" si="1044"/>
        <v>1.7236486294321265</v>
      </c>
      <c r="AW257" s="44">
        <f t="shared" si="1044"/>
        <v>1.8497892105505009</v>
      </c>
      <c r="AX257" s="44">
        <f t="shared" ref="AX257:BA257" si="1054">AX196</f>
        <v>1.8132277181268608</v>
      </c>
      <c r="AY257" s="44">
        <f t="shared" si="1054"/>
        <v>1.9372974158946854</v>
      </c>
      <c r="AZ257" s="114">
        <f t="shared" si="1054"/>
        <v>2.0009340941356339</v>
      </c>
      <c r="BA257" s="44">
        <f t="shared" si="1054"/>
        <v>2.3795138906907352</v>
      </c>
      <c r="BB257" s="44">
        <f t="shared" ref="BB257:BE257" si="1055">BB196</f>
        <v>2.5134547377012688</v>
      </c>
      <c r="BC257" s="44">
        <f t="shared" si="1055"/>
        <v>2.6440244367386216</v>
      </c>
      <c r="BD257" s="114">
        <f t="shared" si="1055"/>
        <v>2.7202933266034544</v>
      </c>
      <c r="BE257" s="44">
        <f t="shared" si="1055"/>
        <v>2.8578744571864094</v>
      </c>
      <c r="BF257" s="44">
        <f t="shared" ref="BF257:BG257" si="1056">BF196</f>
        <v>2.7358247127939617</v>
      </c>
      <c r="BG257" s="44">
        <f t="shared" si="1056"/>
        <v>2.7250582444912088</v>
      </c>
      <c r="BH257" s="44">
        <f t="shared" ref="BH257:BI257" si="1057">BH196</f>
        <v>2.5844841899892357</v>
      </c>
      <c r="BI257" s="44">
        <f t="shared" si="1057"/>
        <v>2.5929153687680264</v>
      </c>
      <c r="BJ257" s="44"/>
      <c r="BK257" s="44"/>
      <c r="BL257" s="44"/>
      <c r="BM257" s="44"/>
      <c r="BN257" s="44"/>
      <c r="BO257" s="44"/>
      <c r="BP257" s="44"/>
      <c r="BQ257" s="44" t="e">
        <f>BQ196</f>
        <v>#REF!</v>
      </c>
      <c r="BR257" s="44"/>
      <c r="BS257" s="44"/>
      <c r="BT257" s="114"/>
      <c r="BU257" s="114"/>
      <c r="BV257" s="44"/>
      <c r="BW257" s="44"/>
      <c r="BX257" s="44"/>
      <c r="BY257" s="114"/>
      <c r="BZ257" s="114"/>
      <c r="CA257" s="44"/>
      <c r="CB257" s="44"/>
      <c r="CC257" s="114"/>
      <c r="CD257" s="114"/>
      <c r="CE257" s="44"/>
      <c r="CF257" s="44"/>
      <c r="CG257" s="114"/>
      <c r="CH257" s="114"/>
      <c r="CI257" s="44"/>
    </row>
    <row r="258" spans="2:88" ht="12.75"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U258" s="71"/>
      <c r="V258" s="71"/>
      <c r="W258" s="71"/>
      <c r="X258" s="71"/>
      <c r="Y258" s="71"/>
      <c r="Z258" s="71"/>
      <c r="AA258" s="71"/>
      <c r="AB258" s="71"/>
      <c r="AC258" s="71"/>
      <c r="AD258" s="71"/>
      <c r="AE258" s="71"/>
      <c r="AF258" s="71"/>
      <c r="AG258" s="71"/>
      <c r="AH258" s="71"/>
      <c r="AI258" s="71"/>
      <c r="AJ258" s="71"/>
      <c r="AK258" s="71"/>
      <c r="AL258" s="71"/>
      <c r="AN258" s="71"/>
      <c r="AO258" s="71"/>
      <c r="AP258" s="71"/>
      <c r="AQ258" s="71"/>
      <c r="AR258" s="71"/>
      <c r="AS258" s="71"/>
      <c r="AT258" s="71"/>
      <c r="AU258" s="71"/>
      <c r="AV258" s="71"/>
      <c r="AW258" s="71"/>
      <c r="AX258" s="71"/>
      <c r="AY258" s="71"/>
      <c r="AZ258" s="71"/>
      <c r="BA258" s="71"/>
      <c r="BB258" s="71"/>
      <c r="BC258" s="71"/>
      <c r="BD258" s="71"/>
      <c r="BE258" s="71"/>
      <c r="BF258" s="71"/>
      <c r="BG258" s="71"/>
      <c r="BH258" s="71"/>
      <c r="BI258" s="71"/>
      <c r="BJ258" s="71"/>
      <c r="BK258" s="71"/>
      <c r="BL258" s="71"/>
      <c r="BM258" s="71"/>
      <c r="BN258" s="71"/>
      <c r="BO258" s="71"/>
      <c r="BP258" s="71"/>
      <c r="BQ258" s="71"/>
      <c r="BR258" s="71"/>
      <c r="BS258" s="71"/>
      <c r="BT258" s="114"/>
      <c r="BU258" s="114"/>
      <c r="BV258" s="71"/>
      <c r="BW258" s="71"/>
      <c r="BX258" s="71"/>
      <c r="BY258" s="114"/>
      <c r="BZ258" s="114"/>
      <c r="CA258" s="71"/>
      <c r="CB258" s="71"/>
      <c r="CC258" s="114"/>
      <c r="CD258" s="114"/>
      <c r="CE258" s="71"/>
      <c r="CF258" s="71"/>
      <c r="CG258" s="114"/>
      <c r="CH258" s="114"/>
      <c r="CI258" s="71"/>
    </row>
    <row r="259" spans="2:88" s="5" customFormat="1" ht="12.75">
      <c r="B259" s="5" t="s">
        <v>396</v>
      </c>
      <c r="C259" s="43">
        <f t="shared" ref="C259:G259" si="1058">C198</f>
        <v>3.9950696188084911</v>
      </c>
      <c r="D259" s="43">
        <f t="shared" si="1058"/>
        <v>3.5275040901654244</v>
      </c>
      <c r="E259" s="43">
        <f t="shared" si="1058"/>
        <v>3.3541593723469654</v>
      </c>
      <c r="F259" s="43">
        <f t="shared" si="1058"/>
        <v>4.0290671175355843</v>
      </c>
      <c r="G259" s="43">
        <f t="shared" si="1058"/>
        <v>3.7244715796117585</v>
      </c>
      <c r="H259" s="43">
        <f t="shared" ref="H259:K260" si="1059">H198</f>
        <v>3.7237981529914159</v>
      </c>
      <c r="I259" s="43">
        <f t="shared" si="1059"/>
        <v>3.0283314762495706</v>
      </c>
      <c r="J259" s="43">
        <f t="shared" si="1059"/>
        <v>3.0283314762495706</v>
      </c>
      <c r="K259" s="43">
        <f t="shared" si="1059"/>
        <v>2.5235134202199454</v>
      </c>
      <c r="L259" s="43">
        <f t="shared" ref="L259:N259" si="1060">L198</f>
        <v>2.5239701492537314</v>
      </c>
      <c r="M259" s="43">
        <f t="shared" ref="M259" si="1061">M198</f>
        <v>2.620193447606181</v>
      </c>
      <c r="N259" s="43">
        <f t="shared" si="1060"/>
        <v>2.0393402563382916</v>
      </c>
      <c r="O259" s="43">
        <f t="shared" ref="O259" si="1062">O198</f>
        <v>2.0393402563382916</v>
      </c>
      <c r="P259" s="43">
        <f t="shared" ref="P259:R260" si="1063">P198</f>
        <v>2.3733495322339921</v>
      </c>
      <c r="Q259" s="43">
        <f t="shared" si="1063"/>
        <v>3.2204110213793848</v>
      </c>
      <c r="R259" s="43">
        <f t="shared" si="1063"/>
        <v>3.0260678148546827</v>
      </c>
      <c r="S259" s="43">
        <f t="shared" ref="S259" si="1064">S198</f>
        <v>2.8382092130201899</v>
      </c>
      <c r="T259" s="292"/>
      <c r="U259" s="43"/>
      <c r="V259" s="43"/>
      <c r="W259" s="43"/>
      <c r="X259" s="43">
        <f t="shared" ref="X259:AH259" si="1065">X198</f>
        <v>3.9106672810430743</v>
      </c>
      <c r="Y259" s="43">
        <f t="shared" si="1065"/>
        <v>3.2077506849891795</v>
      </c>
      <c r="Z259" s="43">
        <f t="shared" si="1065"/>
        <v>3.1703834580889687</v>
      </c>
      <c r="AA259" s="43">
        <f t="shared" si="1065"/>
        <v>3.3633291297437897</v>
      </c>
      <c r="AB259" s="43">
        <f t="shared" si="1065"/>
        <v>4.0290671175355843</v>
      </c>
      <c r="AC259" s="43">
        <f t="shared" si="1065"/>
        <v>3.8828622839597409</v>
      </c>
      <c r="AD259" s="43">
        <f t="shared" si="1065"/>
        <v>4.1030527187841663</v>
      </c>
      <c r="AE259" s="43">
        <f t="shared" si="1065"/>
        <v>3.8437943798380187</v>
      </c>
      <c r="AF259" s="43">
        <f t="shared" si="1065"/>
        <v>3.7244715796117585</v>
      </c>
      <c r="AG259" s="43">
        <f t="shared" si="1065"/>
        <v>3.0125759033522397</v>
      </c>
      <c r="AH259" s="43">
        <f t="shared" si="1065"/>
        <v>3.0394099861715596</v>
      </c>
      <c r="AI259" s="43">
        <f t="shared" ref="AI259:AK260" si="1066">AI198</f>
        <v>3.0689291890875281</v>
      </c>
      <c r="AJ259" s="43">
        <f t="shared" si="1066"/>
        <v>3.0283314762495706</v>
      </c>
      <c r="AK259" s="43">
        <f t="shared" si="1066"/>
        <v>3.4625562430711319</v>
      </c>
      <c r="AL259" s="43">
        <f t="shared" ref="AL259:AO260" si="1067">AL198</f>
        <v>3.1880960901419346</v>
      </c>
      <c r="AM259" s="43">
        <f t="shared" si="1067"/>
        <v>2.8757036599763874</v>
      </c>
      <c r="AN259" s="43">
        <f t="shared" si="1067"/>
        <v>2.5235134202199454</v>
      </c>
      <c r="AO259" s="43">
        <f t="shared" si="1067"/>
        <v>2.4587025795045476</v>
      </c>
      <c r="AP259" s="43">
        <f>AP198</f>
        <v>2.3940839632149151</v>
      </c>
      <c r="AQ259" s="43">
        <f>AQ198</f>
        <v>2.4316729234132963</v>
      </c>
      <c r="AR259" s="43">
        <f t="shared" ref="AR259:AS259" si="1068">AR198</f>
        <v>2.620193447606181</v>
      </c>
      <c r="AS259" s="43">
        <f t="shared" si="1068"/>
        <v>2.4957415048543687</v>
      </c>
      <c r="AT259" s="43">
        <f>AT198</f>
        <v>2.5389083790765254</v>
      </c>
      <c r="AU259" s="43">
        <f>AU198</f>
        <v>2.5703999099698596</v>
      </c>
      <c r="AV259" s="43">
        <f t="shared" ref="AV259:AW259" si="1069">AV198</f>
        <v>2.0393402563382916</v>
      </c>
      <c r="AW259" s="43">
        <f t="shared" si="1069"/>
        <v>2.2477904236742945</v>
      </c>
      <c r="AX259" s="43">
        <f>AX198</f>
        <v>2.1747827303076783</v>
      </c>
      <c r="AY259" s="43">
        <f>AY198</f>
        <v>2.3174200480343825</v>
      </c>
      <c r="AZ259" s="43">
        <f t="shared" ref="AZ259:BA259" si="1070">AZ198</f>
        <v>2.3733495322339921</v>
      </c>
      <c r="BA259" s="43">
        <f t="shared" si="1070"/>
        <v>2.5535460829920118</v>
      </c>
      <c r="BB259" s="43">
        <f>BB198</f>
        <v>2.9320320917118052</v>
      </c>
      <c r="BC259" s="43">
        <f>BC198</f>
        <v>3.0952573664239935</v>
      </c>
      <c r="BD259" s="43">
        <f t="shared" ref="BD259:BE259" si="1071">BD198</f>
        <v>3.2204110213793848</v>
      </c>
      <c r="BE259" s="43">
        <f t="shared" si="1071"/>
        <v>3.1892239493787553</v>
      </c>
      <c r="BF259" s="43">
        <f t="shared" ref="BF259:BI260" si="1072">BF198</f>
        <v>3.2293863640325648</v>
      </c>
      <c r="BG259" s="43">
        <f t="shared" si="1072"/>
        <v>3.1213280230960541</v>
      </c>
      <c r="BH259" s="43">
        <f t="shared" si="1072"/>
        <v>3.0260678148546827</v>
      </c>
      <c r="BI259" s="43">
        <f t="shared" si="1072"/>
        <v>2.8382092130201899</v>
      </c>
      <c r="BJ259" s="43"/>
      <c r="BK259" s="43"/>
      <c r="BL259" s="43"/>
      <c r="BM259" s="43"/>
      <c r="BN259" s="43"/>
      <c r="BO259" s="43"/>
      <c r="BP259" s="43"/>
      <c r="BQ259" s="43" t="e">
        <f>BQ198</f>
        <v>#REF!</v>
      </c>
      <c r="BR259" s="43"/>
      <c r="BS259" s="43"/>
      <c r="BT259" s="46"/>
      <c r="BU259" s="46"/>
      <c r="BV259" s="43"/>
      <c r="BW259" s="43"/>
      <c r="BX259" s="43"/>
      <c r="BY259" s="46"/>
      <c r="BZ259" s="46"/>
      <c r="CA259" s="43"/>
      <c r="CB259" s="43"/>
      <c r="CC259" s="46"/>
      <c r="CD259" s="46"/>
      <c r="CE259" s="43"/>
      <c r="CF259" s="43"/>
      <c r="CG259" s="46"/>
      <c r="CH259" s="46"/>
      <c r="CI259" s="43"/>
    </row>
    <row r="260" spans="2:88" ht="12.75">
      <c r="B260" s="1" t="s">
        <v>397</v>
      </c>
      <c r="C260" s="44">
        <f t="shared" ref="C260:G260" si="1073">C199</f>
        <v>4.1124857338507192</v>
      </c>
      <c r="D260" s="44">
        <f t="shared" si="1073"/>
        <v>3.6665697145973462</v>
      </c>
      <c r="E260" s="44">
        <f t="shared" si="1073"/>
        <v>3.5536461840217806</v>
      </c>
      <c r="F260" s="44">
        <f t="shared" si="1073"/>
        <v>4.2474622280459249</v>
      </c>
      <c r="G260" s="44">
        <f t="shared" si="1073"/>
        <v>3.9243832093692275</v>
      </c>
      <c r="H260" s="44">
        <f t="shared" si="1059"/>
        <v>3.9237361348666959</v>
      </c>
      <c r="I260" s="44">
        <f t="shared" si="1059"/>
        <v>3.1933906212869325</v>
      </c>
      <c r="J260" s="44">
        <f t="shared" si="1059"/>
        <v>3.1933906212869325</v>
      </c>
      <c r="K260" s="44">
        <f t="shared" si="1059"/>
        <v>2.728579337508021</v>
      </c>
      <c r="L260" s="44">
        <f t="shared" ref="L260:N260" si="1074">L199</f>
        <v>2.7018436902680061</v>
      </c>
      <c r="M260" s="44">
        <f t="shared" ref="M260" si="1075">M199</f>
        <v>2.8048482014692224</v>
      </c>
      <c r="N260" s="44">
        <f t="shared" si="1074"/>
        <v>2.2697292169520069</v>
      </c>
      <c r="O260" s="44">
        <f t="shared" ref="O260" si="1076">O199</f>
        <v>2.2697292169520069</v>
      </c>
      <c r="P260" s="44">
        <f t="shared" si="1063"/>
        <v>2.4889828182446943</v>
      </c>
      <c r="Q260" s="44">
        <f t="shared" si="1063"/>
        <v>3.3656510076792734</v>
      </c>
      <c r="R260" s="44">
        <f>R199</f>
        <v>3.169620004709365</v>
      </c>
      <c r="S260" s="44">
        <f t="shared" ref="S260" si="1077">S199</f>
        <v>3.1608125422332098</v>
      </c>
      <c r="U260" s="44"/>
      <c r="V260" s="44"/>
      <c r="W260" s="44"/>
      <c r="X260" s="44">
        <f t="shared" ref="X260:AH260" si="1078">X199</f>
        <v>4.143252099119394</v>
      </c>
      <c r="Y260" s="44">
        <f t="shared" si="1078"/>
        <v>3.4340742036430179</v>
      </c>
      <c r="Z260" s="44">
        <f t="shared" si="1078"/>
        <v>3.3329562591654787</v>
      </c>
      <c r="AA260" s="44">
        <f t="shared" si="1078"/>
        <v>3.5308812931384197</v>
      </c>
      <c r="AB260" s="44">
        <f t="shared" si="1078"/>
        <v>4.2474622280459249</v>
      </c>
      <c r="AC260" s="44">
        <f t="shared" si="1078"/>
        <v>4.0309830227358159</v>
      </c>
      <c r="AD260" s="44">
        <f t="shared" si="1078"/>
        <v>4.3366514945016199</v>
      </c>
      <c r="AE260" s="44">
        <f t="shared" si="1078"/>
        <v>4.0659614514838855</v>
      </c>
      <c r="AF260" s="44">
        <f t="shared" si="1078"/>
        <v>3.9243832093692275</v>
      </c>
      <c r="AG260" s="44">
        <f t="shared" si="1078"/>
        <v>3.2002475346431654</v>
      </c>
      <c r="AH260" s="44">
        <f t="shared" si="1078"/>
        <v>3.1906540493449103</v>
      </c>
      <c r="AI260" s="44">
        <f t="shared" si="1066"/>
        <v>3.5177905704886325</v>
      </c>
      <c r="AJ260" s="44">
        <f t="shared" si="1066"/>
        <v>3.1933906212869325</v>
      </c>
      <c r="AK260" s="44">
        <f t="shared" si="1066"/>
        <v>4.1185187820661566</v>
      </c>
      <c r="AL260" s="44">
        <f t="shared" si="1067"/>
        <v>3.438020165872766</v>
      </c>
      <c r="AM260" s="44">
        <f t="shared" si="1067"/>
        <v>3.1542355719147164</v>
      </c>
      <c r="AN260" s="44">
        <f t="shared" si="1067"/>
        <v>2.728579337508021</v>
      </c>
      <c r="AO260" s="44">
        <f t="shared" si="1067"/>
        <v>2.6997793043218952</v>
      </c>
      <c r="AP260" s="44">
        <f>AP199</f>
        <v>2.6442172041656171</v>
      </c>
      <c r="AQ260" s="44">
        <f>AQ199</f>
        <v>2.6617324931416433</v>
      </c>
      <c r="AR260" s="44">
        <f t="shared" ref="AR260:AS260" si="1079">AR199</f>
        <v>2.8048482014692224</v>
      </c>
      <c r="AS260" s="44">
        <f t="shared" si="1079"/>
        <v>2.6828994775382591</v>
      </c>
      <c r="AT260" s="44">
        <f>AT199</f>
        <v>2.6755865353567967</v>
      </c>
      <c r="AU260" s="44">
        <f>AU199</f>
        <v>2.7138030101381769</v>
      </c>
      <c r="AV260" s="44">
        <f t="shared" ref="AV260:AW260" si="1080">AV199</f>
        <v>2.2697292169520069</v>
      </c>
      <c r="AW260" s="44">
        <f t="shared" si="1080"/>
        <v>2.357728168366878</v>
      </c>
      <c r="AX260" s="44">
        <f>AX199</f>
        <v>2.2918230082107733</v>
      </c>
      <c r="AY260" s="44">
        <f>AY199</f>
        <v>2.4302699496180726</v>
      </c>
      <c r="AZ260" s="44">
        <f t="shared" ref="AZ260:BA260" si="1081">AZ199</f>
        <v>2.4889828182446943</v>
      </c>
      <c r="BA260" s="44">
        <f t="shared" si="1081"/>
        <v>2.8791314935967534</v>
      </c>
      <c r="BB260" s="44">
        <f>BB199</f>
        <v>3.0733027750983157</v>
      </c>
      <c r="BC260" s="44">
        <f>BC199</f>
        <v>3.2483830722027562</v>
      </c>
      <c r="BD260" s="44">
        <f t="shared" ref="BD260:BE260" si="1082">BD199</f>
        <v>3.3656510076792734</v>
      </c>
      <c r="BE260" s="44">
        <f t="shared" si="1082"/>
        <v>3.5043473120757191</v>
      </c>
      <c r="BF260" s="44">
        <f t="shared" si="1072"/>
        <v>3.3600240921848581</v>
      </c>
      <c r="BG260" s="44">
        <f t="shared" si="1072"/>
        <v>3.358145341658116</v>
      </c>
      <c r="BH260" s="44">
        <f t="shared" si="1072"/>
        <v>3.169620004709365</v>
      </c>
      <c r="BI260" s="44">
        <f t="shared" si="1072"/>
        <v>3.1608125422332098</v>
      </c>
      <c r="BJ260" s="44"/>
      <c r="BK260" s="44"/>
      <c r="BL260" s="44"/>
      <c r="BM260" s="44"/>
      <c r="BN260" s="44"/>
      <c r="BO260" s="44"/>
      <c r="BP260" s="44"/>
      <c r="BQ260" s="44" t="e">
        <f>BQ199</f>
        <v>#REF!</v>
      </c>
      <c r="BR260" s="44"/>
      <c r="BS260" s="44"/>
      <c r="BT260" s="114"/>
      <c r="BU260" s="114"/>
      <c r="BV260" s="44"/>
      <c r="BW260" s="44"/>
      <c r="BX260" s="44"/>
      <c r="BY260" s="114"/>
      <c r="BZ260" s="114"/>
      <c r="CA260" s="44"/>
      <c r="CB260" s="44"/>
      <c r="CC260" s="114"/>
      <c r="CD260" s="114"/>
      <c r="CE260" s="44"/>
      <c r="CF260" s="44"/>
      <c r="CG260" s="114"/>
      <c r="CH260" s="114"/>
      <c r="CI260" s="44"/>
    </row>
    <row r="261" spans="2:88" ht="12.75"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U261" s="71"/>
      <c r="V261" s="71"/>
      <c r="W261" s="71"/>
      <c r="X261" s="71"/>
      <c r="Y261" s="71"/>
      <c r="Z261" s="71"/>
      <c r="AA261" s="71"/>
      <c r="AB261" s="71"/>
      <c r="AC261" s="71"/>
      <c r="AD261" s="71"/>
      <c r="AE261" s="71"/>
      <c r="AF261" s="71"/>
      <c r="AG261" s="71"/>
      <c r="AH261" s="71"/>
      <c r="AI261" s="71"/>
      <c r="AJ261" s="71"/>
      <c r="AK261" s="71"/>
      <c r="AL261" s="71"/>
      <c r="AN261" s="71"/>
      <c r="AO261" s="71"/>
      <c r="AP261" s="71"/>
      <c r="AQ261" s="71"/>
      <c r="AR261" s="71"/>
      <c r="AS261" s="71"/>
      <c r="AT261" s="71"/>
      <c r="AU261" s="71"/>
      <c r="AV261" s="71"/>
      <c r="AW261" s="71"/>
      <c r="AX261" s="71"/>
      <c r="AY261" s="71"/>
      <c r="AZ261" s="71"/>
      <c r="BA261" s="71"/>
      <c r="BB261" s="71"/>
      <c r="BC261" s="71"/>
      <c r="BD261" s="71"/>
      <c r="BE261" s="71"/>
      <c r="BF261" s="71"/>
      <c r="BG261" s="71"/>
      <c r="BH261" s="71"/>
      <c r="BI261" s="71"/>
      <c r="BJ261" s="71"/>
      <c r="BK261" s="71"/>
      <c r="BL261" s="71"/>
      <c r="BM261" s="71"/>
      <c r="BN261" s="71"/>
      <c r="BO261" s="71"/>
      <c r="BP261" s="71"/>
      <c r="BQ261" s="71"/>
      <c r="BR261" s="71"/>
      <c r="BS261" s="71"/>
      <c r="BT261" s="114"/>
      <c r="BU261" s="114"/>
      <c r="BV261" s="71"/>
      <c r="BW261" s="71"/>
      <c r="BX261" s="71"/>
      <c r="BY261" s="114"/>
      <c r="BZ261" s="114"/>
      <c r="CA261" s="71"/>
      <c r="CB261" s="71"/>
      <c r="CC261" s="114"/>
      <c r="CD261" s="114"/>
      <c r="CE261" s="71"/>
      <c r="CF261" s="71"/>
      <c r="CG261" s="114"/>
      <c r="CH261" s="114"/>
      <c r="CI261" s="71"/>
    </row>
    <row r="262" spans="2:88" s="5" customFormat="1" ht="12.75">
      <c r="B262" s="5" t="s">
        <v>398</v>
      </c>
      <c r="C262" s="43">
        <f>C201</f>
        <v>4.0358112276802185</v>
      </c>
      <c r="D262" s="43">
        <f t="shared" ref="D262:G262" si="1083">D201</f>
        <v>3.5302811056693044</v>
      </c>
      <c r="E262" s="43">
        <f t="shared" si="1083"/>
        <v>3.7134770316655827</v>
      </c>
      <c r="F262" s="43">
        <f t="shared" si="1083"/>
        <v>3.0968196215536152</v>
      </c>
      <c r="G262" s="43">
        <f t="shared" si="1083"/>
        <v>2.3675647892827492</v>
      </c>
      <c r="H262" s="43">
        <f t="shared" ref="H262:K263" si="1084">H201</f>
        <v>2.4521304193273608</v>
      </c>
      <c r="I262" s="43">
        <f t="shared" si="1084"/>
        <v>3.3063280911377002</v>
      </c>
      <c r="J262" s="43">
        <f t="shared" si="1084"/>
        <v>4.0323441504695223</v>
      </c>
      <c r="K262" s="43">
        <f t="shared" si="1084"/>
        <v>4.6244925715576146</v>
      </c>
      <c r="L262" s="43">
        <f t="shared" ref="L262:N262" si="1085">L201</f>
        <v>3.8859094167255281</v>
      </c>
      <c r="M262" s="43">
        <f t="shared" ref="M262" si="1086">M201</f>
        <v>3.6793530918078412</v>
      </c>
      <c r="N262" s="43">
        <f t="shared" si="1085"/>
        <v>3.7483055980067457</v>
      </c>
      <c r="O262" s="43">
        <f t="shared" ref="O262" si="1087">O201</f>
        <v>3.7497094653209975</v>
      </c>
      <c r="P262" s="43">
        <f t="shared" ref="P262:R263" si="1088">P201</f>
        <v>2.5071935235050655</v>
      </c>
      <c r="Q262" s="43">
        <f t="shared" si="1088"/>
        <v>2.962951603686176</v>
      </c>
      <c r="R262" s="43">
        <f t="shared" si="1088"/>
        <v>3.1183989587115768</v>
      </c>
      <c r="S262" s="43">
        <f t="shared" ref="S262" si="1089">S201</f>
        <v>3.4735906441688229</v>
      </c>
      <c r="T262" s="292"/>
      <c r="U262" s="43"/>
      <c r="V262" s="43"/>
      <c r="W262" s="43"/>
      <c r="X262" s="43">
        <f t="shared" ref="X262:AH262" si="1090">X201</f>
        <v>3.7134770316655827</v>
      </c>
      <c r="Y262" s="43">
        <f t="shared" si="1090"/>
        <v>3.2522183322103486</v>
      </c>
      <c r="Z262" s="43">
        <f t="shared" si="1090"/>
        <v>3.4199999303211155</v>
      </c>
      <c r="AA262" s="43">
        <f t="shared" si="1090"/>
        <v>3.1932321940417605</v>
      </c>
      <c r="AB262" s="43">
        <f t="shared" si="1090"/>
        <v>3.0968196215536152</v>
      </c>
      <c r="AC262" s="43">
        <f t="shared" si="1090"/>
        <v>2.965254525088433</v>
      </c>
      <c r="AD262" s="43">
        <f t="shared" si="1090"/>
        <v>2.4790436845716148</v>
      </c>
      <c r="AE262" s="43">
        <f t="shared" si="1090"/>
        <v>2.3811652521586177</v>
      </c>
      <c r="AF262" s="43">
        <f t="shared" si="1090"/>
        <v>2.3675647892827492</v>
      </c>
      <c r="AG262" s="43">
        <f t="shared" si="1090"/>
        <v>2.6842096928466006</v>
      </c>
      <c r="AH262" s="43">
        <f t="shared" si="1090"/>
        <v>2.7168342599918338</v>
      </c>
      <c r="AI262" s="43">
        <f t="shared" ref="AI262:AK263" si="1091">AI201</f>
        <v>3.1655222325472145</v>
      </c>
      <c r="AJ262" s="43">
        <f t="shared" si="1091"/>
        <v>3.3063280911377002</v>
      </c>
      <c r="AK262" s="43">
        <f t="shared" si="1091"/>
        <v>-2.0726048604689158</v>
      </c>
      <c r="AL262" s="43">
        <f t="shared" ref="AL262:AO263" si="1092">AL201</f>
        <v>-1.905754741235957</v>
      </c>
      <c r="AM262" s="43">
        <f t="shared" si="1092"/>
        <v>-1.6896816176353109</v>
      </c>
      <c r="AN262" s="43">
        <f t="shared" si="1092"/>
        <v>-1.8022470337851422</v>
      </c>
      <c r="AO262" s="43">
        <f t="shared" si="1092"/>
        <v>-1.7702676916310711</v>
      </c>
      <c r="AP262" s="43">
        <f>AP201</f>
        <v>-2.0152068759016788</v>
      </c>
      <c r="AQ262" s="43">
        <f>AQ201</f>
        <v>-2.2838081605436957</v>
      </c>
      <c r="AR262" s="43">
        <f t="shared" ref="AR262:AS262" si="1093">AR201</f>
        <v>-2.8393775253510389</v>
      </c>
      <c r="AS262" s="43">
        <f t="shared" si="1093"/>
        <v>-1.3694944334320149</v>
      </c>
      <c r="AT262" s="43">
        <f>AT201</f>
        <v>0.18960616963388208</v>
      </c>
      <c r="AU262" s="43">
        <f>AU201</f>
        <v>1.915157433993087</v>
      </c>
      <c r="AV262" s="43">
        <f t="shared" ref="AV262:AW262" si="1094">AV201</f>
        <v>3.7483055980067457</v>
      </c>
      <c r="AW262" s="43">
        <f t="shared" si="1094"/>
        <v>3.7871457166730593</v>
      </c>
      <c r="AX262" s="43">
        <f>AX201</f>
        <v>3.0019219119570626</v>
      </c>
      <c r="AY262" s="43">
        <f>AY201</f>
        <v>2.9973244429170345</v>
      </c>
      <c r="AZ262" s="43">
        <f t="shared" ref="AZ262:BA262" si="1095">AZ201</f>
        <v>2.5071935235050655</v>
      </c>
      <c r="BA262" s="43">
        <f t="shared" si="1095"/>
        <v>2.3828625106820764</v>
      </c>
      <c r="BB262" s="43">
        <f>BB201</f>
        <v>2.6483872229772891</v>
      </c>
      <c r="BC262" s="43">
        <f>BC201</f>
        <v>2.4472646142980965</v>
      </c>
      <c r="BD262" s="43">
        <f t="shared" ref="BD262:BE262" si="1096">BD201</f>
        <v>2.962951603686176</v>
      </c>
      <c r="BE262" s="43">
        <f t="shared" si="1096"/>
        <v>2.555470815309886</v>
      </c>
      <c r="BF262" s="43">
        <f t="shared" ref="BF262:BI263" si="1097">BF201</f>
        <v>2.8380090235522992</v>
      </c>
      <c r="BG262" s="43">
        <f t="shared" si="1097"/>
        <v>3.1294867313917671</v>
      </c>
      <c r="BH262" s="43">
        <f t="shared" si="1097"/>
        <v>3.1183989587115768</v>
      </c>
      <c r="BI262" s="43">
        <f t="shared" si="1097"/>
        <v>3.4735906441688229</v>
      </c>
      <c r="BJ262" s="43"/>
      <c r="BK262" s="43"/>
      <c r="BL262" s="43"/>
      <c r="BM262" s="43"/>
      <c r="BN262" s="43"/>
      <c r="BO262" s="43"/>
      <c r="BP262" s="43"/>
      <c r="BQ262" s="43" t="e">
        <f>BQ201</f>
        <v>#REF!</v>
      </c>
      <c r="BR262" s="43"/>
      <c r="BS262" s="43"/>
      <c r="BT262" s="46"/>
      <c r="BU262" s="46"/>
      <c r="BV262" s="43"/>
      <c r="BW262" s="43"/>
      <c r="BX262" s="43"/>
      <c r="BY262" s="46"/>
      <c r="BZ262" s="46"/>
      <c r="CA262" s="43"/>
      <c r="CB262" s="43"/>
      <c r="CC262" s="46"/>
      <c r="CD262" s="46"/>
      <c r="CE262" s="43"/>
      <c r="CF262" s="43"/>
      <c r="CG262" s="46"/>
      <c r="CH262" s="46"/>
      <c r="CI262" s="43"/>
    </row>
    <row r="263" spans="2:88" ht="12.75">
      <c r="B263" s="1" t="s">
        <v>399</v>
      </c>
      <c r="C263" s="44">
        <f t="shared" ref="C263:G263" si="1098">C202</f>
        <v>6.4133899884266512</v>
      </c>
      <c r="D263" s="44">
        <f t="shared" si="1098"/>
        <v>5.9935389091446281</v>
      </c>
      <c r="E263" s="44">
        <f t="shared" si="1098"/>
        <v>6.7385618329403387</v>
      </c>
      <c r="F263" s="44">
        <f t="shared" si="1098"/>
        <v>6.1614272257049469</v>
      </c>
      <c r="G263" s="44">
        <f t="shared" si="1098"/>
        <v>4.5115784135238348</v>
      </c>
      <c r="H263" s="44">
        <f t="shared" si="1084"/>
        <v>4.5109773281410135</v>
      </c>
      <c r="I263" s="44">
        <f t="shared" si="1084"/>
        <v>6.0262761104686273</v>
      </c>
      <c r="J263" s="44">
        <f t="shared" si="1084"/>
        <v>6.0539282838161119</v>
      </c>
      <c r="K263" s="44">
        <f t="shared" si="1084"/>
        <v>6.4267396053427559</v>
      </c>
      <c r="L263" s="44">
        <f t="shared" ref="L263:N263" si="1099">L202</f>
        <v>6.7672493095212243</v>
      </c>
      <c r="M263" s="44">
        <f t="shared" ref="M263" si="1100">M202</f>
        <v>6.518730617158881</v>
      </c>
      <c r="N263" s="44">
        <f t="shared" si="1099"/>
        <v>8.3403388850802891</v>
      </c>
      <c r="O263" s="44">
        <f t="shared" ref="O263" si="1101">O202</f>
        <v>8.3403388850802891</v>
      </c>
      <c r="P263" s="44">
        <f t="shared" si="1088"/>
        <v>6.9576630093621104</v>
      </c>
      <c r="Q263" s="44">
        <f t="shared" si="1088"/>
        <v>6.1555361987561108</v>
      </c>
      <c r="R263" s="44">
        <f t="shared" si="1088"/>
        <v>4.9825235405717079</v>
      </c>
      <c r="S263" s="44">
        <f t="shared" ref="S263" si="1102">S202</f>
        <v>5.0191073508270421</v>
      </c>
      <c r="U263" s="44"/>
      <c r="V263" s="44"/>
      <c r="W263" s="44"/>
      <c r="X263" s="44">
        <f t="shared" ref="X263:AH263" si="1103">X202</f>
        <v>6.7385618329403387</v>
      </c>
      <c r="Y263" s="44">
        <f t="shared" si="1103"/>
        <v>6.2832112056352312</v>
      </c>
      <c r="Z263" s="44">
        <f t="shared" si="1103"/>
        <v>6.3836745856719306</v>
      </c>
      <c r="AA263" s="44">
        <f t="shared" si="1103"/>
        <v>6.0983780320098813</v>
      </c>
      <c r="AB263" s="44">
        <f t="shared" si="1103"/>
        <v>6.1614272257049469</v>
      </c>
      <c r="AC263" s="44">
        <f t="shared" si="1103"/>
        <v>6.0098377927692193</v>
      </c>
      <c r="AD263" s="44">
        <f t="shared" si="1103"/>
        <v>5.2851249068445885</v>
      </c>
      <c r="AE263" s="44">
        <f t="shared" si="1103"/>
        <v>5.0115169469177037</v>
      </c>
      <c r="AF263" s="44">
        <f t="shared" si="1103"/>
        <v>4.5115784135238348</v>
      </c>
      <c r="AG263" s="44">
        <f t="shared" si="1103"/>
        <v>5.4501654205241508</v>
      </c>
      <c r="AH263" s="44">
        <f t="shared" si="1103"/>
        <v>5.4354461869718662</v>
      </c>
      <c r="AI263" s="44">
        <f t="shared" si="1091"/>
        <v>6.0322184854744281</v>
      </c>
      <c r="AJ263" s="44">
        <f t="shared" si="1091"/>
        <v>6.0262761104686273</v>
      </c>
      <c r="AK263" s="44">
        <f t="shared" si="1091"/>
        <v>6.1524380862042438</v>
      </c>
      <c r="AL263" s="44">
        <f t="shared" si="1092"/>
        <v>6.503322265666462</v>
      </c>
      <c r="AM263" s="44">
        <f t="shared" si="1092"/>
        <v>6.1622531218544641</v>
      </c>
      <c r="AN263" s="44">
        <f t="shared" si="1092"/>
        <v>6.4267396053427559</v>
      </c>
      <c r="AO263" s="44">
        <f t="shared" si="1092"/>
        <v>6.4402542848947242</v>
      </c>
      <c r="AP263" s="44">
        <f>AP202</f>
        <v>6.4822930560470367</v>
      </c>
      <c r="AQ263" s="44">
        <f>AQ202</f>
        <v>6.6434151931004175</v>
      </c>
      <c r="AR263" s="44">
        <f t="shared" ref="AR263:AS263" si="1104">AR202</f>
        <v>6.5187306171588801</v>
      </c>
      <c r="AS263" s="44">
        <f t="shared" si="1104"/>
        <v>6.6718669974238045</v>
      </c>
      <c r="AT263" s="44">
        <f>AT202</f>
        <v>7.692946605653427</v>
      </c>
      <c r="AU263" s="44">
        <f>AU202</f>
        <v>7.4631847235354103</v>
      </c>
      <c r="AV263" s="44">
        <f t="shared" ref="AV263:AW263" si="1105">AV202</f>
        <v>8.3403388850802891</v>
      </c>
      <c r="AW263" s="44">
        <f t="shared" si="1105"/>
        <v>8.7505760132404635</v>
      </c>
      <c r="AX263" s="44">
        <f>AX202</f>
        <v>7.1272670213901614</v>
      </c>
      <c r="AY263" s="44">
        <f>AY202</f>
        <v>7.6800914671059184</v>
      </c>
      <c r="AZ263" s="44">
        <f t="shared" ref="AZ263:BA263" si="1106">AZ202</f>
        <v>6.9576630093621104</v>
      </c>
      <c r="BA263" s="44">
        <f t="shared" si="1106"/>
        <v>6.9119804629619068</v>
      </c>
      <c r="BB263" s="44">
        <f>BB202</f>
        <v>7.2227414797696783</v>
      </c>
      <c r="BC263" s="44">
        <f>BC202</f>
        <v>5.8939787914780695</v>
      </c>
      <c r="BD263" s="44">
        <f t="shared" ref="BD263:BE263" si="1107">BD202</f>
        <v>6.1555361987561108</v>
      </c>
      <c r="BE263" s="44">
        <f t="shared" si="1107"/>
        <v>5.1642629961732336</v>
      </c>
      <c r="BF263" s="44">
        <f t="shared" si="1097"/>
        <v>5.2764325234212235</v>
      </c>
      <c r="BG263" s="44">
        <f t="shared" si="1097"/>
        <v>5.3720207772823283</v>
      </c>
      <c r="BH263" s="44">
        <f t="shared" si="1097"/>
        <v>4.9825235405717079</v>
      </c>
      <c r="BI263" s="44">
        <f t="shared" si="1097"/>
        <v>5.0191073508270421</v>
      </c>
      <c r="BJ263" s="44"/>
      <c r="BK263" s="44"/>
      <c r="BL263" s="44"/>
      <c r="BM263" s="44"/>
      <c r="BN263" s="44"/>
      <c r="BO263" s="44"/>
      <c r="BP263" s="44"/>
      <c r="BQ263" s="44" t="e">
        <f>BQ202</f>
        <v>#REF!</v>
      </c>
      <c r="BR263" s="44"/>
      <c r="BS263" s="44"/>
      <c r="BT263" s="114"/>
      <c r="BU263" s="114"/>
      <c r="BV263" s="44"/>
      <c r="BW263" s="44"/>
      <c r="BX263" s="44"/>
      <c r="BY263" s="114"/>
      <c r="BZ263" s="114"/>
      <c r="CA263" s="44"/>
      <c r="CB263" s="44"/>
      <c r="CC263" s="114"/>
      <c r="CD263" s="114"/>
      <c r="CE263" s="44"/>
      <c r="CF263" s="44"/>
      <c r="CG263" s="114"/>
      <c r="CH263" s="114"/>
      <c r="CI263" s="44"/>
    </row>
    <row r="264" spans="2:88" ht="13.5" customHeight="1"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71"/>
      <c r="BK264" s="71"/>
      <c r="BL264" s="71"/>
      <c r="BM264" s="71"/>
      <c r="BN264" s="71"/>
      <c r="BO264" s="71"/>
      <c r="BP264" s="71"/>
      <c r="BQ264" s="71"/>
      <c r="BR264" s="71"/>
      <c r="BS264" s="71"/>
      <c r="BT264" s="71"/>
      <c r="BU264" s="71"/>
      <c r="BV264" s="71"/>
      <c r="BW264" s="71"/>
      <c r="BX264" s="71"/>
      <c r="BY264" s="71"/>
      <c r="BZ264" s="71"/>
      <c r="CA264" s="71"/>
      <c r="CB264" s="71"/>
      <c r="CC264" s="71"/>
      <c r="CD264" s="71"/>
      <c r="CE264" s="71"/>
      <c r="CF264" s="71"/>
      <c r="CG264" s="46"/>
      <c r="CH264" s="71"/>
      <c r="CI264" s="71"/>
    </row>
    <row r="265" spans="2:88" s="5" customFormat="1" ht="13.5" customHeight="1">
      <c r="BJ265" s="71"/>
      <c r="BK265" s="71"/>
      <c r="BL265" s="71"/>
      <c r="BM265" s="71"/>
      <c r="BN265" s="71"/>
      <c r="BO265" s="71"/>
      <c r="BP265" s="71"/>
      <c r="BQ265" s="71"/>
      <c r="BR265" s="71"/>
      <c r="BS265" s="71"/>
      <c r="BT265" s="71"/>
      <c r="BU265" s="71"/>
      <c r="BV265" s="71"/>
      <c r="BW265" s="71"/>
      <c r="BX265" s="71"/>
      <c r="BY265" s="71"/>
      <c r="BZ265" s="71"/>
      <c r="CA265" s="71"/>
      <c r="CB265" s="71"/>
      <c r="CC265" s="71"/>
      <c r="CD265" s="71"/>
      <c r="CE265" s="71"/>
      <c r="CF265" s="71"/>
      <c r="CG265" s="46"/>
      <c r="CH265" s="71"/>
      <c r="CI265" s="71"/>
    </row>
    <row r="266" spans="2:88" s="5" customFormat="1" ht="13.5" customHeight="1">
      <c r="B266" s="362" t="s">
        <v>410</v>
      </c>
      <c r="C266" s="363">
        <v>7.5187969924812026E-2</v>
      </c>
      <c r="D266" s="363">
        <v>6.3091482649842268E-2</v>
      </c>
      <c r="E266" s="363">
        <v>5.3600047168041509E-2</v>
      </c>
      <c r="F266" s="363">
        <v>5.2981907358086389E-2</v>
      </c>
      <c r="G266" s="364">
        <v>5.2060000000000002E-2</v>
      </c>
      <c r="H266" s="364">
        <v>5.2060000000000002E-2</v>
      </c>
      <c r="I266" s="364">
        <f>AVERAGE(AG266:AJ266)</f>
        <v>5.1914908955353979E-2</v>
      </c>
      <c r="J266" s="364">
        <f>AVERAGE(AH266:AK266)</f>
        <v>5.0765329514083496E-2</v>
      </c>
      <c r="K266" s="364">
        <f>AVERAGE(AK266:AN266)</f>
        <v>4.5600841394066671E-2</v>
      </c>
      <c r="L266" s="364">
        <f>AVERAGE(AO266:AR266)</f>
        <v>4.93960565313704E-2</v>
      </c>
      <c r="M266" s="364">
        <f>AVERAGE(AO266:AR266)</f>
        <v>4.93960565313704E-2</v>
      </c>
      <c r="N266" s="364">
        <f>AVERAGE(AS266:AV266)</f>
        <v>4.9804621434615955E-2</v>
      </c>
      <c r="O266" s="364">
        <f>AVERAGE(AS266:AV266)</f>
        <v>4.9804621434615955E-2</v>
      </c>
      <c r="P266" s="364">
        <f>AVERAGE(AW266:AZ266)</f>
        <v>5.6253754278097874E-2</v>
      </c>
      <c r="Q266" s="364">
        <f>AVERAGE(BA266:BD266)</f>
        <v>5.4896711463211449E-2</v>
      </c>
      <c r="R266" s="364">
        <f>AVERAGE(BE266:BH266)</f>
        <v>5.2157055800308598E-2</v>
      </c>
      <c r="S266" s="364">
        <f>AVERAGE(BF266:BI266)</f>
        <v>5.4137114902614206E-2</v>
      </c>
      <c r="T266"/>
      <c r="U266" s="363">
        <v>5.5500000000000001E-2</v>
      </c>
      <c r="V266" s="363">
        <v>5.5280000000000003E-2</v>
      </c>
      <c r="W266" s="363">
        <v>5.3330000000000002E-2</v>
      </c>
      <c r="X266" s="363">
        <v>5.0428643469490678E-2</v>
      </c>
      <c r="Y266" s="363">
        <v>4.9369999999999997E-2</v>
      </c>
      <c r="Z266" s="363">
        <v>5.3773077612475351E-2</v>
      </c>
      <c r="AA266" s="363">
        <v>5.6106227791284831E-2</v>
      </c>
      <c r="AB266" s="363">
        <v>5.2678324028585369E-2</v>
      </c>
      <c r="AC266" s="363">
        <v>5.339E-2</v>
      </c>
      <c r="AD266" s="363">
        <v>5.0220000000000001E-2</v>
      </c>
      <c r="AE266" s="363">
        <v>5.28E-2</v>
      </c>
      <c r="AF266" s="363">
        <v>5.0450000000000002E-2</v>
      </c>
      <c r="AG266" s="363">
        <v>5.2109999999999997E-2</v>
      </c>
      <c r="AH266" s="363">
        <v>5.2339999999999998E-2</v>
      </c>
      <c r="AI266" s="363">
        <v>5.1459999999999999E-2</v>
      </c>
      <c r="AJ266" s="364">
        <f>AVERAGE(AI267:AJ267)</f>
        <v>5.174963582141593E-2</v>
      </c>
      <c r="AK266" s="363">
        <f>AVERAGE(AJ267:AK267)</f>
        <v>4.7511682234918043E-2</v>
      </c>
      <c r="AL266" s="363">
        <f>AVERAGE(AK267:AL267)</f>
        <v>4.2831074076572516E-2</v>
      </c>
      <c r="AM266" s="363">
        <f>AVERAGE(AL267:AM267)</f>
        <v>4.4343525460905323E-2</v>
      </c>
      <c r="AN266" s="364">
        <f>AVERAGE(AM267:AN267)</f>
        <v>4.7717083803870783E-2</v>
      </c>
      <c r="AO266" s="364">
        <v>4.8599999999999997E-2</v>
      </c>
      <c r="AP266" s="363">
        <f>AVERAGE(AO267:AP267)</f>
        <v>4.983071656936406E-2</v>
      </c>
      <c r="AQ266" s="363">
        <f>AVERAGE(AP267:AQ267)</f>
        <v>4.9637820059722858E-2</v>
      </c>
      <c r="AR266" s="364">
        <f>AVERAGE(AQ267:AR267)</f>
        <v>4.9515689496394663E-2</v>
      </c>
      <c r="AS266" s="364">
        <v>4.8730000000000002E-2</v>
      </c>
      <c r="AT266" s="363">
        <f>AVERAGE(AS267:AT267)</f>
        <v>5.0014242869231923E-2</v>
      </c>
      <c r="AU266" s="363">
        <f>AVERAGE(AT267:AU267)</f>
        <v>4.966424286923192E-2</v>
      </c>
      <c r="AV266" s="364">
        <f>0.05081</f>
        <v>5.0810000000000001E-2</v>
      </c>
      <c r="AW266" s="364">
        <v>5.3580000000000003E-2</v>
      </c>
      <c r="AX266" s="364">
        <f>1/17.6695</f>
        <v>5.6594697076883901E-2</v>
      </c>
      <c r="AY266" s="363">
        <f>AVERAGE(AX267:AY267)</f>
        <v>5.7870320035507586E-2</v>
      </c>
      <c r="AZ266" s="364">
        <f>0.05697</f>
        <v>5.697E-2</v>
      </c>
      <c r="BA266" s="364">
        <f>AVERAGE(0.0586,0.0585,0.0596)</f>
        <v>5.8900000000000008E-2</v>
      </c>
      <c r="BB266" s="364">
        <f>1/17.2335</f>
        <v>5.8026518118780283E-2</v>
      </c>
      <c r="BC266" s="363">
        <v>5.2830000000000002E-2</v>
      </c>
      <c r="BD266" s="364">
        <f>1/20.0681</f>
        <v>4.9830327734065503E-2</v>
      </c>
      <c r="BE266" s="364">
        <f>1/20.405</f>
        <v>4.9007596177407492E-2</v>
      </c>
      <c r="BF266" s="364">
        <f>1/19.4914</f>
        <v>5.1304677960536442E-2</v>
      </c>
      <c r="BG266" s="364">
        <f>1/18.6295</f>
        <v>5.3678305912665397E-2</v>
      </c>
      <c r="BH266" s="364">
        <f>1/18.3024</f>
        <v>5.4637643150625061E-2</v>
      </c>
      <c r="BI266" s="364">
        <f>1/17.5661</f>
        <v>5.6927832586629937E-2</v>
      </c>
      <c r="BJ266" s="71"/>
      <c r="BK266" s="71"/>
      <c r="BL266" s="71"/>
      <c r="BM266" s="71"/>
      <c r="BN266" s="71"/>
      <c r="BO266" s="71"/>
      <c r="BP266" s="71"/>
      <c r="BQ266" s="71"/>
      <c r="BR266" s="71"/>
      <c r="BS266" s="71"/>
      <c r="BT266" s="71"/>
      <c r="BU266" s="71"/>
      <c r="BV266" s="71"/>
      <c r="BW266" s="71"/>
      <c r="BX266" s="71"/>
      <c r="BY266" s="71"/>
      <c r="BZ266" s="71"/>
      <c r="CA266" s="71"/>
      <c r="CB266" s="71"/>
      <c r="CC266" s="71"/>
      <c r="CD266" s="71"/>
      <c r="CE266" s="71"/>
      <c r="CF266" s="71"/>
      <c r="CG266" s="46"/>
      <c r="CH266" s="71"/>
      <c r="CI266" s="71"/>
    </row>
    <row r="267" spans="2:88" s="5" customFormat="1" ht="13.5" customHeight="1">
      <c r="B267" s="362" t="s">
        <v>411</v>
      </c>
      <c r="C267" s="363">
        <v>6.7934782608695649E-2</v>
      </c>
      <c r="D267" s="363">
        <v>5.8105752469494475E-2</v>
      </c>
      <c r="E267" s="363">
        <v>4.8393341076267901E-2</v>
      </c>
      <c r="F267" s="363">
        <v>5.0847293881595972E-2</v>
      </c>
      <c r="G267" s="364">
        <v>5.0900000000000001E-2</v>
      </c>
      <c r="H267" s="364">
        <v>5.0900000000000001E-2</v>
      </c>
      <c r="I267" s="364">
        <f>1/18.9289</f>
        <v>5.2829271642831861E-2</v>
      </c>
      <c r="J267" s="364">
        <f>1/18.9289</f>
        <v>5.2829271642831861E-2</v>
      </c>
      <c r="K267" s="364">
        <f>1/19.9143</f>
        <v>5.0215172012071728E-2</v>
      </c>
      <c r="L267" s="364">
        <f>1/19.9143</f>
        <v>5.0215172012071728E-2</v>
      </c>
      <c r="M267" s="364">
        <f>1/19.9143</f>
        <v>5.0215172012071728E-2</v>
      </c>
      <c r="N267" s="364">
        <f>0.05126</f>
        <v>5.126E-2</v>
      </c>
      <c r="O267" s="364">
        <f>0.05126</f>
        <v>5.126E-2</v>
      </c>
      <c r="P267" s="364">
        <f>0.05886</f>
        <v>5.8860000000000003E-2</v>
      </c>
      <c r="Q267" s="364">
        <f>1/20.8197</f>
        <v>4.8031431768949598E-2</v>
      </c>
      <c r="R267" s="364">
        <f>1/18.0098</f>
        <v>5.5525325100778469E-2</v>
      </c>
      <c r="S267" s="364">
        <f>BI267</f>
        <v>5.5744467361614362E-2</v>
      </c>
      <c r="T267"/>
      <c r="U267" s="363">
        <v>0.56030465631846227</v>
      </c>
      <c r="V267" s="363">
        <v>0.56030465631846227</v>
      </c>
      <c r="W267" s="363">
        <v>0.56030465631846227</v>
      </c>
      <c r="X267" s="363">
        <v>4.8393341076267901E-2</v>
      </c>
      <c r="Y267" s="363">
        <v>5.3163211057947905E-2</v>
      </c>
      <c r="Z267" s="363">
        <v>5.5865921787709501E-2</v>
      </c>
      <c r="AA267" s="363">
        <v>5.4951395490688483E-2</v>
      </c>
      <c r="AB267" s="363">
        <v>5.0847293881595972E-2</v>
      </c>
      <c r="AC267" s="363">
        <v>5.4989999999999997E-2</v>
      </c>
      <c r="AD267" s="363">
        <v>5.271E-2</v>
      </c>
      <c r="AE267" s="363">
        <v>5.3429999999999998E-2</v>
      </c>
      <c r="AF267" s="364">
        <v>5.0900000000000001E-2</v>
      </c>
      <c r="AG267" s="363">
        <v>5.1470000000000002E-2</v>
      </c>
      <c r="AH267" s="363">
        <v>5.203E-2</v>
      </c>
      <c r="AI267" s="363">
        <v>5.067E-2</v>
      </c>
      <c r="AJ267" s="364">
        <f>1/18.9289</f>
        <v>5.2829271642831861E-2</v>
      </c>
      <c r="AK267" s="363">
        <f>1/23.7</f>
        <v>4.2194092827004218E-2</v>
      </c>
      <c r="AL267" s="363">
        <f>1/23.0054</f>
        <v>4.3468055326140814E-2</v>
      </c>
      <c r="AM267" s="363">
        <f>1/22.1146</f>
        <v>4.5218995595669831E-2</v>
      </c>
      <c r="AN267" s="364">
        <f>1/19.9143</f>
        <v>5.0215172012071728E-2</v>
      </c>
      <c r="AO267" s="364">
        <v>4.9202000000000003E-2</v>
      </c>
      <c r="AP267" s="363">
        <f>1/19.8179</f>
        <v>5.0459433138728117E-2</v>
      </c>
      <c r="AQ267" s="363">
        <f>1/20.485</f>
        <v>4.8816206980717598E-2</v>
      </c>
      <c r="AR267" s="364">
        <f>1/19.9143</f>
        <v>5.0215172012071728E-2</v>
      </c>
      <c r="AS267" s="364">
        <v>5.0250000000000003E-2</v>
      </c>
      <c r="AT267" s="363">
        <f>1/20.089</f>
        <v>4.9778485738463836E-2</v>
      </c>
      <c r="AU267" s="363">
        <v>4.9549999999999997E-2</v>
      </c>
      <c r="AV267" s="364">
        <f>0.05126</f>
        <v>5.126E-2</v>
      </c>
      <c r="AW267" s="364">
        <v>5.5219999999999998E-2</v>
      </c>
      <c r="AX267" s="365">
        <f>1/17.1231</f>
        <v>5.8400640071015177E-2</v>
      </c>
      <c r="AY267" s="363">
        <v>5.7340000000000002E-2</v>
      </c>
      <c r="AZ267" s="364">
        <v>5.8860000000000003E-2</v>
      </c>
      <c r="BA267" s="364">
        <v>6.0299999999999999E-2</v>
      </c>
      <c r="BB267" s="365">
        <f>1/18.33</f>
        <v>5.4555373704309879E-2</v>
      </c>
      <c r="BC267" s="363">
        <v>5.0810000000000001E-2</v>
      </c>
      <c r="BD267" s="364">
        <f>Q267</f>
        <v>4.8031431768949598E-2</v>
      </c>
      <c r="BE267" s="364">
        <f>1/20.458</f>
        <v>4.888063349301007E-2</v>
      </c>
      <c r="BF267" s="365">
        <f>1/18.747</f>
        <v>5.3341868032218485E-2</v>
      </c>
      <c r="BG267" s="364">
        <f>1/18.3127</f>
        <v>5.4606912142939057E-2</v>
      </c>
      <c r="BH267" s="364">
        <f>1/18.0098</f>
        <v>5.5525325100778469E-2</v>
      </c>
      <c r="BI267" s="364">
        <f>1/17.939</f>
        <v>5.5744467361614362E-2</v>
      </c>
      <c r="BJ267" s="71"/>
      <c r="BK267" s="44"/>
      <c r="BL267" s="44"/>
      <c r="BM267" s="44"/>
      <c r="BN267" s="44"/>
      <c r="BO267" s="44"/>
      <c r="BP267" s="44"/>
      <c r="BQ267" s="44"/>
      <c r="BR267" s="44"/>
      <c r="BS267" s="44"/>
      <c r="BT267" s="44"/>
      <c r="BU267" s="44"/>
      <c r="BV267" s="44"/>
      <c r="BW267" s="44"/>
      <c r="BX267" s="44"/>
      <c r="BY267" s="44"/>
      <c r="BZ267" s="44"/>
      <c r="CA267" s="44"/>
      <c r="CB267" s="44"/>
      <c r="CC267" s="44"/>
      <c r="CD267" s="44"/>
      <c r="CE267" s="44"/>
      <c r="CF267" s="44"/>
      <c r="CG267" s="46"/>
      <c r="CH267" s="44"/>
      <c r="CI267" s="44"/>
    </row>
    <row r="268" spans="2:88" s="5" customFormat="1" ht="13.5" customHeight="1">
      <c r="B268" s="130" t="s">
        <v>412</v>
      </c>
      <c r="C268" s="366">
        <f>1/C267</f>
        <v>14.72</v>
      </c>
      <c r="D268" s="366">
        <f t="shared" ref="D268:BP268" si="1108">1/D267</f>
        <v>17.21</v>
      </c>
      <c r="E268" s="366">
        <f t="shared" si="1108"/>
        <v>20.664000000000001</v>
      </c>
      <c r="F268" s="366">
        <f t="shared" si="1108"/>
        <v>19.666730000000001</v>
      </c>
      <c r="G268" s="366">
        <f t="shared" si="1108"/>
        <v>19.646365422396855</v>
      </c>
      <c r="H268" s="366">
        <f t="shared" si="1108"/>
        <v>19.646365422396855</v>
      </c>
      <c r="I268" s="366">
        <f t="shared" si="1108"/>
        <v>18.928899999999999</v>
      </c>
      <c r="J268" s="366">
        <f t="shared" si="1108"/>
        <v>18.928899999999999</v>
      </c>
      <c r="K268" s="366">
        <f t="shared" si="1108"/>
        <v>19.914300000000001</v>
      </c>
      <c r="L268" s="366">
        <f t="shared" si="1108"/>
        <v>19.914300000000001</v>
      </c>
      <c r="M268" s="366">
        <f t="shared" si="1108"/>
        <v>19.914300000000001</v>
      </c>
      <c r="N268" s="366">
        <f t="shared" si="1108"/>
        <v>19.508388607101054</v>
      </c>
      <c r="O268" s="366">
        <f t="shared" si="1108"/>
        <v>19.508388607101054</v>
      </c>
      <c r="P268" s="366">
        <f t="shared" si="1108"/>
        <v>16.989466530750935</v>
      </c>
      <c r="Q268" s="366">
        <f t="shared" si="1108"/>
        <v>20.819700000000001</v>
      </c>
      <c r="R268" s="366">
        <f t="shared" si="1108"/>
        <v>18.009799999999998</v>
      </c>
      <c r="S268" s="366">
        <f t="shared" si="1108"/>
        <v>17.939</v>
      </c>
      <c r="T268"/>
      <c r="U268" s="366">
        <f t="shared" si="1108"/>
        <v>1.7847433333333331</v>
      </c>
      <c r="V268" s="366">
        <f t="shared" si="1108"/>
        <v>1.7847433333333331</v>
      </c>
      <c r="W268" s="366">
        <f t="shared" si="1108"/>
        <v>1.7847433333333331</v>
      </c>
      <c r="X268" s="366">
        <f t="shared" si="1108"/>
        <v>20.664000000000001</v>
      </c>
      <c r="Y268" s="366">
        <f t="shared" si="1108"/>
        <v>18.809999999999999</v>
      </c>
      <c r="Z268" s="366">
        <f t="shared" si="1108"/>
        <v>17.899999999999999</v>
      </c>
      <c r="AA268" s="366">
        <f t="shared" si="1108"/>
        <v>18.197900000000001</v>
      </c>
      <c r="AB268" s="366">
        <f t="shared" si="1108"/>
        <v>19.666730000000001</v>
      </c>
      <c r="AC268" s="366">
        <f t="shared" si="1108"/>
        <v>18.185124568103291</v>
      </c>
      <c r="AD268" s="366">
        <f t="shared" si="1108"/>
        <v>18.971732119142477</v>
      </c>
      <c r="AE268" s="366">
        <f t="shared" si="1108"/>
        <v>18.716077110237695</v>
      </c>
      <c r="AF268" s="366">
        <f t="shared" si="1108"/>
        <v>19.646365422396855</v>
      </c>
      <c r="AG268" s="366">
        <f t="shared" si="1108"/>
        <v>19.428793471925392</v>
      </c>
      <c r="AH268" s="366">
        <f t="shared" si="1108"/>
        <v>19.219680953296177</v>
      </c>
      <c r="AI268" s="366">
        <f t="shared" si="1108"/>
        <v>19.735543714229326</v>
      </c>
      <c r="AJ268" s="366">
        <f t="shared" si="1108"/>
        <v>18.928899999999999</v>
      </c>
      <c r="AK268" s="366">
        <f t="shared" si="1108"/>
        <v>23.7</v>
      </c>
      <c r="AL268" s="366">
        <f t="shared" si="1108"/>
        <v>23.005400000000002</v>
      </c>
      <c r="AM268" s="366">
        <f t="shared" si="1108"/>
        <v>22.114599999999999</v>
      </c>
      <c r="AN268" s="366">
        <f t="shared" si="1108"/>
        <v>19.914300000000001</v>
      </c>
      <c r="AO268" s="366">
        <f t="shared" si="1108"/>
        <v>20.324377057843176</v>
      </c>
      <c r="AP268" s="366">
        <f t="shared" si="1108"/>
        <v>19.817900000000002</v>
      </c>
      <c r="AQ268" s="366">
        <f t="shared" si="1108"/>
        <v>20.484999999999999</v>
      </c>
      <c r="AR268" s="366">
        <f t="shared" si="1108"/>
        <v>19.914300000000001</v>
      </c>
      <c r="AS268" s="366">
        <f t="shared" si="1108"/>
        <v>19.900497512437809</v>
      </c>
      <c r="AT268" s="366">
        <f t="shared" si="1108"/>
        <v>20.088999999999999</v>
      </c>
      <c r="AU268" s="366">
        <f t="shared" si="1108"/>
        <v>20.181634712411707</v>
      </c>
      <c r="AV268" s="366">
        <f t="shared" si="1108"/>
        <v>19.508388607101054</v>
      </c>
      <c r="AW268" s="366">
        <f t="shared" si="1108"/>
        <v>18.109380659181458</v>
      </c>
      <c r="AX268" s="366">
        <f t="shared" si="1108"/>
        <v>17.123100000000001</v>
      </c>
      <c r="AY268" s="366">
        <f t="shared" si="1108"/>
        <v>17.439832577607255</v>
      </c>
      <c r="AZ268" s="366">
        <f t="shared" si="1108"/>
        <v>16.989466530750935</v>
      </c>
      <c r="BA268" s="366">
        <f t="shared" si="1108"/>
        <v>16.58374792703151</v>
      </c>
      <c r="BB268" s="366">
        <f t="shared" si="1108"/>
        <v>18.329999999999998</v>
      </c>
      <c r="BC268" s="366">
        <f t="shared" si="1108"/>
        <v>19.681165124975397</v>
      </c>
      <c r="BD268" s="366">
        <f t="shared" si="1108"/>
        <v>20.819700000000001</v>
      </c>
      <c r="BE268" s="366">
        <f t="shared" si="1108"/>
        <v>20.457999999999998</v>
      </c>
      <c r="BF268" s="366">
        <f t="shared" si="1108"/>
        <v>18.747</v>
      </c>
      <c r="BG268" s="366">
        <f t="shared" si="1108"/>
        <v>18.3127</v>
      </c>
      <c r="BH268" s="366">
        <f t="shared" si="1108"/>
        <v>18.009799999999998</v>
      </c>
      <c r="BI268" s="366">
        <f t="shared" ref="BI268" si="1109">1/BI267</f>
        <v>17.939</v>
      </c>
      <c r="BJ268" s="71"/>
      <c r="BK268" s="366" t="e">
        <f t="shared" si="1108"/>
        <v>#DIV/0!</v>
      </c>
      <c r="BL268" s="366" t="e">
        <f t="shared" si="1108"/>
        <v>#DIV/0!</v>
      </c>
      <c r="BM268" s="366" t="e">
        <f t="shared" si="1108"/>
        <v>#DIV/0!</v>
      </c>
      <c r="BN268" s="366" t="e">
        <f t="shared" si="1108"/>
        <v>#DIV/0!</v>
      </c>
      <c r="BO268" s="366" t="e">
        <f t="shared" si="1108"/>
        <v>#DIV/0!</v>
      </c>
      <c r="BP268" s="366" t="e">
        <f t="shared" si="1108"/>
        <v>#DIV/0!</v>
      </c>
      <c r="BQ268" s="366" t="e">
        <f t="shared" ref="BQ268:CI268" si="1110">1/BQ267</f>
        <v>#DIV/0!</v>
      </c>
      <c r="BR268" s="366" t="e">
        <f t="shared" si="1110"/>
        <v>#DIV/0!</v>
      </c>
      <c r="BS268" s="366" t="e">
        <f t="shared" si="1110"/>
        <v>#DIV/0!</v>
      </c>
      <c r="BT268" s="366" t="e">
        <f t="shared" si="1110"/>
        <v>#DIV/0!</v>
      </c>
      <c r="BU268" s="366" t="e">
        <f t="shared" si="1110"/>
        <v>#DIV/0!</v>
      </c>
      <c r="BV268" s="366" t="e">
        <f t="shared" si="1110"/>
        <v>#DIV/0!</v>
      </c>
      <c r="BW268" s="366" t="e">
        <f t="shared" si="1110"/>
        <v>#DIV/0!</v>
      </c>
      <c r="BX268" s="366" t="e">
        <f t="shared" si="1110"/>
        <v>#DIV/0!</v>
      </c>
      <c r="BY268" s="366" t="e">
        <f t="shared" si="1110"/>
        <v>#DIV/0!</v>
      </c>
      <c r="BZ268" s="366" t="e">
        <f t="shared" si="1110"/>
        <v>#DIV/0!</v>
      </c>
      <c r="CA268" s="366" t="e">
        <f t="shared" si="1110"/>
        <v>#DIV/0!</v>
      </c>
      <c r="CB268" s="366" t="e">
        <f t="shared" si="1110"/>
        <v>#DIV/0!</v>
      </c>
      <c r="CC268" s="366" t="e">
        <f t="shared" si="1110"/>
        <v>#DIV/0!</v>
      </c>
      <c r="CD268" s="366" t="e">
        <f t="shared" si="1110"/>
        <v>#DIV/0!</v>
      </c>
      <c r="CE268" s="366" t="e">
        <f t="shared" si="1110"/>
        <v>#DIV/0!</v>
      </c>
      <c r="CF268" s="366" t="e">
        <f t="shared" si="1110"/>
        <v>#DIV/0!</v>
      </c>
      <c r="CG268" s="366" t="e">
        <f t="shared" si="1110"/>
        <v>#DIV/0!</v>
      </c>
      <c r="CH268" s="366" t="e">
        <f t="shared" si="1110"/>
        <v>#DIV/0!</v>
      </c>
      <c r="CI268" s="366" t="e">
        <f t="shared" si="1110"/>
        <v>#DIV/0!</v>
      </c>
      <c r="CJ268" s="71"/>
    </row>
    <row r="269" spans="2:88" s="5" customFormat="1" ht="13.5" customHeight="1">
      <c r="C269" s="82"/>
      <c r="D269" s="82"/>
      <c r="E269" s="82"/>
      <c r="F269" s="82"/>
      <c r="G269" s="293"/>
      <c r="H269" s="293"/>
      <c r="I269" s="293"/>
      <c r="J269" s="293"/>
      <c r="K269" s="293"/>
      <c r="L269" s="293"/>
      <c r="M269" s="293"/>
      <c r="N269" s="293"/>
      <c r="O269" s="293"/>
      <c r="P269" s="293"/>
      <c r="Q269" s="293"/>
      <c r="R269" s="293"/>
      <c r="S269" s="293"/>
      <c r="T269"/>
      <c r="U269" s="82"/>
      <c r="V269" s="82"/>
      <c r="W269" s="82"/>
      <c r="X269" s="82"/>
      <c r="Y269" s="82"/>
      <c r="Z269" s="82"/>
      <c r="AA269" s="82"/>
      <c r="AB269" s="82"/>
      <c r="AC269" s="82"/>
      <c r="AD269" s="82"/>
      <c r="AE269" s="82"/>
      <c r="AF269" s="293"/>
      <c r="AG269" s="82"/>
      <c r="AH269" s="82"/>
      <c r="AI269" s="82"/>
      <c r="AJ269" s="293"/>
      <c r="AK269" s="82"/>
      <c r="AL269" s="82"/>
      <c r="AM269" s="82"/>
      <c r="AN269" s="293"/>
      <c r="AO269" s="293"/>
      <c r="AP269" s="82"/>
      <c r="AQ269" s="82"/>
      <c r="AR269" s="293"/>
      <c r="AS269" s="293"/>
      <c r="AT269" s="82"/>
      <c r="AU269" s="82"/>
      <c r="AV269" s="293"/>
      <c r="AW269" s="293"/>
      <c r="AX269" s="294"/>
      <c r="AY269" s="82"/>
      <c r="AZ269" s="293"/>
      <c r="BA269" s="293"/>
      <c r="BB269" s="294"/>
      <c r="BC269" s="82"/>
      <c r="BD269" s="293"/>
      <c r="BE269" s="293"/>
      <c r="BF269" s="294"/>
      <c r="BG269" s="82"/>
      <c r="BH269" s="82"/>
      <c r="BI269" s="293"/>
      <c r="BJ269" s="71"/>
      <c r="BK269" s="44"/>
      <c r="BL269" s="44"/>
      <c r="BM269" s="44"/>
      <c r="BN269" s="44"/>
      <c r="BO269" s="44"/>
      <c r="BP269" s="44"/>
      <c r="BQ269" s="44"/>
      <c r="BR269" s="44"/>
      <c r="BS269" s="44"/>
      <c r="BT269" s="44"/>
      <c r="BU269" s="44"/>
      <c r="BV269" s="44"/>
      <c r="BW269" s="44"/>
      <c r="BX269" s="44"/>
      <c r="BY269" s="44"/>
      <c r="BZ269" s="44"/>
      <c r="CA269" s="44"/>
      <c r="CB269" s="44"/>
      <c r="CC269" s="44"/>
      <c r="CD269" s="44"/>
      <c r="CE269" s="44"/>
      <c r="CF269" s="44"/>
      <c r="CG269" s="46"/>
      <c r="CH269" s="44"/>
      <c r="CI269" s="44"/>
    </row>
    <row r="270" spans="2:88" ht="13.5" customHeight="1">
      <c r="B270" s="16" t="s">
        <v>402</v>
      </c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U270" s="38"/>
      <c r="V270" s="17"/>
      <c r="W270" s="17"/>
      <c r="X270" s="17"/>
      <c r="Y270" s="38"/>
      <c r="Z270" s="38"/>
      <c r="AA270" s="17"/>
      <c r="AB270" s="17"/>
      <c r="AC270" s="17"/>
      <c r="AD270" s="38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44"/>
      <c r="BK270" s="44"/>
      <c r="BL270" s="44"/>
      <c r="BM270" s="44"/>
      <c r="BN270" s="44"/>
      <c r="BO270" s="44"/>
      <c r="BP270" s="44"/>
      <c r="BQ270" s="44"/>
      <c r="BR270" s="44"/>
      <c r="BS270" s="44"/>
      <c r="BT270" s="44"/>
      <c r="BU270" s="44"/>
      <c r="BV270" s="44"/>
      <c r="BW270" s="44"/>
      <c r="BX270" s="44"/>
      <c r="BY270" s="44"/>
      <c r="BZ270" s="44"/>
      <c r="CA270" s="44"/>
      <c r="CB270" s="44"/>
      <c r="CC270" s="44"/>
      <c r="CD270" s="44"/>
      <c r="CE270" s="44"/>
      <c r="CF270" s="44"/>
      <c r="CG270" s="46"/>
      <c r="CH270" s="44"/>
      <c r="CI270" s="44"/>
    </row>
    <row r="271" spans="2:88" s="2" customFormat="1" ht="13.5" customHeight="1">
      <c r="B271" s="75" t="s">
        <v>413</v>
      </c>
      <c r="C271" s="67">
        <f t="shared" ref="C271:R271" si="1111">C3</f>
        <v>41975</v>
      </c>
      <c r="D271" s="67">
        <f t="shared" si="1111"/>
        <v>42341</v>
      </c>
      <c r="E271" s="67">
        <f t="shared" si="1111"/>
        <v>42708</v>
      </c>
      <c r="F271" s="67">
        <f t="shared" si="1111"/>
        <v>43074</v>
      </c>
      <c r="G271" s="67">
        <f t="shared" si="1111"/>
        <v>43439</v>
      </c>
      <c r="H271" s="67">
        <f t="shared" si="1111"/>
        <v>43439</v>
      </c>
      <c r="I271" s="67">
        <f t="shared" si="1111"/>
        <v>43804</v>
      </c>
      <c r="J271" s="67">
        <f t="shared" si="1111"/>
        <v>43804</v>
      </c>
      <c r="K271" s="67">
        <f t="shared" si="1111"/>
        <v>44170</v>
      </c>
      <c r="L271" s="67">
        <f t="shared" si="1111"/>
        <v>44535</v>
      </c>
      <c r="M271" s="67">
        <f t="shared" si="1111"/>
        <v>44535</v>
      </c>
      <c r="N271" s="67">
        <f t="shared" si="1111"/>
        <v>44900</v>
      </c>
      <c r="O271" s="67">
        <f t="shared" si="1111"/>
        <v>44900</v>
      </c>
      <c r="P271" s="67">
        <f t="shared" si="1111"/>
        <v>45265</v>
      </c>
      <c r="Q271" s="67">
        <f t="shared" si="1111"/>
        <v>45631</v>
      </c>
      <c r="R271" s="67">
        <f t="shared" si="1111"/>
        <v>45996</v>
      </c>
      <c r="S271" s="38" t="s">
        <v>277</v>
      </c>
      <c r="T271"/>
      <c r="U271" s="38">
        <f t="shared" ref="U271:BH271" si="1112">U3</f>
        <v>42437</v>
      </c>
      <c r="V271" s="38">
        <f t="shared" si="1112"/>
        <v>42527</v>
      </c>
      <c r="W271" s="38">
        <f t="shared" si="1112"/>
        <v>42622</v>
      </c>
      <c r="X271" s="38">
        <f t="shared" si="1112"/>
        <v>42714</v>
      </c>
      <c r="Y271" s="38">
        <f t="shared" si="1112"/>
        <v>42801</v>
      </c>
      <c r="Z271" s="38">
        <f t="shared" si="1112"/>
        <v>42892</v>
      </c>
      <c r="AA271" s="38">
        <f t="shared" si="1112"/>
        <v>42987</v>
      </c>
      <c r="AB271" s="38">
        <f t="shared" si="1112"/>
        <v>43100</v>
      </c>
      <c r="AC271" s="38">
        <f t="shared" si="1112"/>
        <v>43190</v>
      </c>
      <c r="AD271" s="38">
        <f t="shared" si="1112"/>
        <v>43281</v>
      </c>
      <c r="AE271" s="38">
        <f t="shared" si="1112"/>
        <v>43373</v>
      </c>
      <c r="AF271" s="38">
        <f t="shared" si="1112"/>
        <v>43465</v>
      </c>
      <c r="AG271" s="38">
        <f t="shared" si="1112"/>
        <v>43555</v>
      </c>
      <c r="AH271" s="38">
        <f t="shared" si="1112"/>
        <v>43646</v>
      </c>
      <c r="AI271" s="38">
        <f t="shared" si="1112"/>
        <v>43738</v>
      </c>
      <c r="AJ271" s="38">
        <f t="shared" si="1112"/>
        <v>43830</v>
      </c>
      <c r="AK271" s="38">
        <f t="shared" si="1112"/>
        <v>43921</v>
      </c>
      <c r="AL271" s="38">
        <f t="shared" si="1112"/>
        <v>44012</v>
      </c>
      <c r="AM271" s="38">
        <f t="shared" si="1112"/>
        <v>44104</v>
      </c>
      <c r="AN271" s="38">
        <f t="shared" si="1112"/>
        <v>44196</v>
      </c>
      <c r="AO271" s="38">
        <f t="shared" si="1112"/>
        <v>44286</v>
      </c>
      <c r="AP271" s="38">
        <f t="shared" si="1112"/>
        <v>44377</v>
      </c>
      <c r="AQ271" s="38">
        <f t="shared" si="1112"/>
        <v>44469</v>
      </c>
      <c r="AR271" s="38">
        <f t="shared" si="1112"/>
        <v>44561</v>
      </c>
      <c r="AS271" s="38">
        <f t="shared" si="1112"/>
        <v>44651</v>
      </c>
      <c r="AT271" s="38">
        <f t="shared" si="1112"/>
        <v>44742</v>
      </c>
      <c r="AU271" s="38">
        <f t="shared" si="1112"/>
        <v>44834</v>
      </c>
      <c r="AV271" s="38">
        <f t="shared" si="1112"/>
        <v>44926</v>
      </c>
      <c r="AW271" s="38">
        <f t="shared" si="1112"/>
        <v>45016</v>
      </c>
      <c r="AX271" s="38">
        <f t="shared" si="1112"/>
        <v>45107</v>
      </c>
      <c r="AY271" s="38">
        <f t="shared" si="1112"/>
        <v>45199</v>
      </c>
      <c r="AZ271" s="197">
        <f t="shared" si="1112"/>
        <v>45291</v>
      </c>
      <c r="BA271" s="277">
        <f t="shared" si="1112"/>
        <v>45382</v>
      </c>
      <c r="BB271" s="277">
        <f t="shared" si="1112"/>
        <v>45473</v>
      </c>
      <c r="BC271" s="277">
        <f t="shared" si="1112"/>
        <v>45565</v>
      </c>
      <c r="BD271" s="277">
        <f t="shared" si="1112"/>
        <v>45657</v>
      </c>
      <c r="BE271" s="277">
        <f t="shared" si="1112"/>
        <v>45747</v>
      </c>
      <c r="BF271" s="277">
        <f t="shared" si="1112"/>
        <v>45838</v>
      </c>
      <c r="BG271" s="277">
        <f t="shared" si="1112"/>
        <v>45930</v>
      </c>
      <c r="BH271" s="277">
        <f t="shared" si="1112"/>
        <v>46022</v>
      </c>
      <c r="BI271" s="277">
        <f t="shared" ref="BI271" si="1113">BI3</f>
        <v>46112</v>
      </c>
      <c r="BJ271" s="44"/>
      <c r="BK271" s="44"/>
      <c r="BL271" s="44"/>
      <c r="BM271" s="44"/>
      <c r="BN271" s="44"/>
      <c r="BO271" s="44"/>
      <c r="BP271" s="44"/>
      <c r="BQ271" s="44"/>
      <c r="BR271" s="44"/>
      <c r="BS271" s="44"/>
      <c r="BT271" s="44"/>
      <c r="BU271" s="44"/>
      <c r="BV271" s="44"/>
      <c r="BW271" s="44"/>
      <c r="BX271" s="44"/>
      <c r="BY271" s="44"/>
      <c r="BZ271" s="44"/>
      <c r="CA271" s="44"/>
      <c r="CB271" s="44"/>
      <c r="CC271" s="44"/>
      <c r="CD271" s="44"/>
      <c r="CE271" s="44"/>
      <c r="CF271" s="44"/>
      <c r="CG271" s="46"/>
      <c r="CH271" s="44"/>
      <c r="CI271" s="44"/>
    </row>
    <row r="272" spans="2:88" s="5" customFormat="1" ht="13.5" customHeight="1">
      <c r="B272" s="11"/>
      <c r="C272" s="14" t="str">
        <f t="shared" ref="C272:R272" si="1114">C4</f>
        <v>Act</v>
      </c>
      <c r="D272" s="14" t="str">
        <f t="shared" si="1114"/>
        <v>Act</v>
      </c>
      <c r="E272" s="14" t="str">
        <f t="shared" si="1114"/>
        <v>Act</v>
      </c>
      <c r="F272" s="14" t="str">
        <f t="shared" si="1114"/>
        <v>Act</v>
      </c>
      <c r="G272" s="14" t="str">
        <f t="shared" si="1114"/>
        <v>Act</v>
      </c>
      <c r="H272" s="14" t="str">
        <f t="shared" si="1114"/>
        <v>Act</v>
      </c>
      <c r="I272" s="14" t="str">
        <f t="shared" si="1114"/>
        <v>Act</v>
      </c>
      <c r="J272" s="14" t="str">
        <f t="shared" si="1114"/>
        <v>Act</v>
      </c>
      <c r="K272" s="14" t="str">
        <f t="shared" si="1114"/>
        <v>Act</v>
      </c>
      <c r="L272" s="14" t="str">
        <f t="shared" si="1114"/>
        <v>Act</v>
      </c>
      <c r="M272" s="14" t="str">
        <f t="shared" si="1114"/>
        <v>Act</v>
      </c>
      <c r="N272" s="14" t="str">
        <f t="shared" si="1114"/>
        <v>Act</v>
      </c>
      <c r="O272" s="14" t="str">
        <f t="shared" si="1114"/>
        <v>Act</v>
      </c>
      <c r="P272" s="14" t="str">
        <f t="shared" si="1114"/>
        <v>Act</v>
      </c>
      <c r="Q272" s="14" t="str">
        <f t="shared" si="1114"/>
        <v>Act</v>
      </c>
      <c r="R272" s="14" t="str">
        <f t="shared" si="1114"/>
        <v>Act</v>
      </c>
      <c r="S272" s="14" t="s">
        <v>280</v>
      </c>
      <c r="U272" s="14" t="s">
        <v>280</v>
      </c>
      <c r="V272" s="14" t="s">
        <v>280</v>
      </c>
      <c r="W272" s="14" t="s">
        <v>280</v>
      </c>
      <c r="X272" s="14" t="s">
        <v>280</v>
      </c>
      <c r="Y272" s="14" t="str">
        <f t="shared" ref="Y272:AL272" si="1115">Y4</f>
        <v>Act</v>
      </c>
      <c r="Z272" s="14" t="str">
        <f t="shared" si="1115"/>
        <v>Act</v>
      </c>
      <c r="AA272" s="14" t="str">
        <f t="shared" si="1115"/>
        <v>Act</v>
      </c>
      <c r="AB272" s="14" t="str">
        <f t="shared" si="1115"/>
        <v>Act</v>
      </c>
      <c r="AC272" s="14" t="str">
        <f t="shared" si="1115"/>
        <v>Act</v>
      </c>
      <c r="AD272" s="14" t="str">
        <f t="shared" si="1115"/>
        <v>Act</v>
      </c>
      <c r="AE272" s="14" t="str">
        <f t="shared" si="1115"/>
        <v>Act</v>
      </c>
      <c r="AF272" s="14" t="str">
        <f t="shared" si="1115"/>
        <v>Act</v>
      </c>
      <c r="AG272" s="14" t="str">
        <f t="shared" si="1115"/>
        <v>Act</v>
      </c>
      <c r="AH272" s="14" t="str">
        <f t="shared" si="1115"/>
        <v>Act</v>
      </c>
      <c r="AI272" s="14" t="str">
        <f t="shared" si="1115"/>
        <v>Act</v>
      </c>
      <c r="AJ272" s="14" t="str">
        <f t="shared" si="1115"/>
        <v>Act</v>
      </c>
      <c r="AK272" s="14" t="str">
        <f t="shared" si="1115"/>
        <v>Act</v>
      </c>
      <c r="AL272" s="14" t="str">
        <f t="shared" si="1115"/>
        <v>Act</v>
      </c>
      <c r="AM272" s="14"/>
      <c r="AN272" s="14" t="str">
        <f t="shared" ref="AN272:BH272" si="1116">AN4</f>
        <v>Act</v>
      </c>
      <c r="AO272" s="14" t="str">
        <f t="shared" si="1116"/>
        <v>Act</v>
      </c>
      <c r="AP272" s="14" t="str">
        <f t="shared" si="1116"/>
        <v>Act</v>
      </c>
      <c r="AQ272" s="14" t="str">
        <f t="shared" si="1116"/>
        <v>Act</v>
      </c>
      <c r="AR272" s="14" t="str">
        <f t="shared" si="1116"/>
        <v>Act</v>
      </c>
      <c r="AS272" s="14" t="str">
        <f t="shared" si="1116"/>
        <v>Act</v>
      </c>
      <c r="AT272" s="14" t="str">
        <f t="shared" si="1116"/>
        <v>Act</v>
      </c>
      <c r="AU272" s="14" t="str">
        <f t="shared" si="1116"/>
        <v>Act</v>
      </c>
      <c r="AV272" s="14" t="str">
        <f t="shared" si="1116"/>
        <v>Act</v>
      </c>
      <c r="AW272" s="14" t="str">
        <f t="shared" si="1116"/>
        <v>Act</v>
      </c>
      <c r="AX272" s="14" t="str">
        <f t="shared" si="1116"/>
        <v>Act</v>
      </c>
      <c r="AY272" s="14" t="str">
        <f t="shared" si="1116"/>
        <v>Act</v>
      </c>
      <c r="AZ272" s="14" t="str">
        <f t="shared" si="1116"/>
        <v>Act</v>
      </c>
      <c r="BA272" s="14" t="str">
        <f t="shared" si="1116"/>
        <v>Act</v>
      </c>
      <c r="BB272" s="14" t="str">
        <f t="shared" si="1116"/>
        <v>Act</v>
      </c>
      <c r="BC272" s="14" t="str">
        <f t="shared" si="1116"/>
        <v>Act</v>
      </c>
      <c r="BD272" s="14" t="str">
        <f t="shared" si="1116"/>
        <v>Act</v>
      </c>
      <c r="BE272" s="14" t="str">
        <f t="shared" si="1116"/>
        <v>Act</v>
      </c>
      <c r="BF272" s="14" t="str">
        <f t="shared" si="1116"/>
        <v>Act</v>
      </c>
      <c r="BG272" s="14" t="str">
        <f t="shared" si="1116"/>
        <v>Act</v>
      </c>
      <c r="BH272" s="14" t="str">
        <f t="shared" si="1116"/>
        <v>Act</v>
      </c>
      <c r="BI272" s="14" t="str">
        <f t="shared" ref="BI272" si="1117">BI4</f>
        <v>Act</v>
      </c>
      <c r="BJ272" s="44"/>
      <c r="BK272" s="44"/>
      <c r="BL272" s="44"/>
      <c r="BM272" s="44"/>
      <c r="BN272" s="44"/>
      <c r="BO272" s="44"/>
      <c r="BP272" s="44"/>
      <c r="BQ272" s="44"/>
      <c r="BR272" s="44"/>
      <c r="BS272" s="44"/>
      <c r="BT272" s="44"/>
      <c r="BU272" s="44"/>
      <c r="BV272" s="44"/>
      <c r="BW272" s="44"/>
      <c r="BX272" s="44"/>
      <c r="BY272" s="44"/>
      <c r="BZ272" s="44"/>
      <c r="CA272" s="44"/>
      <c r="CB272" s="44"/>
      <c r="CC272" s="44"/>
      <c r="CD272" s="44"/>
      <c r="CE272" s="44"/>
      <c r="CF272" s="44"/>
      <c r="CG272" s="46"/>
      <c r="CH272" s="44"/>
      <c r="CI272" s="44"/>
    </row>
    <row r="273" spans="2:87" s="3" customFormat="1" ht="13.5" customHeight="1">
      <c r="C273" s="19" t="str">
        <f t="shared" ref="C273:R273" si="1118">C5</f>
        <v>FY</v>
      </c>
      <c r="D273" s="19" t="str">
        <f t="shared" si="1118"/>
        <v>FY</v>
      </c>
      <c r="E273" s="19" t="str">
        <f t="shared" si="1118"/>
        <v>FY</v>
      </c>
      <c r="F273" s="19" t="str">
        <f t="shared" si="1118"/>
        <v>FY</v>
      </c>
      <c r="G273" s="19" t="str">
        <f t="shared" si="1118"/>
        <v>FY</v>
      </c>
      <c r="H273" s="19" t="str">
        <f t="shared" si="1118"/>
        <v>FY</v>
      </c>
      <c r="I273" s="19" t="str">
        <f t="shared" si="1118"/>
        <v>FY</v>
      </c>
      <c r="J273" s="19" t="str">
        <f t="shared" si="1118"/>
        <v>FY</v>
      </c>
      <c r="K273" s="19" t="str">
        <f t="shared" si="1118"/>
        <v>FY</v>
      </c>
      <c r="L273" s="19" t="str">
        <f t="shared" si="1118"/>
        <v>FY</v>
      </c>
      <c r="M273" s="19" t="str">
        <f t="shared" si="1118"/>
        <v>FY</v>
      </c>
      <c r="N273" s="19" t="str">
        <f t="shared" si="1118"/>
        <v>FY</v>
      </c>
      <c r="O273" s="19" t="str">
        <f t="shared" si="1118"/>
        <v>FY</v>
      </c>
      <c r="P273" s="19" t="str">
        <f t="shared" si="1118"/>
        <v>FY</v>
      </c>
      <c r="Q273" s="19" t="str">
        <f t="shared" si="1118"/>
        <v>FY</v>
      </c>
      <c r="R273" s="19" t="str">
        <f t="shared" si="1118"/>
        <v>FY</v>
      </c>
      <c r="S273" s="19" t="s">
        <v>282</v>
      </c>
      <c r="U273" s="19" t="s">
        <v>283</v>
      </c>
      <c r="V273" s="19" t="s">
        <v>284</v>
      </c>
      <c r="W273" s="19" t="s">
        <v>285</v>
      </c>
      <c r="X273" s="19" t="s">
        <v>286</v>
      </c>
      <c r="Y273" s="19" t="str">
        <f t="shared" ref="Y273:AL273" si="1119">Y5</f>
        <v>Q1</v>
      </c>
      <c r="Z273" s="19" t="str">
        <f t="shared" si="1119"/>
        <v>Q2</v>
      </c>
      <c r="AA273" s="19" t="str">
        <f t="shared" si="1119"/>
        <v>Q3</v>
      </c>
      <c r="AB273" s="19" t="str">
        <f t="shared" si="1119"/>
        <v>Q4</v>
      </c>
      <c r="AC273" s="19" t="str">
        <f t="shared" si="1119"/>
        <v>Q1</v>
      </c>
      <c r="AD273" s="19" t="str">
        <f t="shared" si="1119"/>
        <v>Q2</v>
      </c>
      <c r="AE273" s="19" t="str">
        <f t="shared" si="1119"/>
        <v>Q3</v>
      </c>
      <c r="AF273" s="19" t="str">
        <f t="shared" si="1119"/>
        <v>Q4</v>
      </c>
      <c r="AG273" s="19" t="str">
        <f t="shared" si="1119"/>
        <v>Q1</v>
      </c>
      <c r="AH273" s="19" t="str">
        <f t="shared" si="1119"/>
        <v>Q2</v>
      </c>
      <c r="AI273" s="19" t="str">
        <f t="shared" si="1119"/>
        <v>Q3</v>
      </c>
      <c r="AJ273" s="19" t="str">
        <f t="shared" si="1119"/>
        <v>Q4</v>
      </c>
      <c r="AK273" s="19" t="str">
        <f t="shared" si="1119"/>
        <v>Q1</v>
      </c>
      <c r="AL273" s="19" t="str">
        <f t="shared" si="1119"/>
        <v>Q2</v>
      </c>
      <c r="AM273" s="19" t="s">
        <v>285</v>
      </c>
      <c r="AN273" s="19" t="str">
        <f t="shared" ref="AN273:BH273" si="1120">AN5</f>
        <v>Q4</v>
      </c>
      <c r="AO273" s="19" t="str">
        <f t="shared" si="1120"/>
        <v>Q1</v>
      </c>
      <c r="AP273" s="19" t="str">
        <f t="shared" si="1120"/>
        <v>Q2</v>
      </c>
      <c r="AQ273" s="19" t="str">
        <f t="shared" si="1120"/>
        <v>Q3</v>
      </c>
      <c r="AR273" s="19" t="str">
        <f t="shared" si="1120"/>
        <v>Q4</v>
      </c>
      <c r="AS273" s="19" t="str">
        <f t="shared" si="1120"/>
        <v>Q1</v>
      </c>
      <c r="AT273" s="19" t="str">
        <f t="shared" si="1120"/>
        <v>Q2</v>
      </c>
      <c r="AU273" s="19" t="str">
        <f t="shared" si="1120"/>
        <v>Q3</v>
      </c>
      <c r="AV273" s="19" t="str">
        <f t="shared" si="1120"/>
        <v>Q4</v>
      </c>
      <c r="AW273" s="19" t="str">
        <f t="shared" si="1120"/>
        <v>Q1</v>
      </c>
      <c r="AX273" s="19" t="str">
        <f t="shared" si="1120"/>
        <v>Q2</v>
      </c>
      <c r="AY273" s="19" t="str">
        <f t="shared" si="1120"/>
        <v>Q3</v>
      </c>
      <c r="AZ273" s="19" t="str">
        <f t="shared" si="1120"/>
        <v>Q4</v>
      </c>
      <c r="BA273" s="19" t="str">
        <f t="shared" si="1120"/>
        <v>Q1</v>
      </c>
      <c r="BB273" s="19" t="str">
        <f t="shared" si="1120"/>
        <v>Q2</v>
      </c>
      <c r="BC273" s="19" t="str">
        <f t="shared" si="1120"/>
        <v>Q3</v>
      </c>
      <c r="BD273" s="19" t="str">
        <f t="shared" si="1120"/>
        <v>Q4</v>
      </c>
      <c r="BE273" s="19" t="str">
        <f t="shared" si="1120"/>
        <v>Q1</v>
      </c>
      <c r="BF273" s="19" t="str">
        <f t="shared" si="1120"/>
        <v>Q2</v>
      </c>
      <c r="BG273" s="19" t="str">
        <f t="shared" si="1120"/>
        <v>Q3</v>
      </c>
      <c r="BH273" s="19" t="str">
        <f t="shared" si="1120"/>
        <v>Q4</v>
      </c>
      <c r="BI273" s="19" t="str">
        <f t="shared" ref="BI273" si="1121">BI5</f>
        <v>Q1</v>
      </c>
      <c r="BJ273" s="44"/>
      <c r="BK273" s="44"/>
      <c r="BL273" s="44"/>
      <c r="BM273" s="44"/>
      <c r="BN273" s="44"/>
      <c r="BO273" s="44"/>
      <c r="BP273" s="44"/>
      <c r="BQ273" s="44"/>
      <c r="BR273" s="44"/>
      <c r="BS273" s="44"/>
      <c r="BT273" s="44"/>
      <c r="BU273" s="44"/>
      <c r="BV273" s="44"/>
      <c r="BW273" s="44"/>
      <c r="BX273" s="44"/>
      <c r="BY273" s="44"/>
      <c r="BZ273" s="44"/>
      <c r="CA273" s="44"/>
      <c r="CB273" s="44"/>
      <c r="CC273" s="44"/>
      <c r="CD273" s="44"/>
      <c r="CE273" s="44"/>
      <c r="CF273" s="44"/>
      <c r="CG273" s="46"/>
      <c r="CH273" s="44"/>
      <c r="CI273" s="44"/>
    </row>
    <row r="274" spans="2:87" s="3" customFormat="1" ht="13.5" customHeight="1"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  <c r="BB274" s="19"/>
      <c r="BC274" s="19"/>
      <c r="BD274" s="19"/>
      <c r="BE274" s="19"/>
      <c r="BF274" s="19"/>
      <c r="BG274" s="19"/>
      <c r="BH274" s="19"/>
      <c r="BI274" s="19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6"/>
      <c r="CH274" s="44"/>
      <c r="CI274" s="44"/>
    </row>
    <row r="275" spans="2:87" s="5" customFormat="1" ht="13.5" customHeight="1">
      <c r="B275" s="5" t="str">
        <f>+B7</f>
        <v>Revenues</v>
      </c>
      <c r="C275" s="46">
        <f t="shared" ref="C275:S275" si="1122">+C7*C266</f>
        <v>14064.109022556389</v>
      </c>
      <c r="D275" s="46">
        <f t="shared" si="1122"/>
        <v>13828.790851735015</v>
      </c>
      <c r="E275" s="46">
        <f t="shared" si="1122"/>
        <v>13514.770028997626</v>
      </c>
      <c r="F275" s="46">
        <f t="shared" si="1122"/>
        <v>14173.476404570962</v>
      </c>
      <c r="G275" s="46">
        <f t="shared" si="1122"/>
        <v>15007.126606440001</v>
      </c>
      <c r="H275" s="46">
        <f t="shared" si="1122"/>
        <v>15061.974523560002</v>
      </c>
      <c r="I275" s="46">
        <f t="shared" si="1122"/>
        <v>15155.30252276178</v>
      </c>
      <c r="J275" s="46">
        <f t="shared" si="1122"/>
        <v>14819.710598265014</v>
      </c>
      <c r="K275" s="46">
        <f t="shared" si="1122"/>
        <v>15096.18339596433</v>
      </c>
      <c r="L275" s="46">
        <f t="shared" si="1122"/>
        <v>17233.663709325097</v>
      </c>
      <c r="M275" s="46">
        <f t="shared" si="1122"/>
        <v>16734.998861171574</v>
      </c>
      <c r="N275" s="46">
        <f t="shared" si="1122"/>
        <v>19857.415986464068</v>
      </c>
      <c r="O275" s="46">
        <f t="shared" si="1122"/>
        <v>19857.415986464068</v>
      </c>
      <c r="P275" s="46">
        <f t="shared" si="1122"/>
        <v>22494.710589261435</v>
      </c>
      <c r="Q275" s="46">
        <f t="shared" si="1122"/>
        <v>22416.246095185008</v>
      </c>
      <c r="R275" s="46">
        <f t="shared" si="1122"/>
        <v>22268.543327994281</v>
      </c>
      <c r="S275" s="46">
        <f t="shared" si="1122"/>
        <v>22929.497943248178</v>
      </c>
      <c r="U275" s="46">
        <f t="shared" ref="U275:BH275" si="1123">+U7*U266</f>
        <v>3167.6899170000002</v>
      </c>
      <c r="V275" s="46">
        <f t="shared" si="1123"/>
        <v>3374.2817471200001</v>
      </c>
      <c r="W275" s="46">
        <f t="shared" si="1123"/>
        <v>3475.1838007700003</v>
      </c>
      <c r="X275" s="46">
        <f t="shared" si="1123"/>
        <v>3472.6131114473028</v>
      </c>
      <c r="Y275" s="46">
        <f t="shared" si="1123"/>
        <v>3262.3680695299995</v>
      </c>
      <c r="Z275" s="46">
        <f t="shared" si="1123"/>
        <v>3501.4099121706395</v>
      </c>
      <c r="AA275" s="46">
        <f t="shared" si="1123"/>
        <v>3668.7724331400786</v>
      </c>
      <c r="AB275" s="46">
        <f t="shared" si="1123"/>
        <v>3736.5329971753895</v>
      </c>
      <c r="AC275" s="46">
        <f t="shared" si="1123"/>
        <v>3585.3589473100001</v>
      </c>
      <c r="AD275" s="46">
        <f t="shared" si="1123"/>
        <v>3636.7625057400001</v>
      </c>
      <c r="AE275" s="46">
        <f t="shared" si="1123"/>
        <v>3822.2079455999997</v>
      </c>
      <c r="AF275" s="46">
        <f t="shared" si="1123"/>
        <v>3849.5835166999996</v>
      </c>
      <c r="AG275" s="46">
        <f t="shared" si="1123"/>
        <v>3625.45700283</v>
      </c>
      <c r="AH275" s="46">
        <f t="shared" si="1123"/>
        <v>3785.4471624800003</v>
      </c>
      <c r="AI275" s="46">
        <f t="shared" si="1123"/>
        <v>3857.7076996599999</v>
      </c>
      <c r="AJ275" s="46">
        <f t="shared" si="1123"/>
        <v>3884.4998357938562</v>
      </c>
      <c r="AK275" s="46">
        <f t="shared" si="1123"/>
        <v>3535.0631959881498</v>
      </c>
      <c r="AL275" s="46">
        <f t="shared" si="1123"/>
        <v>3701.0862214884864</v>
      </c>
      <c r="AM275" s="46">
        <f t="shared" si="1123"/>
        <v>3804.6892065961297</v>
      </c>
      <c r="AN275" s="46">
        <f t="shared" si="1123"/>
        <v>4028.9866743835273</v>
      </c>
      <c r="AO275" s="46">
        <f t="shared" si="1123"/>
        <v>3846.0269502000001</v>
      </c>
      <c r="AP275" s="46">
        <f t="shared" si="1123"/>
        <v>4175.256791609313</v>
      </c>
      <c r="AQ275" s="46">
        <f t="shared" si="1123"/>
        <v>4377.1659217051647</v>
      </c>
      <c r="AR275" s="46">
        <f t="shared" si="1123"/>
        <v>4341.7810548010293</v>
      </c>
      <c r="AS275" s="46">
        <f t="shared" si="1123"/>
        <v>4547.5148846600005</v>
      </c>
      <c r="AT275" s="46">
        <f t="shared" si="1123"/>
        <v>4823.0933024916867</v>
      </c>
      <c r="AU275" s="46">
        <f t="shared" si="1123"/>
        <v>5106.5313871821818</v>
      </c>
      <c r="AV275" s="46">
        <f t="shared" si="1123"/>
        <v>5392.4738868899994</v>
      </c>
      <c r="AW275" s="46">
        <f t="shared" si="1123"/>
        <v>5334.7164359400003</v>
      </c>
      <c r="AX275" s="46">
        <f t="shared" si="1123"/>
        <v>5680.191403265515</v>
      </c>
      <c r="AY275" s="46">
        <f t="shared" si="1123"/>
        <v>5739.6764891844223</v>
      </c>
      <c r="AZ275" s="46">
        <f t="shared" si="1123"/>
        <v>5740.6387921200012</v>
      </c>
      <c r="BA275" s="46">
        <f t="shared" si="1123"/>
        <v>5515.4616146000008</v>
      </c>
      <c r="BB275" s="46">
        <f t="shared" si="1123"/>
        <v>5691.6232338178552</v>
      </c>
      <c r="BC275" s="46">
        <f t="shared" si="1123"/>
        <v>5602.4289874800006</v>
      </c>
      <c r="BD275" s="46">
        <f t="shared" si="1123"/>
        <v>5509.2855825912739</v>
      </c>
      <c r="BE275" s="46">
        <f t="shared" si="1123"/>
        <v>5083.3402597402592</v>
      </c>
      <c r="BF275" s="46">
        <f t="shared" si="1123"/>
        <v>5515.3826302882298</v>
      </c>
      <c r="BG275" s="46">
        <f t="shared" si="1123"/>
        <v>5766.1677447059774</v>
      </c>
      <c r="BH275" s="46">
        <f t="shared" si="1123"/>
        <v>5917.4089190488703</v>
      </c>
      <c r="BI275" s="46">
        <f t="shared" ref="BI275" si="1124">+BI7*BI266</f>
        <v>5710.9287775886514</v>
      </c>
      <c r="BJ275" s="44"/>
      <c r="BK275" s="44"/>
      <c r="BL275" s="44"/>
      <c r="BM275" s="44"/>
      <c r="BN275" s="44"/>
      <c r="BO275" s="44"/>
      <c r="BP275" s="44"/>
      <c r="BQ275" s="44"/>
      <c r="BR275" s="44"/>
      <c r="BS275" s="44"/>
      <c r="BT275" s="44"/>
      <c r="BU275" s="44"/>
      <c r="BV275" s="44"/>
      <c r="BW275" s="44"/>
      <c r="BX275" s="44"/>
      <c r="BY275" s="44"/>
      <c r="BZ275" s="44"/>
      <c r="CA275" s="44"/>
      <c r="CB275" s="44"/>
      <c r="CC275" s="44"/>
      <c r="CD275" s="44"/>
      <c r="CE275" s="44"/>
      <c r="CF275" s="44"/>
      <c r="CG275" s="46"/>
      <c r="CH275" s="44"/>
      <c r="CI275" s="44"/>
    </row>
    <row r="276" spans="2:87" ht="13.5" customHeight="1">
      <c r="B276" s="130" t="str">
        <f>+B8</f>
        <v xml:space="preserve">% y-o-y growth </v>
      </c>
      <c r="C276" s="131">
        <f>C275/(174623*0.07671)-1</f>
        <v>4.9926256096768373E-2</v>
      </c>
      <c r="D276" s="132">
        <f>+D275/C275-1</f>
        <v>-1.6731822146995978E-2</v>
      </c>
      <c r="E276" s="132">
        <f>+E275/D275-1</f>
        <v>-2.2707757034158282E-2</v>
      </c>
      <c r="F276" s="132">
        <f>+F275/E275-1</f>
        <v>4.8739739866827225E-2</v>
      </c>
      <c r="G276" s="132">
        <f>+G275/F275-1</f>
        <v>5.8817623712992928E-2</v>
      </c>
      <c r="H276" s="132">
        <f>+H275/F275-1</f>
        <v>6.2687381248435203E-2</v>
      </c>
      <c r="I276" s="132">
        <f>+I275/H275-1</f>
        <v>6.1962659049643598E-3</v>
      </c>
      <c r="J276" s="132">
        <f>+J275/I275-1</f>
        <v>-2.2143531875575606E-2</v>
      </c>
      <c r="K276" s="132">
        <f>+K275/I275-1</f>
        <v>-3.9008872774831671E-3</v>
      </c>
      <c r="L276" s="132">
        <f>+L275/J275-1</f>
        <v>0.16288800614923571</v>
      </c>
      <c r="M276" s="132">
        <f>+M275/K275-1</f>
        <v>0.10855826417989523</v>
      </c>
      <c r="N276" s="132">
        <f>+N275/K275-1</f>
        <v>0.31539313385478351</v>
      </c>
      <c r="O276" s="132">
        <f>+O275/L275-1</f>
        <v>0.15224576279269408</v>
      </c>
      <c r="P276" s="132">
        <f>+P275/O275-1</f>
        <v>0.13281157047800662</v>
      </c>
      <c r="Q276" s="132">
        <f>+Q275/P275-1</f>
        <v>-3.4881308548101453E-3</v>
      </c>
      <c r="R276" s="132">
        <f>+R275/Q275-1</f>
        <v>-6.5890946487446866E-3</v>
      </c>
      <c r="S276" s="132"/>
      <c r="U276" s="132"/>
      <c r="V276" s="132"/>
      <c r="W276" s="132"/>
      <c r="X276" s="132"/>
      <c r="Y276" s="132">
        <f t="shared" ref="Y276:BI276" si="1125">Y275/U275-1</f>
        <v>2.9888705968943219E-2</v>
      </c>
      <c r="Z276" s="132">
        <f t="shared" si="1125"/>
        <v>3.7675622422207455E-2</v>
      </c>
      <c r="AA276" s="132">
        <f t="shared" si="1125"/>
        <v>5.5706012535850613E-2</v>
      </c>
      <c r="AB276" s="132">
        <f t="shared" si="1125"/>
        <v>7.6000371264534961E-2</v>
      </c>
      <c r="AC276" s="132">
        <f t="shared" si="1125"/>
        <v>9.900503894599888E-2</v>
      </c>
      <c r="AD276" s="132">
        <f t="shared" si="1125"/>
        <v>3.8656597474887144E-2</v>
      </c>
      <c r="AE276" s="132">
        <f t="shared" si="1125"/>
        <v>4.1822030462815185E-2</v>
      </c>
      <c r="AF276" s="132">
        <f>AF275/AB275-1</f>
        <v>3.0255458632392651E-2</v>
      </c>
      <c r="AG276" s="132">
        <f t="shared" si="1125"/>
        <v>1.1183832946512817E-2</v>
      </c>
      <c r="AH276" s="132">
        <f t="shared" si="1125"/>
        <v>4.0883796097580527E-2</v>
      </c>
      <c r="AI276" s="132">
        <f t="shared" si="1125"/>
        <v>9.2877610442065883E-3</v>
      </c>
      <c r="AJ276" s="132">
        <f t="shared" si="1125"/>
        <v>9.0701549771254886E-3</v>
      </c>
      <c r="AK276" s="132">
        <f t="shared" si="1125"/>
        <v>-2.4933079270086367E-2</v>
      </c>
      <c r="AL276" s="132">
        <f t="shared" si="1125"/>
        <v>-2.2285594639299022E-2</v>
      </c>
      <c r="AM276" s="132">
        <f t="shared" si="1125"/>
        <v>-1.374352262835854E-2</v>
      </c>
      <c r="AN276" s="132">
        <f t="shared" si="1125"/>
        <v>3.7195738112354215E-2</v>
      </c>
      <c r="AO276" s="132">
        <f t="shared" si="1125"/>
        <v>8.7965543180318573E-2</v>
      </c>
      <c r="AP276" s="132">
        <f t="shared" si="1125"/>
        <v>0.12811659651909624</v>
      </c>
      <c r="AQ276" s="132">
        <f t="shared" si="1125"/>
        <v>0.15046609171559688</v>
      </c>
      <c r="AR276" s="132">
        <f t="shared" si="1125"/>
        <v>7.7635992793488873E-2</v>
      </c>
      <c r="AS276" s="132">
        <f t="shared" si="1125"/>
        <v>0.18239288063842651</v>
      </c>
      <c r="AT276" s="132">
        <f t="shared" si="1125"/>
        <v>0.15516087829239145</v>
      </c>
      <c r="AU276" s="132">
        <f t="shared" si="1125"/>
        <v>0.16662961343555516</v>
      </c>
      <c r="AV276" s="132">
        <f t="shared" si="1125"/>
        <v>0.24199581204748699</v>
      </c>
      <c r="AW276" s="132">
        <f t="shared" si="1125"/>
        <v>0.17310587678018252</v>
      </c>
      <c r="AX276" s="132">
        <f t="shared" si="1125"/>
        <v>0.17770713668985794</v>
      </c>
      <c r="AY276" s="132">
        <f t="shared" si="1125"/>
        <v>0.12398731232544402</v>
      </c>
      <c r="AZ276" s="132">
        <f t="shared" si="1125"/>
        <v>6.4564968237759812E-2</v>
      </c>
      <c r="BA276" s="132">
        <f t="shared" si="1125"/>
        <v>3.3880934597070533E-2</v>
      </c>
      <c r="BB276" s="132">
        <f t="shared" si="1125"/>
        <v>2.012578404623433E-3</v>
      </c>
      <c r="BC276" s="132">
        <f t="shared" si="1125"/>
        <v>-2.3912062284876967E-2</v>
      </c>
      <c r="BD276" s="132">
        <f t="shared" si="1125"/>
        <v>-4.0300952194779915E-2</v>
      </c>
      <c r="BE276" s="132">
        <f t="shared" si="1125"/>
        <v>-7.8347269014776844E-2</v>
      </c>
      <c r="BF276" s="132">
        <f t="shared" si="1125"/>
        <v>-3.0964910411226509E-2</v>
      </c>
      <c r="BG276" s="132">
        <f t="shared" si="1125"/>
        <v>2.9226386910372382E-2</v>
      </c>
      <c r="BH276" s="132">
        <f t="shared" si="1125"/>
        <v>7.4079176027327387E-2</v>
      </c>
      <c r="BI276" s="132">
        <f t="shared" si="1125"/>
        <v>0.12345986807510312</v>
      </c>
      <c r="BJ276" s="44"/>
      <c r="BK276" s="44"/>
      <c r="BL276" s="44"/>
      <c r="BM276" s="44"/>
      <c r="BN276" s="44"/>
      <c r="BO276" s="44"/>
      <c r="BP276" s="44"/>
      <c r="BQ276" s="44"/>
      <c r="BR276" s="44"/>
      <c r="BS276" s="44"/>
      <c r="BT276" s="44"/>
      <c r="BU276" s="44"/>
      <c r="BV276" s="44"/>
      <c r="BW276" s="44"/>
      <c r="BX276" s="44"/>
      <c r="BY276" s="44"/>
      <c r="BZ276" s="44"/>
      <c r="CA276" s="44"/>
      <c r="CB276" s="44"/>
      <c r="CC276" s="44"/>
      <c r="CD276" s="44"/>
      <c r="CE276" s="44"/>
      <c r="CF276" s="44"/>
      <c r="CG276" s="46"/>
      <c r="CH276" s="44"/>
      <c r="CI276" s="44"/>
    </row>
    <row r="277" spans="2:87" s="5" customFormat="1" ht="13.5" customHeight="1" thickBot="1">
      <c r="B277" s="21" t="str">
        <f>+B45</f>
        <v xml:space="preserve">EBITDA </v>
      </c>
      <c r="C277" s="53">
        <f t="shared" ref="C277:S277" si="1126">C45*C266</f>
        <v>1213.7645864661645</v>
      </c>
      <c r="D277" s="53">
        <f t="shared" si="1126"/>
        <v>1335.6575394321758</v>
      </c>
      <c r="E277" s="53">
        <f t="shared" si="1126"/>
        <v>1421.4660684901412</v>
      </c>
      <c r="F277" s="53">
        <f t="shared" si="1126"/>
        <v>1389.889422586371</v>
      </c>
      <c r="G277" s="53">
        <f t="shared" si="1126"/>
        <v>1484.1655250000008</v>
      </c>
      <c r="H277" s="53">
        <f t="shared" si="1126"/>
        <v>1484.1655249999992</v>
      </c>
      <c r="I277" s="53">
        <f t="shared" si="1126"/>
        <v>1806.250144722967</v>
      </c>
      <c r="J277" s="53">
        <f t="shared" si="1126"/>
        <v>1766.2533870680311</v>
      </c>
      <c r="K277" s="53">
        <f t="shared" si="1126"/>
        <v>1899.7187858504826</v>
      </c>
      <c r="L277" s="53">
        <f t="shared" si="1126"/>
        <v>2494.5514857921507</v>
      </c>
      <c r="M277" s="53">
        <f t="shared" si="1126"/>
        <v>2405.9310580864058</v>
      </c>
      <c r="N277" s="53">
        <f t="shared" si="1126"/>
        <v>3572.6995557679284</v>
      </c>
      <c r="O277" s="53">
        <f t="shared" si="1126"/>
        <v>3584.851136328653</v>
      </c>
      <c r="P277" s="53">
        <f t="shared" si="1126"/>
        <v>3059.3114293943759</v>
      </c>
      <c r="Q277" s="53">
        <f t="shared" si="1126"/>
        <v>3085.1847538573043</v>
      </c>
      <c r="R277" s="53">
        <f t="shared" si="1126"/>
        <v>3076.4149325963795</v>
      </c>
      <c r="S277" s="53">
        <f t="shared" si="1126"/>
        <v>3253.6563054104372</v>
      </c>
      <c r="U277" s="53">
        <f t="shared" ref="U277:BH277" si="1127">U45*U266</f>
        <v>317.70697500000011</v>
      </c>
      <c r="V277" s="53">
        <f t="shared" si="1127"/>
        <v>375.80245063999973</v>
      </c>
      <c r="W277" s="53">
        <f t="shared" si="1127"/>
        <v>422.91191301999993</v>
      </c>
      <c r="X277" s="53">
        <f t="shared" si="1127"/>
        <v>305.95859808371233</v>
      </c>
      <c r="Y277" s="53">
        <f t="shared" si="1127"/>
        <v>287.20024910999962</v>
      </c>
      <c r="Z277" s="53">
        <f t="shared" si="1127"/>
        <v>358.65986735974218</v>
      </c>
      <c r="AA277" s="53">
        <f t="shared" si="1127"/>
        <v>390.96250233775947</v>
      </c>
      <c r="AB277" s="53">
        <f t="shared" si="1127"/>
        <v>357.0456731605006</v>
      </c>
      <c r="AC277" s="53">
        <f t="shared" si="1127"/>
        <v>343.65562655999986</v>
      </c>
      <c r="AD277" s="53">
        <f t="shared" si="1127"/>
        <v>263.64294719999981</v>
      </c>
      <c r="AE277" s="53">
        <f t="shared" si="1127"/>
        <v>418.77105599999976</v>
      </c>
      <c r="AF277" s="53">
        <f t="shared" si="1127"/>
        <v>448.55175720000034</v>
      </c>
      <c r="AG277" s="53">
        <f t="shared" si="1127"/>
        <v>416.44717433999983</v>
      </c>
      <c r="AH277" s="53">
        <f t="shared" si="1127"/>
        <v>401.32244570000017</v>
      </c>
      <c r="AI277" s="53">
        <f t="shared" si="1127"/>
        <v>472.41777486000035</v>
      </c>
      <c r="AJ277" s="53">
        <f t="shared" si="1127"/>
        <v>515.06014060859331</v>
      </c>
      <c r="AK277" s="53">
        <f t="shared" si="1127"/>
        <v>262.44070676615735</v>
      </c>
      <c r="AL277" s="53">
        <f t="shared" si="1127"/>
        <v>478.74531560559342</v>
      </c>
      <c r="AM277" s="53">
        <f t="shared" si="1127"/>
        <v>527.54294965651616</v>
      </c>
      <c r="AN277" s="53">
        <f t="shared" si="1127"/>
        <v>623.26952599980143</v>
      </c>
      <c r="AO277" s="53">
        <f t="shared" si="1127"/>
        <v>610.65132119999998</v>
      </c>
      <c r="AP277" s="53">
        <f t="shared" si="1127"/>
        <v>549.60435042092399</v>
      </c>
      <c r="AQ277" s="53">
        <f t="shared" si="1127"/>
        <v>613.68423283734751</v>
      </c>
      <c r="AR277" s="53">
        <f t="shared" si="1127"/>
        <v>631.29711423015794</v>
      </c>
      <c r="AS277" s="53">
        <f t="shared" si="1127"/>
        <v>644.35186827000041</v>
      </c>
      <c r="AT277" s="53">
        <f t="shared" si="1127"/>
        <v>729.56261211504386</v>
      </c>
      <c r="AU277" s="53">
        <f t="shared" si="1127"/>
        <v>774.63922009467342</v>
      </c>
      <c r="AV277" s="53">
        <f t="shared" si="1127"/>
        <v>1345.1550165799993</v>
      </c>
      <c r="AW277" s="53">
        <f t="shared" si="1127"/>
        <v>683.09436689999961</v>
      </c>
      <c r="AX277" s="53">
        <f t="shared" si="1127"/>
        <v>789.28305837743073</v>
      </c>
      <c r="AY277" s="53">
        <f t="shared" si="1127"/>
        <v>829.60205620054012</v>
      </c>
      <c r="AZ277" s="53">
        <f t="shared" si="1127"/>
        <v>653.76988838999989</v>
      </c>
      <c r="BA277" s="53">
        <f t="shared" si="1127"/>
        <v>694.2462896000003</v>
      </c>
      <c r="BB277" s="53">
        <f t="shared" si="1127"/>
        <v>823.96332724054946</v>
      </c>
      <c r="BC277" s="53">
        <f t="shared" si="1127"/>
        <v>815.61653613000021</v>
      </c>
      <c r="BD277" s="53">
        <f t="shared" si="1127"/>
        <v>736.2262994503684</v>
      </c>
      <c r="BE277" s="53">
        <f t="shared" si="1127"/>
        <v>628.43357020338192</v>
      </c>
      <c r="BF277" s="53">
        <f t="shared" si="1127"/>
        <v>755.10655981612365</v>
      </c>
      <c r="BG277" s="53">
        <f t="shared" si="1127"/>
        <v>835.00872272471076</v>
      </c>
      <c r="BH277" s="53">
        <f t="shared" si="1127"/>
        <v>868.00698269079555</v>
      </c>
      <c r="BI277" s="53">
        <f t="shared" ref="BI277" si="1128">BI45*BI266</f>
        <v>793.56260069110442</v>
      </c>
      <c r="BJ277" s="44"/>
      <c r="BK277" s="44"/>
      <c r="BL277" s="44"/>
      <c r="BM277" s="44"/>
      <c r="BN277" s="44"/>
      <c r="BO277" s="44"/>
      <c r="BP277" s="44"/>
      <c r="BQ277" s="44"/>
      <c r="BR277" s="44"/>
      <c r="BS277" s="44"/>
      <c r="BT277" s="44"/>
      <c r="BU277" s="44"/>
      <c r="BV277" s="44"/>
      <c r="BW277" s="44"/>
      <c r="BX277" s="44"/>
      <c r="BY277" s="44"/>
      <c r="BZ277" s="44"/>
      <c r="CA277" s="44"/>
      <c r="CB277" s="44"/>
      <c r="CC277" s="44"/>
      <c r="CD277" s="44"/>
      <c r="CE277" s="44"/>
      <c r="CF277" s="44"/>
      <c r="CG277" s="46"/>
      <c r="CH277" s="44"/>
      <c r="CI277" s="44"/>
    </row>
    <row r="278" spans="2:87" ht="13.5" customHeight="1" thickTop="1">
      <c r="B278" s="130" t="str">
        <f>B46</f>
        <v xml:space="preserve">% growth </v>
      </c>
      <c r="C278" s="131">
        <f>C277/((10444.523+5300.036)*0.07671)-1</f>
        <v>4.9674108586141852E-3</v>
      </c>
      <c r="D278" s="132">
        <f>D277/C277-1</f>
        <v>0.10042553088560502</v>
      </c>
      <c r="E278" s="132">
        <f>E277/D277-1</f>
        <v>6.4244408858310287E-2</v>
      </c>
      <c r="F278" s="132">
        <f>F277/E277-1</f>
        <v>-2.2214139755942552E-2</v>
      </c>
      <c r="G278" s="132">
        <f>G277/F277-1</f>
        <v>6.7829930123647131E-2</v>
      </c>
      <c r="H278" s="132">
        <f>+H277/F277-1</f>
        <v>6.7829930123646021E-2</v>
      </c>
      <c r="I278" s="132">
        <f>I277/H277-1</f>
        <v>0.21701394776904537</v>
      </c>
      <c r="J278" s="132">
        <f>J277/H277-1</f>
        <v>0.19006496062360156</v>
      </c>
      <c r="K278" s="132">
        <f>K277/J277-1</f>
        <v>7.556412899737075E-2</v>
      </c>
      <c r="L278" s="132">
        <f>L277/K277-1</f>
        <v>0.3131161856018434</v>
      </c>
      <c r="M278" s="132">
        <f>M277/L277-1</f>
        <v>-3.5525595767610829E-2</v>
      </c>
      <c r="N278" s="132">
        <f>N277/L277-1</f>
        <v>0.43220116967576194</v>
      </c>
      <c r="O278" s="132">
        <f>O277/M277-1</f>
        <v>0.49000576067209489</v>
      </c>
      <c r="P278" s="132">
        <f>+P277/O277-1</f>
        <v>-0.1466001479415675</v>
      </c>
      <c r="Q278" s="132">
        <f>+Q277/P277-1</f>
        <v>8.4572378654663716E-3</v>
      </c>
      <c r="R278" s="132">
        <f>+R277/Q277-1</f>
        <v>-2.8425595095917799E-3</v>
      </c>
      <c r="S278" s="132"/>
      <c r="U278" s="133"/>
      <c r="V278" s="133"/>
      <c r="W278" s="133"/>
      <c r="X278" s="133"/>
      <c r="Y278" s="132">
        <f t="shared" ref="Y278:BI278" si="1129">Y277/U277-1</f>
        <v>-9.602158054603771E-2</v>
      </c>
      <c r="Z278" s="132">
        <f t="shared" si="1129"/>
        <v>-4.5615943299633477E-2</v>
      </c>
      <c r="AA278" s="132">
        <f t="shared" si="1129"/>
        <v>-7.5546253720049528E-2</v>
      </c>
      <c r="AB278" s="132">
        <f t="shared" si="1129"/>
        <v>0.16697381736208139</v>
      </c>
      <c r="AC278" s="132">
        <f t="shared" si="1129"/>
        <v>0.19657147800166941</v>
      </c>
      <c r="AD278" s="132">
        <f t="shared" si="1129"/>
        <v>-0.26492208581686316</v>
      </c>
      <c r="AE278" s="132">
        <f t="shared" si="1129"/>
        <v>7.112844197578827E-2</v>
      </c>
      <c r="AF278" s="132">
        <f>AF277/AB277-1</f>
        <v>0.25628677482492712</v>
      </c>
      <c r="AG278" s="132">
        <f t="shared" si="1129"/>
        <v>0.21181538189449989</v>
      </c>
      <c r="AH278" s="132">
        <f t="shared" si="1129"/>
        <v>0.52221953957887046</v>
      </c>
      <c r="AI278" s="132">
        <f t="shared" si="1129"/>
        <v>0.12810512591873269</v>
      </c>
      <c r="AJ278" s="132">
        <f t="shared" si="1129"/>
        <v>0.14827359906860926</v>
      </c>
      <c r="AK278" s="132">
        <f t="shared" si="1129"/>
        <v>-0.36981033144940256</v>
      </c>
      <c r="AL278" s="132">
        <f t="shared" si="1129"/>
        <v>0.19291936131444043</v>
      </c>
      <c r="AM278" s="132">
        <f t="shared" si="1129"/>
        <v>0.11668734270816117</v>
      </c>
      <c r="AN278" s="132">
        <f t="shared" si="1129"/>
        <v>0.2100907774834766</v>
      </c>
      <c r="AO278" s="132">
        <f t="shared" si="1129"/>
        <v>1.3268163263411301</v>
      </c>
      <c r="AP278" s="132">
        <f t="shared" si="1129"/>
        <v>0.14800987603543803</v>
      </c>
      <c r="AQ278" s="132">
        <f t="shared" si="1129"/>
        <v>0.16328771569578948</v>
      </c>
      <c r="AR278" s="132">
        <f t="shared" si="1129"/>
        <v>1.2879802229186943E-2</v>
      </c>
      <c r="AS278" s="132">
        <f t="shared" si="1129"/>
        <v>5.5187872194847554E-2</v>
      </c>
      <c r="AT278" s="132">
        <f t="shared" si="1129"/>
        <v>0.32743238214234616</v>
      </c>
      <c r="AU278" s="132">
        <f t="shared" si="1129"/>
        <v>0.26227655632141</v>
      </c>
      <c r="AV278" s="132">
        <f t="shared" si="1129"/>
        <v>1.1307796063987445</v>
      </c>
      <c r="AW278" s="132">
        <f t="shared" si="1129"/>
        <v>6.0126307593423522E-2</v>
      </c>
      <c r="AX278" s="132">
        <f t="shared" si="1129"/>
        <v>8.185787658341459E-2</v>
      </c>
      <c r="AY278" s="132">
        <f t="shared" si="1129"/>
        <v>7.0952818654275385E-2</v>
      </c>
      <c r="AZ278" s="132">
        <f t="shared" si="1129"/>
        <v>-0.51398174906845862</v>
      </c>
      <c r="BA278" s="132">
        <f t="shared" si="1129"/>
        <v>1.6325596052870539E-2</v>
      </c>
      <c r="BB278" s="132">
        <f t="shared" si="1129"/>
        <v>4.3938950031960244E-2</v>
      </c>
      <c r="BC278" s="132">
        <f t="shared" si="1129"/>
        <v>-1.685810680676425E-2</v>
      </c>
      <c r="BD278" s="132">
        <f t="shared" si="1129"/>
        <v>0.12612451647693512</v>
      </c>
      <c r="BE278" s="132">
        <f t="shared" si="1129"/>
        <v>-9.4797365693574442E-2</v>
      </c>
      <c r="BF278" s="132">
        <f t="shared" si="1129"/>
        <v>-8.3567757384332753E-2</v>
      </c>
      <c r="BG278" s="132">
        <f t="shared" si="1129"/>
        <v>2.3776107687472958E-2</v>
      </c>
      <c r="BH278" s="132">
        <f t="shared" si="1129"/>
        <v>0.17899480545425828</v>
      </c>
      <c r="BI278" s="132">
        <f t="shared" si="1129"/>
        <v>0.26276290497065791</v>
      </c>
      <c r="BJ278" s="44"/>
      <c r="BK278" s="44"/>
      <c r="BL278" s="44"/>
      <c r="BM278" s="44"/>
      <c r="BN278" s="44"/>
      <c r="BO278" s="44"/>
      <c r="BP278" s="44"/>
      <c r="BQ278" s="44"/>
      <c r="BR278" s="44"/>
      <c r="BS278" s="44"/>
      <c r="BT278" s="44"/>
      <c r="BU278" s="44"/>
      <c r="BV278" s="44"/>
      <c r="BW278" s="44"/>
      <c r="BX278" s="44"/>
      <c r="BY278" s="44"/>
      <c r="BZ278" s="44"/>
      <c r="CA278" s="44"/>
      <c r="CB278" s="44"/>
      <c r="CC278" s="44"/>
      <c r="CD278" s="44"/>
      <c r="CE278" s="44"/>
      <c r="CF278" s="44"/>
      <c r="CG278" s="46"/>
      <c r="CH278" s="44"/>
      <c r="CI278" s="44"/>
    </row>
    <row r="279" spans="2:87" ht="13.5" customHeight="1">
      <c r="B279" s="130" t="str">
        <f>B47</f>
        <v>% margin</v>
      </c>
      <c r="C279" s="133">
        <f>C277/C275</f>
        <v>8.6302273718121547E-2</v>
      </c>
      <c r="D279" s="133">
        <f>D277/D275</f>
        <v>9.658527298246028E-2</v>
      </c>
      <c r="E279" s="133">
        <f>E277/E275</f>
        <v>0.10517870932618227</v>
      </c>
      <c r="F279" s="133">
        <f t="shared" ref="F279:K279" si="1130">F277/F275</f>
        <v>9.8062704089882297E-2</v>
      </c>
      <c r="G279" s="133">
        <f t="shared" si="1130"/>
        <v>9.889738148561375E-2</v>
      </c>
      <c r="H279" s="133">
        <f t="shared" si="1130"/>
        <v>9.8537248398505875E-2</v>
      </c>
      <c r="I279" s="133">
        <f t="shared" si="1130"/>
        <v>0.11918271786459929</v>
      </c>
      <c r="J279" s="133">
        <f t="shared" si="1130"/>
        <v>0.11918271786459929</v>
      </c>
      <c r="K279" s="133">
        <f t="shared" si="1130"/>
        <v>0.12584099808686317</v>
      </c>
      <c r="L279" s="133">
        <f t="shared" ref="L279:N279" si="1131">L277/L275</f>
        <v>0.14474876195027261</v>
      </c>
      <c r="M279" s="133">
        <f t="shared" ref="M279" si="1132">M277/M275</f>
        <v>0.14376643094184069</v>
      </c>
      <c r="N279" s="133">
        <f t="shared" si="1131"/>
        <v>0.17991764679771433</v>
      </c>
      <c r="O279" s="133">
        <f t="shared" ref="O279" si="1133">O277/O275</f>
        <v>0.18052958848081185</v>
      </c>
      <c r="P279" s="133">
        <f>P277/P275</f>
        <v>0.13600136873309387</v>
      </c>
      <c r="Q279" s="133">
        <f>Q277/Q275</f>
        <v>0.13763164183498144</v>
      </c>
      <c r="R279" s="133">
        <f>R277/R275</f>
        <v>0.13815070376556468</v>
      </c>
      <c r="S279" s="133">
        <f t="shared" ref="S279" si="1134">S277/S275</f>
        <v>0.14189827938943203</v>
      </c>
      <c r="U279" s="133">
        <f t="shared" ref="U279:AA279" si="1135">U277/U275</f>
        <v>0.10029610957024747</v>
      </c>
      <c r="V279" s="133">
        <f t="shared" si="1135"/>
        <v>0.11137257609289822</v>
      </c>
      <c r="W279" s="133">
        <f t="shared" si="1135"/>
        <v>0.12169483321322311</v>
      </c>
      <c r="X279" s="133">
        <f t="shared" si="1135"/>
        <v>8.810615760078036E-2</v>
      </c>
      <c r="Y279" s="133">
        <f t="shared" si="1135"/>
        <v>8.803428766741693E-2</v>
      </c>
      <c r="Z279" s="133">
        <f t="shared" si="1135"/>
        <v>0.10243298452805176</v>
      </c>
      <c r="AA279" s="133">
        <f t="shared" si="1135"/>
        <v>0.10656493676364036</v>
      </c>
      <c r="AB279" s="133">
        <f t="shared" ref="AB279:AG279" si="1136">AB277/AB275</f>
        <v>9.5555337910947724E-2</v>
      </c>
      <c r="AC279" s="133">
        <f t="shared" si="1136"/>
        <v>9.5849713127840547E-2</v>
      </c>
      <c r="AD279" s="133">
        <f t="shared" si="1136"/>
        <v>7.2493858695442739E-2</v>
      </c>
      <c r="AE279" s="133">
        <f t="shared" si="1136"/>
        <v>0.10956260411788303</v>
      </c>
      <c r="AF279" s="133">
        <f t="shared" si="1136"/>
        <v>0.11651955471393823</v>
      </c>
      <c r="AG279" s="133">
        <f t="shared" si="1136"/>
        <v>0.11486749781197923</v>
      </c>
      <c r="AH279" s="133">
        <f t="shared" ref="AH279:AM279" si="1137">AH277/AH275</f>
        <v>0.10601718330076426</v>
      </c>
      <c r="AI279" s="133">
        <f t="shared" si="1137"/>
        <v>0.1224607491390903</v>
      </c>
      <c r="AJ279" s="133">
        <f t="shared" si="1137"/>
        <v>0.13259368319765497</v>
      </c>
      <c r="AK279" s="133">
        <f t="shared" si="1137"/>
        <v>7.4239325357463026E-2</v>
      </c>
      <c r="AL279" s="133">
        <f t="shared" si="1137"/>
        <v>0.12935265134489457</v>
      </c>
      <c r="AM279" s="133">
        <f t="shared" si="1137"/>
        <v>0.13865599028218212</v>
      </c>
      <c r="AN279" s="133">
        <f t="shared" ref="AN279:AS279" si="1138">AN277/AN275</f>
        <v>0.15469634833060536</v>
      </c>
      <c r="AO279" s="133">
        <f t="shared" si="1138"/>
        <v>0.15877458195352612</v>
      </c>
      <c r="AP279" s="133">
        <f t="shared" si="1138"/>
        <v>0.13163366419172609</v>
      </c>
      <c r="AQ279" s="133">
        <f t="shared" si="1138"/>
        <v>0.14020127265321514</v>
      </c>
      <c r="AR279" s="133">
        <f t="shared" si="1138"/>
        <v>0.14540049492640489</v>
      </c>
      <c r="AS279" s="133">
        <f t="shared" si="1138"/>
        <v>0.1416931850940332</v>
      </c>
      <c r="AT279" s="133">
        <f t="shared" ref="AT279:AW279" si="1139">AT277/AT275</f>
        <v>0.15126446169684096</v>
      </c>
      <c r="AU279" s="133">
        <f t="shared" si="1139"/>
        <v>0.15169577181863256</v>
      </c>
      <c r="AV279" s="133">
        <f t="shared" si="1139"/>
        <v>0.24945044608380854</v>
      </c>
      <c r="AW279" s="133">
        <f t="shared" si="1139"/>
        <v>0.12804698714593166</v>
      </c>
      <c r="AX279" s="133">
        <f t="shared" ref="AX279:BA279" si="1140">AX277/AX275</f>
        <v>0.13895360250073188</v>
      </c>
      <c r="AY279" s="133">
        <f t="shared" si="1140"/>
        <v>0.14453812122752971</v>
      </c>
      <c r="AZ279" s="133">
        <f t="shared" si="1140"/>
        <v>0.11388451913877769</v>
      </c>
      <c r="BA279" s="133">
        <f t="shared" si="1140"/>
        <v>0.12587274431613452</v>
      </c>
      <c r="BB279" s="133">
        <f t="shared" ref="BB279:BE279" si="1141">BB277/BB275</f>
        <v>0.14476772150777931</v>
      </c>
      <c r="BC279" s="133">
        <f t="shared" si="1141"/>
        <v>0.1455826638682427</v>
      </c>
      <c r="BD279" s="133">
        <f t="shared" si="1141"/>
        <v>0.13363371500957605</v>
      </c>
      <c r="BE279" s="133">
        <f t="shared" si="1141"/>
        <v>0.12362610765612858</v>
      </c>
      <c r="BF279" s="133">
        <f t="shared" ref="BF279:BG279" si="1142">BF277/BF275</f>
        <v>0.13690918843406924</v>
      </c>
      <c r="BG279" s="133">
        <f t="shared" si="1142"/>
        <v>0.14481172933120917</v>
      </c>
      <c r="BH279" s="133">
        <f t="shared" ref="BH279:BI279" si="1143">BH277/BH275</f>
        <v>0.14668700347825783</v>
      </c>
      <c r="BI279" s="133">
        <f t="shared" si="1143"/>
        <v>0.13895508622087449</v>
      </c>
      <c r="BJ279" s="44"/>
      <c r="BK279" s="44"/>
      <c r="BL279" s="44"/>
      <c r="BM279" s="44"/>
      <c r="BN279" s="44"/>
      <c r="BO279" s="44"/>
      <c r="BP279" s="44"/>
      <c r="BQ279" s="44"/>
      <c r="BR279" s="44"/>
      <c r="BS279" s="44"/>
      <c r="BT279" s="44"/>
      <c r="BU279" s="44"/>
      <c r="BV279" s="44"/>
      <c r="BW279" s="44"/>
      <c r="BX279" s="44"/>
      <c r="BY279" s="44"/>
      <c r="BZ279" s="44"/>
      <c r="CA279" s="44"/>
      <c r="CB279" s="44"/>
      <c r="CC279" s="44"/>
      <c r="CD279" s="44"/>
      <c r="CE279" s="44"/>
      <c r="CF279" s="44"/>
      <c r="CG279" s="46"/>
      <c r="CH279" s="44"/>
      <c r="CI279" s="44"/>
    </row>
    <row r="280" spans="2:87" ht="13.5" customHeight="1">
      <c r="C280" s="45"/>
      <c r="BJ280" s="44"/>
      <c r="BK280" s="44"/>
      <c r="BL280" s="44"/>
      <c r="BM280" s="44"/>
      <c r="BN280" s="44"/>
      <c r="BO280" s="44"/>
      <c r="BP280" s="44"/>
      <c r="BQ280" s="44"/>
      <c r="BR280" s="44"/>
      <c r="BS280" s="44"/>
      <c r="BT280" s="44"/>
      <c r="BU280" s="44"/>
      <c r="BV280" s="44"/>
      <c r="BW280" s="44"/>
      <c r="BX280" s="44"/>
      <c r="BY280" s="44"/>
      <c r="BZ280" s="44"/>
      <c r="CA280" s="44"/>
      <c r="CB280" s="44"/>
      <c r="CC280" s="44"/>
      <c r="CD280" s="44"/>
      <c r="CE280" s="44"/>
      <c r="CF280" s="44"/>
      <c r="CG280" s="46"/>
      <c r="CH280" s="44"/>
      <c r="CI280" s="44"/>
    </row>
    <row r="281" spans="2:87" s="5" customFormat="1" ht="13.5" customHeight="1" thickBot="1">
      <c r="B281" s="21" t="str">
        <f>B50</f>
        <v xml:space="preserve">Adj. EBITDA </v>
      </c>
      <c r="C281" s="53">
        <f t="shared" ref="C281:R281" si="1144">C50*C266</f>
        <v>1384.9624060150375</v>
      </c>
      <c r="D281" s="53">
        <f t="shared" si="1144"/>
        <v>1474.384858044164</v>
      </c>
      <c r="E281" s="53">
        <f t="shared" si="1144"/>
        <v>1570.3741819292802</v>
      </c>
      <c r="F281" s="53">
        <f t="shared" si="1144"/>
        <v>1445.7702879874614</v>
      </c>
      <c r="G281" s="53">
        <f t="shared" si="1144"/>
        <v>1650.5623000000001</v>
      </c>
      <c r="H281" s="53">
        <f t="shared" si="1144"/>
        <v>1650.3020000000001</v>
      </c>
      <c r="I281" s="53">
        <f t="shared" si="1144"/>
        <v>1735.3077467416622</v>
      </c>
      <c r="J281" s="53">
        <f t="shared" si="1144"/>
        <v>1922.6353246868841</v>
      </c>
      <c r="K281" s="53">
        <f t="shared" si="1144"/>
        <v>2060.8388251220549</v>
      </c>
      <c r="L281" s="53">
        <f t="shared" si="1144"/>
        <v>2429.1992680997337</v>
      </c>
      <c r="M281" s="53">
        <f t="shared" si="1144"/>
        <v>2339.9899900040787</v>
      </c>
      <c r="N281" s="53">
        <f t="shared" si="1144"/>
        <v>2661.8079925730499</v>
      </c>
      <c r="O281" s="53">
        <f t="shared" si="1144"/>
        <v>2661.8079925730499</v>
      </c>
      <c r="P281" s="53">
        <f t="shared" si="1144"/>
        <v>3090.6937675472536</v>
      </c>
      <c r="Q281" s="53">
        <f t="shared" si="1144"/>
        <v>3045.340171710192</v>
      </c>
      <c r="R281" s="53">
        <f t="shared" si="1144"/>
        <v>3101.0499096631479</v>
      </c>
      <c r="S281" s="53">
        <f>S54*S266</f>
        <v>3284.7694467161168</v>
      </c>
      <c r="U281" s="53">
        <f t="shared" ref="U281:AF281" si="1145">U50*U266</f>
        <v>320.51249999999999</v>
      </c>
      <c r="V281" s="53">
        <f t="shared" si="1145"/>
        <v>380.54752000000002</v>
      </c>
      <c r="W281" s="53">
        <f t="shared" si="1145"/>
        <v>427.70660000000004</v>
      </c>
      <c r="X281" s="53">
        <f t="shared" si="1145"/>
        <v>434.64447806354013</v>
      </c>
      <c r="Y281" s="53">
        <f t="shared" si="1145"/>
        <v>285.65481999999997</v>
      </c>
      <c r="Z281" s="53">
        <f t="shared" si="1145"/>
        <v>370.60405090518015</v>
      </c>
      <c r="AA281" s="53">
        <f t="shared" si="1145"/>
        <v>398.46642977370487</v>
      </c>
      <c r="AB281" s="53">
        <f t="shared" si="1145"/>
        <v>395.50885680661895</v>
      </c>
      <c r="AC281" s="53">
        <f t="shared" si="1145"/>
        <v>346.71465999999998</v>
      </c>
      <c r="AD281" s="53">
        <f t="shared" si="1145"/>
        <v>375.44472000000002</v>
      </c>
      <c r="AE281" s="53">
        <f t="shared" si="1145"/>
        <v>438.2928</v>
      </c>
      <c r="AF281" s="53">
        <f t="shared" si="1145"/>
        <v>475.94530000000003</v>
      </c>
      <c r="AG281" s="53">
        <f t="shared" ref="AG281:BH281" si="1146">AG54*AG266</f>
        <v>416.09834999999998</v>
      </c>
      <c r="AH281" s="53">
        <f t="shared" si="1146"/>
        <v>459.23115999999999</v>
      </c>
      <c r="AI281" s="53">
        <f t="shared" si="1146"/>
        <v>527.61937999999998</v>
      </c>
      <c r="AJ281" s="53">
        <f t="shared" si="1146"/>
        <v>562.05279465639842</v>
      </c>
      <c r="AK281" s="53">
        <f t="shared" si="1146"/>
        <v>422.80646020853567</v>
      </c>
      <c r="AL281" s="53">
        <f t="shared" si="1146"/>
        <v>487.20346762101235</v>
      </c>
      <c r="AM281" s="53">
        <f t="shared" si="1146"/>
        <v>537.00009333156345</v>
      </c>
      <c r="AN281" s="53">
        <f t="shared" si="1146"/>
        <v>611.20812644378088</v>
      </c>
      <c r="AO281" s="53">
        <f t="shared" si="1146"/>
        <v>517.73579999999993</v>
      </c>
      <c r="AP281" s="53">
        <f t="shared" si="1146"/>
        <v>600.75911896025309</v>
      </c>
      <c r="AQ281" s="53">
        <f t="shared" si="1146"/>
        <v>643.45506143418743</v>
      </c>
      <c r="AR281" s="53">
        <f t="shared" si="1146"/>
        <v>579.33356710781754</v>
      </c>
      <c r="AS281" s="53">
        <f t="shared" si="1146"/>
        <v>579.74081000000001</v>
      </c>
      <c r="AT281" s="53">
        <f t="shared" si="1146"/>
        <v>649.78504335706111</v>
      </c>
      <c r="AU281" s="53">
        <f t="shared" si="1146"/>
        <v>720.379842818209</v>
      </c>
      <c r="AV281" s="53">
        <f t="shared" si="1146"/>
        <v>713.93131000000005</v>
      </c>
      <c r="AW281" s="53">
        <f t="shared" si="1146"/>
        <v>688.87806</v>
      </c>
      <c r="AX281" s="53">
        <f t="shared" si="1146"/>
        <v>792.43894847052843</v>
      </c>
      <c r="AY281" s="53">
        <f t="shared" si="1146"/>
        <v>837.2099199536882</v>
      </c>
      <c r="AZ281" s="53">
        <f t="shared" si="1146"/>
        <v>775.70352000000003</v>
      </c>
      <c r="BA281" s="53">
        <f t="shared" si="1146"/>
        <v>699.26080000000013</v>
      </c>
      <c r="BB281" s="53">
        <f t="shared" si="1146"/>
        <v>809.64400731134128</v>
      </c>
      <c r="BC281" s="53">
        <f t="shared" si="1146"/>
        <v>826.26120000000003</v>
      </c>
      <c r="BD281" s="53">
        <f t="shared" si="1146"/>
        <v>698.07306122652369</v>
      </c>
      <c r="BE281" s="53">
        <f t="shared" si="1146"/>
        <v>628.13036020583183</v>
      </c>
      <c r="BF281" s="53">
        <f t="shared" si="1146"/>
        <v>764.28578757811135</v>
      </c>
      <c r="BG281" s="53">
        <f t="shared" si="1146"/>
        <v>846.82895407820934</v>
      </c>
      <c r="BH281" s="53">
        <f t="shared" si="1146"/>
        <v>872.34461054287976</v>
      </c>
      <c r="BI281" s="53">
        <f t="shared" ref="BI281" si="1147">BI54*BI266</f>
        <v>799.03905818593785</v>
      </c>
      <c r="BJ281" s="44"/>
      <c r="BK281" s="44"/>
      <c r="BL281" s="44"/>
      <c r="BM281" s="44"/>
      <c r="BN281" s="44"/>
      <c r="BO281" s="44"/>
      <c r="BP281" s="44"/>
      <c r="BQ281" s="44"/>
      <c r="BR281" s="44"/>
      <c r="BS281" s="44"/>
      <c r="BT281" s="44"/>
      <c r="BU281" s="44"/>
      <c r="BV281" s="44"/>
      <c r="BW281" s="44"/>
      <c r="BX281" s="44"/>
      <c r="BY281" s="44"/>
      <c r="BZ281" s="44"/>
      <c r="CA281" s="44"/>
      <c r="CB281" s="44"/>
      <c r="CC281" s="44"/>
      <c r="CD281" s="44"/>
      <c r="CE281" s="44"/>
      <c r="CF281" s="44"/>
      <c r="CG281" s="46"/>
      <c r="CH281" s="44"/>
      <c r="CI281" s="44"/>
    </row>
    <row r="282" spans="2:87" ht="13.5" customHeight="1" thickTop="1">
      <c r="B282" s="130" t="str">
        <f>B51</f>
        <v xml:space="preserve">% growth </v>
      </c>
      <c r="C282" s="131">
        <f>C281/(17251*0.07671)-1</f>
        <v>4.6578302995784693E-2</v>
      </c>
      <c r="D282" s="132">
        <f>D281/C281-1</f>
        <v>6.4566699890737489E-2</v>
      </c>
      <c r="E282" s="132">
        <f>E281/D281-1</f>
        <v>6.5104659317005042E-2</v>
      </c>
      <c r="F282" s="132">
        <f>F281/E281-1</f>
        <v>-7.9346626667497144E-2</v>
      </c>
      <c r="G282" s="132">
        <f>G281/F281-1</f>
        <v>0.14164906673909639</v>
      </c>
      <c r="H282" s="132">
        <f>+H281/F281-1</f>
        <v>0.14146902430624064</v>
      </c>
      <c r="I282" s="132">
        <f>I281/H281-1</f>
        <v>5.1509206643185257E-2</v>
      </c>
      <c r="J282" s="132">
        <f>J281/H281-1</f>
        <v>0.16502029609543212</v>
      </c>
      <c r="K282" s="132">
        <f>K281/J281-1</f>
        <v>7.1882326648543327E-2</v>
      </c>
      <c r="L282" s="132">
        <f>L281/K281-1</f>
        <v>0.17874296547953583</v>
      </c>
      <c r="M282" s="132">
        <f>M281/L281-1</f>
        <v>-3.6723738256944194E-2</v>
      </c>
      <c r="N282" s="132">
        <f>N281/L281-1</f>
        <v>9.5755308149453322E-2</v>
      </c>
      <c r="O282" s="132">
        <f>O281/M281-1</f>
        <v>0.1375296492479483</v>
      </c>
      <c r="P282" s="132">
        <f>+P281/O281-1</f>
        <v>0.16112573715717904</v>
      </c>
      <c r="Q282" s="132">
        <f>+Q281/P281-1</f>
        <v>-1.4674244440934681E-2</v>
      </c>
      <c r="R282" s="132">
        <f>+R281/Q281-1</f>
        <v>1.8293436795821183E-2</v>
      </c>
      <c r="S282" s="132"/>
      <c r="U282" s="132"/>
      <c r="V282" s="132"/>
      <c r="W282" s="132"/>
      <c r="X282" s="132"/>
      <c r="Y282" s="132">
        <f t="shared" ref="Y282:BI282" si="1148">Y281/U281-1</f>
        <v>-0.10875607035607038</v>
      </c>
      <c r="Z282" s="132">
        <f t="shared" si="1148"/>
        <v>-2.6129375629145857E-2</v>
      </c>
      <c r="AA282" s="132">
        <f t="shared" si="1148"/>
        <v>-6.8365019913873559E-2</v>
      </c>
      <c r="AB282" s="132">
        <f t="shared" si="1148"/>
        <v>-9.0040534809693318E-2</v>
      </c>
      <c r="AC282" s="132">
        <f t="shared" si="1148"/>
        <v>0.21375392860516063</v>
      </c>
      <c r="AD282" s="132">
        <f t="shared" si="1148"/>
        <v>1.3061565525246621E-2</v>
      </c>
      <c r="AE282" s="132">
        <f t="shared" si="1148"/>
        <v>9.9949123063925782E-2</v>
      </c>
      <c r="AF282" s="132">
        <f>AF281/AB281-1</f>
        <v>0.2033745687589239</v>
      </c>
      <c r="AG282" s="132">
        <f t="shared" si="1148"/>
        <v>0.20011755487927729</v>
      </c>
      <c r="AH282" s="132">
        <f t="shared" si="1148"/>
        <v>0.22316584982204568</v>
      </c>
      <c r="AI282" s="132">
        <f t="shared" si="1148"/>
        <v>0.20380572074193326</v>
      </c>
      <c r="AJ282" s="132">
        <f t="shared" si="1148"/>
        <v>0.18091888848655158</v>
      </c>
      <c r="AK282" s="132">
        <f t="shared" si="1148"/>
        <v>1.6121453518226359E-2</v>
      </c>
      <c r="AL282" s="132">
        <f t="shared" si="1148"/>
        <v>6.091117079470898E-2</v>
      </c>
      <c r="AM282" s="132">
        <f t="shared" si="1148"/>
        <v>1.77793191212261E-2</v>
      </c>
      <c r="AN282" s="132">
        <f t="shared" si="1148"/>
        <v>8.7456787431210437E-2</v>
      </c>
      <c r="AO282" s="132">
        <f t="shared" si="1148"/>
        <v>0.22452197098559812</v>
      </c>
      <c r="AP282" s="132">
        <f t="shared" si="1148"/>
        <v>0.23307644318240728</v>
      </c>
      <c r="AQ282" s="132">
        <f t="shared" si="1148"/>
        <v>0.19824012960998649</v>
      </c>
      <c r="AR282" s="132">
        <f t="shared" si="1148"/>
        <v>-5.2150090872352228E-2</v>
      </c>
      <c r="AS282" s="132">
        <f t="shared" si="1148"/>
        <v>0.11976187468589217</v>
      </c>
      <c r="AT282" s="132">
        <f t="shared" si="1148"/>
        <v>8.1606625433598534E-2</v>
      </c>
      <c r="AU282" s="132">
        <f t="shared" si="1148"/>
        <v>0.11954957850912717</v>
      </c>
      <c r="AV282" s="132">
        <f t="shared" si="1148"/>
        <v>0.23233202861717328</v>
      </c>
      <c r="AW282" s="132">
        <f t="shared" si="1148"/>
        <v>0.18825179824756511</v>
      </c>
      <c r="AX282" s="132">
        <f t="shared" si="1148"/>
        <v>0.21954014881053219</v>
      </c>
      <c r="AY282" s="132">
        <f t="shared" si="1148"/>
        <v>0.16217843725114034</v>
      </c>
      <c r="AZ282" s="132">
        <f t="shared" si="1148"/>
        <v>8.6524024279030387E-2</v>
      </c>
      <c r="BA282" s="132">
        <f t="shared" si="1148"/>
        <v>1.5071956276267784E-2</v>
      </c>
      <c r="BB282" s="132">
        <f t="shared" si="1148"/>
        <v>2.1711526009694504E-2</v>
      </c>
      <c r="BC282" s="132">
        <f t="shared" si="1148"/>
        <v>-1.3077628074800951E-2</v>
      </c>
      <c r="BD282" s="132">
        <f t="shared" si="1148"/>
        <v>-0.10007748678706052</v>
      </c>
      <c r="BE282" s="132">
        <f t="shared" si="1148"/>
        <v>-0.10172233277507947</v>
      </c>
      <c r="BF282" s="132">
        <f t="shared" si="1148"/>
        <v>-5.6022423835205171E-2</v>
      </c>
      <c r="BG282" s="132">
        <f t="shared" si="1148"/>
        <v>2.4892557073004751E-2</v>
      </c>
      <c r="BH282" s="132">
        <f t="shared" si="1148"/>
        <v>0.24964657568959714</v>
      </c>
      <c r="BI282" s="132">
        <f t="shared" si="1148"/>
        <v>0.27209112758711584</v>
      </c>
      <c r="BJ282" s="44"/>
      <c r="BK282" s="44"/>
      <c r="BL282" s="44"/>
      <c r="BM282" s="44"/>
      <c r="BN282" s="44"/>
      <c r="BO282" s="44"/>
      <c r="BP282" s="44"/>
      <c r="BQ282" s="44"/>
      <c r="BR282" s="44"/>
      <c r="BS282" s="44"/>
      <c r="BT282" s="44"/>
      <c r="BU282" s="44"/>
      <c r="BV282" s="44"/>
      <c r="BW282" s="44"/>
      <c r="BX282" s="44"/>
      <c r="BY282" s="44"/>
      <c r="BZ282" s="44"/>
      <c r="CA282" s="44"/>
      <c r="CB282" s="44"/>
      <c r="CC282" s="44"/>
      <c r="CD282" s="44"/>
      <c r="CE282" s="44"/>
      <c r="CF282" s="44"/>
      <c r="CG282" s="46"/>
      <c r="CH282" s="44"/>
      <c r="CI282" s="44"/>
    </row>
    <row r="283" spans="2:87" ht="13.5" customHeight="1">
      <c r="B283" s="130" t="str">
        <f>B52</f>
        <v>% margin</v>
      </c>
      <c r="C283" s="132">
        <f t="shared" ref="C283:AA283" si="1149">C281/C275</f>
        <v>9.8474948096164375E-2</v>
      </c>
      <c r="D283" s="132">
        <f t="shared" si="1149"/>
        <v>0.10661704800164665</v>
      </c>
      <c r="E283" s="132">
        <f t="shared" si="1149"/>
        <v>0.11619688522704022</v>
      </c>
      <c r="F283" s="132">
        <f t="shared" ref="F283:K283" si="1150">F281/F275</f>
        <v>0.10200534058963819</v>
      </c>
      <c r="G283" s="132">
        <f t="shared" si="1150"/>
        <v>0.10998523190253456</v>
      </c>
      <c r="H283" s="132">
        <f t="shared" si="1150"/>
        <v>0.1095674406711146</v>
      </c>
      <c r="I283" s="132">
        <f t="shared" si="1150"/>
        <v>0.11450168969807102</v>
      </c>
      <c r="J283" s="132">
        <f t="shared" si="1150"/>
        <v>0.12973501148611988</v>
      </c>
      <c r="K283" s="132">
        <f t="shared" si="1150"/>
        <v>0.13651389699418862</v>
      </c>
      <c r="L283" s="132">
        <f t="shared" ref="L283:N283" si="1151">L281/L275</f>
        <v>0.14095663632947064</v>
      </c>
      <c r="M283" s="132">
        <f t="shared" ref="M283" si="1152">M281/M275</f>
        <v>0.1398261218549173</v>
      </c>
      <c r="N283" s="132">
        <f t="shared" si="1151"/>
        <v>0.1340460407531115</v>
      </c>
      <c r="O283" s="132">
        <f t="shared" ref="O283" si="1153">O281/O275</f>
        <v>0.1340460407531115</v>
      </c>
      <c r="P283" s="132">
        <f>P281/P275</f>
        <v>0.13739646728429991</v>
      </c>
      <c r="Q283" s="132">
        <f>Q281/Q275</f>
        <v>0.13585415500788639</v>
      </c>
      <c r="R283" s="132">
        <f>R281/R275</f>
        <v>0.13925697177348592</v>
      </c>
      <c r="S283" s="132">
        <f t="shared" ref="S283" si="1154">S281/S275</f>
        <v>0.14325518399251957</v>
      </c>
      <c r="U283" s="132">
        <f t="shared" si="1149"/>
        <v>0.10118177864566533</v>
      </c>
      <c r="V283" s="132">
        <f t="shared" si="1149"/>
        <v>0.11277882184106382</v>
      </c>
      <c r="W283" s="132">
        <f t="shared" si="1149"/>
        <v>0.12307452627548293</v>
      </c>
      <c r="X283" s="132">
        <f t="shared" si="1149"/>
        <v>0.12516351926183641</v>
      </c>
      <c r="Y283" s="132">
        <f t="shared" si="1149"/>
        <v>8.756057376479702E-2</v>
      </c>
      <c r="Z283" s="132">
        <f t="shared" si="1149"/>
        <v>0.10584423423746764</v>
      </c>
      <c r="AA283" s="132">
        <f t="shared" si="1149"/>
        <v>0.10861028778300649</v>
      </c>
      <c r="AB283" s="132">
        <f t="shared" ref="AB283:AG283" si="1155">AB281/AB275</f>
        <v>0.10584915404349475</v>
      </c>
      <c r="AC283" s="132">
        <f t="shared" si="1155"/>
        <v>9.6702914574321994E-2</v>
      </c>
      <c r="AD283" s="132">
        <f t="shared" si="1155"/>
        <v>0.10323597414112841</v>
      </c>
      <c r="AE283" s="132">
        <f t="shared" si="1155"/>
        <v>0.11467005621830395</v>
      </c>
      <c r="AF283" s="132">
        <f t="shared" si="1155"/>
        <v>0.12363553042433986</v>
      </c>
      <c r="AG283" s="132">
        <f t="shared" si="1155"/>
        <v>0.11477128253767656</v>
      </c>
      <c r="AH283" s="132">
        <f t="shared" ref="AH283:AM283" si="1156">AH281/AH275</f>
        <v>0.12131490423423028</v>
      </c>
      <c r="AI283" s="132">
        <f t="shared" si="1156"/>
        <v>0.13677018091508122</v>
      </c>
      <c r="AJ283" s="132">
        <f t="shared" si="1156"/>
        <v>0.14469116190386824</v>
      </c>
      <c r="AK283" s="132">
        <f t="shared" si="1156"/>
        <v>0.11960364971363668</v>
      </c>
      <c r="AL283" s="132">
        <f t="shared" si="1156"/>
        <v>0.13163796746812104</v>
      </c>
      <c r="AM283" s="132">
        <f t="shared" si="1156"/>
        <v>0.14114164499969534</v>
      </c>
      <c r="AN283" s="132">
        <f t="shared" ref="AN283:AS283" si="1157">AN281/AN275</f>
        <v>0.15170269247348689</v>
      </c>
      <c r="AO283" s="132">
        <f t="shared" si="1157"/>
        <v>0.13461574937041892</v>
      </c>
      <c r="AP283" s="132">
        <f t="shared" si="1157"/>
        <v>0.14388554978643511</v>
      </c>
      <c r="AQ283" s="132">
        <f t="shared" si="1157"/>
        <v>0.14700266632422371</v>
      </c>
      <c r="AR283" s="132">
        <f t="shared" si="1157"/>
        <v>0.13343223893503461</v>
      </c>
      <c r="AS283" s="132">
        <f t="shared" si="1157"/>
        <v>0.12748519239719761</v>
      </c>
      <c r="AT283" s="132">
        <f t="shared" ref="AT283:AW283" si="1158">AT281/AT275</f>
        <v>0.1347237141403364</v>
      </c>
      <c r="AU283" s="132">
        <f t="shared" si="1158"/>
        <v>0.14107028591392237</v>
      </c>
      <c r="AV283" s="132">
        <f t="shared" si="1158"/>
        <v>0.13239402266475239</v>
      </c>
      <c r="AW283" s="132">
        <f t="shared" si="1158"/>
        <v>0.12913114844474705</v>
      </c>
      <c r="AX283" s="132">
        <f t="shared" ref="AX283:BA283" si="1159">AX281/AX275</f>
        <v>0.13950919823141153</v>
      </c>
      <c r="AY283" s="132">
        <f t="shared" si="1159"/>
        <v>0.14586360773665336</v>
      </c>
      <c r="AZ283" s="132">
        <f t="shared" si="1159"/>
        <v>0.13512494830101215</v>
      </c>
      <c r="BA283" s="132">
        <f t="shared" si="1159"/>
        <v>0.12678191760939539</v>
      </c>
      <c r="BB283" s="132">
        <f t="shared" ref="BB283:BE283" si="1160">BB281/BB275</f>
        <v>0.14225186279033517</v>
      </c>
      <c r="BC283" s="132">
        <f t="shared" si="1160"/>
        <v>0.14748267257764142</v>
      </c>
      <c r="BD283" s="132">
        <f t="shared" si="1160"/>
        <v>0.12670845443778708</v>
      </c>
      <c r="BE283" s="132">
        <f t="shared" si="1160"/>
        <v>0.12356645986903247</v>
      </c>
      <c r="BF283" s="132">
        <f t="shared" ref="BF283:BG283" si="1161">BF281/BF275</f>
        <v>0.13857348416426557</v>
      </c>
      <c r="BG283" s="132">
        <f t="shared" si="1161"/>
        <v>0.14686165778921334</v>
      </c>
      <c r="BH283" s="132">
        <f t="shared" ref="BH283:BI283" si="1162">BH281/BH275</f>
        <v>0.14742003171940588</v>
      </c>
      <c r="BI283" s="132">
        <f t="shared" si="1162"/>
        <v>0.13991402962712474</v>
      </c>
      <c r="BJ283" s="44"/>
      <c r="BK283" s="44"/>
      <c r="BL283" s="44"/>
      <c r="BM283" s="44"/>
      <c r="BN283" s="44"/>
      <c r="BO283" s="44"/>
      <c r="BP283" s="44"/>
      <c r="BQ283" s="44"/>
      <c r="BR283" s="44"/>
      <c r="BS283" s="44"/>
      <c r="BT283" s="44"/>
      <c r="BU283" s="44"/>
      <c r="BV283" s="44"/>
      <c r="BW283" s="44"/>
      <c r="BX283" s="44"/>
      <c r="BY283" s="44"/>
      <c r="BZ283" s="44"/>
      <c r="CA283" s="44"/>
      <c r="CB283" s="44"/>
      <c r="CC283" s="44"/>
      <c r="CD283" s="44"/>
      <c r="CE283" s="44"/>
      <c r="CF283" s="44"/>
      <c r="CG283" s="46"/>
      <c r="CH283" s="44"/>
      <c r="CI283" s="44"/>
    </row>
    <row r="284" spans="2:87" ht="13.5" customHeight="1">
      <c r="C284" s="45"/>
      <c r="BJ284" s="44"/>
      <c r="BK284" s="44"/>
      <c r="BL284" s="44"/>
      <c r="BM284" s="44"/>
      <c r="BN284" s="44"/>
      <c r="BO284" s="44"/>
      <c r="BP284" s="44"/>
      <c r="BQ284" s="44"/>
      <c r="BR284" s="44"/>
      <c r="BS284" s="44"/>
      <c r="BT284" s="44"/>
      <c r="BU284" s="44"/>
      <c r="BV284" s="44"/>
      <c r="BW284" s="44"/>
      <c r="BX284" s="44"/>
      <c r="BY284" s="44"/>
      <c r="BZ284" s="44"/>
      <c r="CA284" s="44"/>
      <c r="CB284" s="44"/>
      <c r="CC284" s="44"/>
      <c r="CD284" s="44"/>
      <c r="CE284" s="44"/>
      <c r="CF284" s="44"/>
      <c r="CG284" s="46"/>
      <c r="CH284" s="44"/>
      <c r="CI284" s="44"/>
    </row>
    <row r="285" spans="2:87" s="5" customFormat="1" ht="13.5" customHeight="1">
      <c r="B285" s="5" t="str">
        <f t="shared" ref="B285:B295" si="1163">B60</f>
        <v xml:space="preserve">Adjusted EBITDA </v>
      </c>
      <c r="C285" s="60">
        <f t="shared" ref="C285:S285" si="1164">C60*C266</f>
        <v>1384.9624060150375</v>
      </c>
      <c r="D285" s="60">
        <f t="shared" si="1164"/>
        <v>1474.384858044164</v>
      </c>
      <c r="E285" s="230">
        <f t="shared" si="1164"/>
        <v>1570.3741819292802</v>
      </c>
      <c r="F285" s="230">
        <f t="shared" si="1164"/>
        <v>1445.7702879874614</v>
      </c>
      <c r="G285" s="230">
        <f t="shared" si="1164"/>
        <v>1650.5623000000001</v>
      </c>
      <c r="H285" s="230">
        <f t="shared" si="1164"/>
        <v>1650.3020000000001</v>
      </c>
      <c r="I285" s="230">
        <f t="shared" si="1164"/>
        <v>1966.1733468661212</v>
      </c>
      <c r="J285" s="230">
        <f t="shared" si="1164"/>
        <v>1922.6353246868841</v>
      </c>
      <c r="K285" s="230">
        <f t="shared" si="1164"/>
        <v>2060.8388251220549</v>
      </c>
      <c r="L285" s="230">
        <f t="shared" si="1164"/>
        <v>2429.1992680997337</v>
      </c>
      <c r="M285" s="230">
        <f t="shared" si="1164"/>
        <v>2339.9899900040787</v>
      </c>
      <c r="N285" s="230">
        <f t="shared" si="1164"/>
        <v>2661.8079925730499</v>
      </c>
      <c r="O285" s="230">
        <f t="shared" si="1164"/>
        <v>2661.8079925730499</v>
      </c>
      <c r="P285" s="230">
        <f t="shared" si="1164"/>
        <v>3090.6937675472536</v>
      </c>
      <c r="Q285" s="230">
        <f t="shared" si="1164"/>
        <v>3045.340171710192</v>
      </c>
      <c r="R285" s="230">
        <f t="shared" si="1164"/>
        <v>3101.0499096631479</v>
      </c>
      <c r="S285" s="230">
        <f t="shared" si="1164"/>
        <v>3284.7694467161168</v>
      </c>
      <c r="U285" s="230">
        <f t="shared" ref="U285:BH285" si="1165">U60*U266</f>
        <v>320.51249999999999</v>
      </c>
      <c r="V285" s="230">
        <f t="shared" si="1165"/>
        <v>380.54752000000002</v>
      </c>
      <c r="W285" s="230">
        <f t="shared" si="1165"/>
        <v>427.70660000000004</v>
      </c>
      <c r="X285" s="230">
        <f t="shared" si="1165"/>
        <v>434.64447806354013</v>
      </c>
      <c r="Y285" s="230">
        <f t="shared" si="1165"/>
        <v>285.65481999999997</v>
      </c>
      <c r="Z285" s="230">
        <f t="shared" si="1165"/>
        <v>370.60405090518015</v>
      </c>
      <c r="AA285" s="230">
        <f t="shared" si="1165"/>
        <v>398.46642977370487</v>
      </c>
      <c r="AB285" s="230">
        <f t="shared" si="1165"/>
        <v>395.50885680661895</v>
      </c>
      <c r="AC285" s="230">
        <f t="shared" si="1165"/>
        <v>346.71465999999998</v>
      </c>
      <c r="AD285" s="230">
        <f t="shared" si="1165"/>
        <v>375.44472000000002</v>
      </c>
      <c r="AE285" s="230">
        <f t="shared" si="1165"/>
        <v>438.2928</v>
      </c>
      <c r="AF285" s="230">
        <f t="shared" si="1165"/>
        <v>475.94530000000003</v>
      </c>
      <c r="AG285" s="230">
        <f t="shared" si="1165"/>
        <v>416.09834999999998</v>
      </c>
      <c r="AH285" s="230">
        <f t="shared" si="1165"/>
        <v>459.23115999999999</v>
      </c>
      <c r="AI285" s="230">
        <f t="shared" si="1165"/>
        <v>527.61937999999998</v>
      </c>
      <c r="AJ285" s="230">
        <f t="shared" si="1165"/>
        <v>562.05279465639842</v>
      </c>
      <c r="AK285" s="230">
        <f t="shared" si="1165"/>
        <v>422.80646020853567</v>
      </c>
      <c r="AL285" s="230">
        <f t="shared" si="1165"/>
        <v>487.20346762101235</v>
      </c>
      <c r="AM285" s="230">
        <f t="shared" si="1165"/>
        <v>537.00009333156345</v>
      </c>
      <c r="AN285" s="230">
        <f t="shared" si="1165"/>
        <v>611.20812644378088</v>
      </c>
      <c r="AO285" s="230">
        <f t="shared" si="1165"/>
        <v>517.73579999999993</v>
      </c>
      <c r="AP285" s="230">
        <f t="shared" si="1165"/>
        <v>600.75911896025309</v>
      </c>
      <c r="AQ285" s="230">
        <f t="shared" si="1165"/>
        <v>643.45506143418743</v>
      </c>
      <c r="AR285" s="230">
        <f t="shared" si="1165"/>
        <v>579.33356710781754</v>
      </c>
      <c r="AS285" s="230">
        <f t="shared" si="1165"/>
        <v>579.74081000000001</v>
      </c>
      <c r="AT285" s="230">
        <f t="shared" si="1165"/>
        <v>649.78504335706111</v>
      </c>
      <c r="AU285" s="230">
        <f t="shared" si="1165"/>
        <v>720.379842818209</v>
      </c>
      <c r="AV285" s="230">
        <f t="shared" si="1165"/>
        <v>713.93131000000005</v>
      </c>
      <c r="AW285" s="230">
        <f t="shared" si="1165"/>
        <v>688.87806</v>
      </c>
      <c r="AX285" s="230">
        <f t="shared" si="1165"/>
        <v>792.43894847052843</v>
      </c>
      <c r="AY285" s="230">
        <f t="shared" si="1165"/>
        <v>837.2099199536882</v>
      </c>
      <c r="AZ285" s="230">
        <f t="shared" si="1165"/>
        <v>775.70352000000003</v>
      </c>
      <c r="BA285" s="230">
        <f t="shared" si="1165"/>
        <v>699.26080000000013</v>
      </c>
      <c r="BB285" s="230">
        <f t="shared" si="1165"/>
        <v>809.64400731134128</v>
      </c>
      <c r="BC285" s="230">
        <f t="shared" si="1165"/>
        <v>826.26120000000003</v>
      </c>
      <c r="BD285" s="230">
        <f t="shared" si="1165"/>
        <v>698.07306122652369</v>
      </c>
      <c r="BE285" s="230">
        <f t="shared" si="1165"/>
        <v>628.13036020583183</v>
      </c>
      <c r="BF285" s="230">
        <f t="shared" si="1165"/>
        <v>764.28578757811135</v>
      </c>
      <c r="BG285" s="230">
        <f t="shared" si="1165"/>
        <v>846.82895407820934</v>
      </c>
      <c r="BH285" s="230">
        <f t="shared" si="1165"/>
        <v>872.34461054287976</v>
      </c>
      <c r="BI285" s="230">
        <f t="shared" ref="BI285" si="1166">BI60*BI266</f>
        <v>799.03905818593785</v>
      </c>
      <c r="BJ285" s="44"/>
      <c r="BK285" s="44"/>
      <c r="BL285" s="44"/>
      <c r="BM285" s="44"/>
      <c r="BN285" s="44"/>
      <c r="BO285" s="44"/>
      <c r="BP285" s="44"/>
      <c r="BQ285" s="44"/>
      <c r="BR285" s="44"/>
      <c r="BS285" s="44"/>
      <c r="BT285" s="44"/>
      <c r="BU285" s="44"/>
      <c r="BV285" s="44"/>
      <c r="BW285" s="44"/>
      <c r="BX285" s="44"/>
      <c r="BY285" s="44"/>
      <c r="BZ285" s="44"/>
      <c r="CA285" s="44"/>
      <c r="CB285" s="44"/>
      <c r="CC285" s="44"/>
      <c r="CD285" s="44"/>
      <c r="CE285" s="44"/>
      <c r="CF285" s="44"/>
      <c r="CG285" s="46"/>
      <c r="CH285" s="44"/>
      <c r="CI285" s="44"/>
    </row>
    <row r="286" spans="2:87" ht="13.5" customHeight="1">
      <c r="B286" s="1" t="str">
        <f t="shared" si="1163"/>
        <v>Working Capital</v>
      </c>
      <c r="C286" s="54">
        <f t="shared" ref="C286:S286" si="1167">C61*C266</f>
        <v>-81.127819548872182</v>
      </c>
      <c r="D286" s="54">
        <f t="shared" si="1167"/>
        <v>22.208201892744476</v>
      </c>
      <c r="E286" s="231">
        <f t="shared" si="1167"/>
        <v>-159.88894070226783</v>
      </c>
      <c r="F286" s="231">
        <f t="shared" si="1167"/>
        <v>337.45146365269858</v>
      </c>
      <c r="G286" s="231">
        <f t="shared" si="1167"/>
        <v>-63.330989999999815</v>
      </c>
      <c r="H286" s="231">
        <f t="shared" si="1167"/>
        <v>-108.49304000000001</v>
      </c>
      <c r="I286" s="231">
        <f t="shared" si="1167"/>
        <v>137.39607718960849</v>
      </c>
      <c r="J286" s="231">
        <f t="shared" si="1167"/>
        <v>134.35364277478138</v>
      </c>
      <c r="K286" s="231">
        <f t="shared" si="1167"/>
        <v>101.76949537784272</v>
      </c>
      <c r="L286" s="231">
        <f t="shared" si="1167"/>
        <v>214.89146822477358</v>
      </c>
      <c r="M286" s="231">
        <f t="shared" si="1167"/>
        <v>148.24472807883964</v>
      </c>
      <c r="N286" s="231">
        <f t="shared" si="1167"/>
        <v>110.86414102564794</v>
      </c>
      <c r="O286" s="231">
        <f t="shared" si="1167"/>
        <v>-87.307302156396034</v>
      </c>
      <c r="P286" s="231">
        <f t="shared" si="1167"/>
        <v>-571.76062706364439</v>
      </c>
      <c r="Q286" s="231">
        <f t="shared" si="1167"/>
        <v>-607.19852683315867</v>
      </c>
      <c r="R286" s="231">
        <f t="shared" si="1167"/>
        <v>-306.93264236137264</v>
      </c>
      <c r="S286" s="231">
        <f t="shared" si="1167"/>
        <v>-150.5921839194188</v>
      </c>
      <c r="U286" s="231">
        <f t="shared" ref="U286:BH286" si="1168">U61*U266</f>
        <v>-125.43</v>
      </c>
      <c r="V286" s="231">
        <f t="shared" si="1168"/>
        <v>-110.61528</v>
      </c>
      <c r="W286" s="231">
        <f t="shared" si="1168"/>
        <v>-4.8530300000000004</v>
      </c>
      <c r="X286" s="231">
        <f t="shared" si="1168"/>
        <v>69.036812909732731</v>
      </c>
      <c r="Y286" s="231">
        <f t="shared" si="1168"/>
        <v>-50.505509999999994</v>
      </c>
      <c r="Z286" s="231">
        <f t="shared" si="1168"/>
        <v>40.060942821294134</v>
      </c>
      <c r="AA286" s="231">
        <f t="shared" si="1168"/>
        <v>-14.980362820273049</v>
      </c>
      <c r="AB286" s="231">
        <f t="shared" si="1168"/>
        <v>364.22757246693635</v>
      </c>
      <c r="AC286" s="231">
        <f t="shared" si="1168"/>
        <v>-180.15419733999997</v>
      </c>
      <c r="AD286" s="231">
        <f t="shared" si="1168"/>
        <v>-30.98488626000001</v>
      </c>
      <c r="AE286" s="231">
        <f t="shared" si="1168"/>
        <v>-59.946321600000033</v>
      </c>
      <c r="AF286" s="231">
        <f t="shared" si="1168"/>
        <v>197.2663612000002</v>
      </c>
      <c r="AG286" s="231">
        <f t="shared" si="1168"/>
        <v>-164.56494330000001</v>
      </c>
      <c r="AH286" s="231">
        <f t="shared" si="1168"/>
        <v>111.1246242</v>
      </c>
      <c r="AI286" s="231">
        <f t="shared" si="1168"/>
        <v>14.223544000000004</v>
      </c>
      <c r="AJ286" s="231">
        <f t="shared" si="1168"/>
        <v>176.210770198978</v>
      </c>
      <c r="AK286" s="231">
        <f t="shared" si="1168"/>
        <v>-69.606372406397611</v>
      </c>
      <c r="AL286" s="231">
        <f t="shared" si="1168"/>
        <v>-3.7296014373657145</v>
      </c>
      <c r="AM286" s="231">
        <f t="shared" si="1168"/>
        <v>-57.426417495263514</v>
      </c>
      <c r="AN286" s="231">
        <f t="shared" si="1168"/>
        <v>242.35005834606031</v>
      </c>
      <c r="AO286" s="231">
        <f t="shared" si="1168"/>
        <v>-52.634869199999997</v>
      </c>
      <c r="AP286" s="231">
        <f t="shared" si="1168"/>
        <v>-16.185963525344274</v>
      </c>
      <c r="AQ286" s="231">
        <f t="shared" si="1168"/>
        <v>-25.999545579981941</v>
      </c>
      <c r="AR286" s="231">
        <f t="shared" si="1168"/>
        <v>244.24955719282022</v>
      </c>
      <c r="AS286" s="231">
        <f t="shared" si="1168"/>
        <v>-170.70382142000003</v>
      </c>
      <c r="AT286" s="231">
        <f t="shared" si="1168"/>
        <v>115.00019932712556</v>
      </c>
      <c r="AU286" s="231">
        <f t="shared" si="1168"/>
        <v>-18.941743573353563</v>
      </c>
      <c r="AV286" s="231">
        <f t="shared" si="1168"/>
        <v>193.64107642000008</v>
      </c>
      <c r="AW286" s="231">
        <f t="shared" si="1168"/>
        <v>-251.59941018000001</v>
      </c>
      <c r="AX286" s="231">
        <f t="shared" si="1168"/>
        <v>-307.01983644132548</v>
      </c>
      <c r="AY286" s="231">
        <f t="shared" si="1168"/>
        <v>-92.609757412182759</v>
      </c>
      <c r="AZ286" s="231">
        <f t="shared" si="1168"/>
        <v>88.702346969999908</v>
      </c>
      <c r="BA286" s="231">
        <f t="shared" si="1168"/>
        <v>-102.16576070000002</v>
      </c>
      <c r="BB286" s="231">
        <f t="shared" si="1168"/>
        <v>-349.62764383323179</v>
      </c>
      <c r="BC286" s="231">
        <f t="shared" si="1168"/>
        <v>-151.13527154999994</v>
      </c>
      <c r="BD286" s="231">
        <f t="shared" si="1168"/>
        <v>-21.929779102157106</v>
      </c>
      <c r="BE286" s="231">
        <f t="shared" si="1168"/>
        <v>-20.910120068610635</v>
      </c>
      <c r="BF286" s="231">
        <f t="shared" si="1168"/>
        <v>-149.64184204315751</v>
      </c>
      <c r="BG286" s="231">
        <f t="shared" si="1168"/>
        <v>-43.892911779704221</v>
      </c>
      <c r="BH286" s="231">
        <f t="shared" si="1168"/>
        <v>-94.1774849200105</v>
      </c>
      <c r="BI286" s="231">
        <f t="shared" ref="BI286" si="1169">BI61*BI266</f>
        <v>152.36307433067103</v>
      </c>
      <c r="BJ286" s="44"/>
      <c r="BK286" s="44"/>
      <c r="BL286" s="44"/>
      <c r="BM286" s="44"/>
      <c r="BN286" s="44"/>
      <c r="BO286" s="44"/>
      <c r="BP286" s="44"/>
      <c r="BQ286" s="44"/>
      <c r="BR286" s="44"/>
      <c r="BS286" s="44"/>
      <c r="BT286" s="44"/>
      <c r="BU286" s="44"/>
      <c r="BV286" s="44"/>
      <c r="BW286" s="44"/>
      <c r="BX286" s="44"/>
      <c r="BY286" s="44"/>
      <c r="BZ286" s="44"/>
      <c r="CA286" s="44"/>
      <c r="CB286" s="44"/>
      <c r="CC286" s="44"/>
      <c r="CD286" s="44"/>
      <c r="CE286" s="44"/>
      <c r="CF286" s="44"/>
      <c r="CG286" s="46"/>
      <c r="CH286" s="44"/>
      <c r="CI286" s="44"/>
    </row>
    <row r="287" spans="2:87" ht="13.5" customHeight="1">
      <c r="B287" s="1" t="str">
        <f t="shared" si="1163"/>
        <v>Taxes</v>
      </c>
      <c r="C287" s="54">
        <f t="shared" ref="C287:S287" si="1170">C62*C266</f>
        <v>-294.80706766917291</v>
      </c>
      <c r="D287" s="54">
        <f t="shared" si="1170"/>
        <v>-245.04466876971608</v>
      </c>
      <c r="E287" s="231">
        <f t="shared" si="1170"/>
        <v>-252.2472355775673</v>
      </c>
      <c r="F287" s="231">
        <f t="shared" si="1170"/>
        <v>-235.49731968538595</v>
      </c>
      <c r="G287" s="231">
        <f t="shared" si="1170"/>
        <v>-225.26362</v>
      </c>
      <c r="H287" s="231">
        <f t="shared" si="1170"/>
        <v>-225.26362</v>
      </c>
      <c r="I287" s="231">
        <f t="shared" si="1170"/>
        <v>-205.65084033429744</v>
      </c>
      <c r="J287" s="231">
        <f t="shared" si="1170"/>
        <v>-201.09700439611603</v>
      </c>
      <c r="K287" s="231">
        <f t="shared" si="1170"/>
        <v>-264.00100955755426</v>
      </c>
      <c r="L287" s="231">
        <f t="shared" si="1170"/>
        <v>-374.31842618512826</v>
      </c>
      <c r="M287" s="231">
        <f t="shared" si="1170"/>
        <v>-347.59278859094337</v>
      </c>
      <c r="N287" s="231">
        <f t="shared" si="1170"/>
        <v>-588.90692682805116</v>
      </c>
      <c r="O287" s="231">
        <f t="shared" si="1170"/>
        <v>-588.90692682805116</v>
      </c>
      <c r="P287" s="231">
        <f t="shared" si="1170"/>
        <v>-778.02401772497467</v>
      </c>
      <c r="Q287" s="231">
        <f t="shared" si="1170"/>
        <v>-355.28652098916132</v>
      </c>
      <c r="R287" s="231">
        <f t="shared" si="1170"/>
        <v>-467.04452872832735</v>
      </c>
      <c r="S287" s="231">
        <f t="shared" si="1170"/>
        <v>-455.16558928827493</v>
      </c>
      <c r="U287" s="231">
        <f t="shared" ref="U287:BH287" si="1171">U62*U266</f>
        <v>-42.086427</v>
      </c>
      <c r="V287" s="231">
        <f t="shared" si="1171"/>
        <v>-52.965426400000005</v>
      </c>
      <c r="W287" s="231">
        <f t="shared" si="1171"/>
        <v>-63.599011480000001</v>
      </c>
      <c r="X287" s="231">
        <f t="shared" si="1171"/>
        <v>-90.625365607665145</v>
      </c>
      <c r="Y287" s="231">
        <f t="shared" si="1171"/>
        <v>-41.610270249999999</v>
      </c>
      <c r="Z287" s="231">
        <f t="shared" si="1171"/>
        <v>-40.918408316902664</v>
      </c>
      <c r="AA287" s="231">
        <f t="shared" si="1171"/>
        <v>-76.87838040022443</v>
      </c>
      <c r="AB287" s="231">
        <f t="shared" si="1171"/>
        <v>-77.482597715657178</v>
      </c>
      <c r="AC287" s="231">
        <f t="shared" si="1171"/>
        <v>-55.724531140000003</v>
      </c>
      <c r="AD287" s="231">
        <f t="shared" si="1171"/>
        <v>-46.325087459999999</v>
      </c>
      <c r="AE287" s="231">
        <f t="shared" si="1171"/>
        <v>-66.749918399999999</v>
      </c>
      <c r="AF287" s="231">
        <f t="shared" si="1171"/>
        <v>-55.324882600000009</v>
      </c>
      <c r="AG287" s="231">
        <f t="shared" si="1171"/>
        <v>-48.894396119999996</v>
      </c>
      <c r="AH287" s="231">
        <f t="shared" si="1171"/>
        <v>-23.371327859999994</v>
      </c>
      <c r="AI287" s="231">
        <f t="shared" si="1171"/>
        <v>-35.772830679999991</v>
      </c>
      <c r="AJ287" s="231">
        <f t="shared" si="1171"/>
        <v>-97.357987110996973</v>
      </c>
      <c r="AK287" s="231">
        <f t="shared" si="1171"/>
        <v>-52.101168203764423</v>
      </c>
      <c r="AL287" s="231">
        <f t="shared" si="1171"/>
        <v>-83.742930554847902</v>
      </c>
      <c r="AM287" s="231">
        <f t="shared" si="1171"/>
        <v>-42.783298517563381</v>
      </c>
      <c r="AN287" s="231">
        <f t="shared" si="1171"/>
        <v>-84.592178128328868</v>
      </c>
      <c r="AO287" s="231">
        <f t="shared" si="1171"/>
        <v>-62.630722800000001</v>
      </c>
      <c r="AP287" s="231">
        <f t="shared" si="1171"/>
        <v>-87.945534043238652</v>
      </c>
      <c r="AQ287" s="231">
        <f t="shared" si="1171"/>
        <v>-100.14157189038762</v>
      </c>
      <c r="AR287" s="231">
        <f t="shared" si="1171"/>
        <v>-97.339130788560539</v>
      </c>
      <c r="AS287" s="231">
        <f t="shared" si="1171"/>
        <v>-98.686436639999997</v>
      </c>
      <c r="AT287" s="231">
        <f t="shared" si="1171"/>
        <v>-134.19306499970759</v>
      </c>
      <c r="AU287" s="231">
        <f t="shared" si="1171"/>
        <v>-126.68757351450915</v>
      </c>
      <c r="AV287" s="231">
        <f t="shared" si="1171"/>
        <v>-231.95765957000006</v>
      </c>
      <c r="AW287" s="231">
        <f t="shared" si="1171"/>
        <v>-340.02151974000003</v>
      </c>
      <c r="AX287" s="231">
        <f t="shared" si="1171"/>
        <v>-175.44401369591671</v>
      </c>
      <c r="AY287" s="231">
        <f t="shared" si="1171"/>
        <v>-117.36216643841011</v>
      </c>
      <c r="AZ287" s="231">
        <f t="shared" si="1171"/>
        <v>-134.25174197999999</v>
      </c>
      <c r="BA287" s="231">
        <f t="shared" si="1171"/>
        <v>-137.35550680000003</v>
      </c>
      <c r="BB287" s="231">
        <f t="shared" si="1171"/>
        <v>-74.946412510517305</v>
      </c>
      <c r="BC287" s="231">
        <f t="shared" si="1171"/>
        <v>-87.108798330000013</v>
      </c>
      <c r="BD287" s="231">
        <f t="shared" si="1171"/>
        <v>-59.769335412918956</v>
      </c>
      <c r="BE287" s="231">
        <f t="shared" si="1171"/>
        <v>-143.70227885322223</v>
      </c>
      <c r="BF287" s="231">
        <f t="shared" si="1171"/>
        <v>-102.02981827883065</v>
      </c>
      <c r="BG287" s="231">
        <f t="shared" si="1171"/>
        <v>-105.67293808207413</v>
      </c>
      <c r="BH287" s="231">
        <f t="shared" si="1171"/>
        <v>-112.82656919311131</v>
      </c>
      <c r="BI287" s="231">
        <f t="shared" ref="BI287" si="1172">BI62*BI266</f>
        <v>-135.79047141938167</v>
      </c>
      <c r="BJ287" s="44"/>
      <c r="BK287" s="44"/>
      <c r="BL287" s="44"/>
      <c r="BM287" s="44"/>
      <c r="BN287" s="44"/>
      <c r="BO287" s="44"/>
      <c r="BP287" s="44"/>
      <c r="BQ287" s="44"/>
      <c r="BR287" s="44"/>
      <c r="BS287" s="44"/>
      <c r="BT287" s="44"/>
      <c r="BU287" s="44"/>
      <c r="BV287" s="44"/>
      <c r="BW287" s="44"/>
      <c r="BX287" s="44"/>
      <c r="BY287" s="44"/>
      <c r="BZ287" s="44"/>
      <c r="CA287" s="44"/>
      <c r="CB287" s="44"/>
      <c r="CC287" s="44"/>
      <c r="CD287" s="44"/>
      <c r="CE287" s="44"/>
      <c r="CF287" s="44"/>
      <c r="CG287" s="46"/>
      <c r="CH287" s="44"/>
      <c r="CI287" s="44"/>
    </row>
    <row r="288" spans="2:87" ht="13.5" customHeight="1">
      <c r="B288" s="1" t="str">
        <f t="shared" si="1163"/>
        <v>Cash interest paid</v>
      </c>
      <c r="C288" s="54">
        <f t="shared" ref="C288:S288" si="1173">C63*C266</f>
        <v>-215.94857142857143</v>
      </c>
      <c r="D288" s="54">
        <f t="shared" si="1173"/>
        <v>-245.9957097791798</v>
      </c>
      <c r="E288" s="231">
        <f t="shared" si="1173"/>
        <v>-233.04292827777689</v>
      </c>
      <c r="F288" s="231">
        <f t="shared" si="1173"/>
        <v>-234.64860251141675</v>
      </c>
      <c r="G288" s="231">
        <f t="shared" si="1173"/>
        <v>-365.85029644000002</v>
      </c>
      <c r="H288" s="231">
        <f t="shared" si="1173"/>
        <v>-365.84134211999998</v>
      </c>
      <c r="I288" s="231">
        <f t="shared" si="1173"/>
        <v>-326.26672107681168</v>
      </c>
      <c r="J288" s="231">
        <f t="shared" si="1173"/>
        <v>-317.58475398967647</v>
      </c>
      <c r="K288" s="231">
        <f t="shared" si="1173"/>
        <v>-320.66630230495309</v>
      </c>
      <c r="L288" s="231">
        <f t="shared" si="1173"/>
        <v>-358.96405718080405</v>
      </c>
      <c r="M288" s="231">
        <f t="shared" si="1173"/>
        <v>-358.96405718080405</v>
      </c>
      <c r="N288" s="231">
        <f t="shared" si="1173"/>
        <v>-319.14866161309766</v>
      </c>
      <c r="O288" s="231">
        <f t="shared" si="1173"/>
        <v>-319.14866161309766</v>
      </c>
      <c r="P288" s="231">
        <f t="shared" si="1173"/>
        <v>-444.21435234625039</v>
      </c>
      <c r="Q288" s="231">
        <f t="shared" si="1173"/>
        <v>-494.73190854203472</v>
      </c>
      <c r="R288" s="231">
        <f t="shared" si="1173"/>
        <v>-622.38540057300463</v>
      </c>
      <c r="S288" s="231">
        <f t="shared" si="1173"/>
        <v>-654.45291704606734</v>
      </c>
      <c r="U288" s="231">
        <f t="shared" ref="U288:BH288" si="1174">U63*U266</f>
        <v>-46.781782499999998</v>
      </c>
      <c r="V288" s="231">
        <f t="shared" si="1174"/>
        <v>-68.80596568</v>
      </c>
      <c r="W288" s="231">
        <f t="shared" si="1174"/>
        <v>-49.085145320000002</v>
      </c>
      <c r="X288" s="231">
        <f t="shared" si="1174"/>
        <v>-67.564901664145239</v>
      </c>
      <c r="Y288" s="231">
        <f t="shared" si="1174"/>
        <v>-57.257153719999998</v>
      </c>
      <c r="Z288" s="231">
        <f t="shared" si="1174"/>
        <v>-63.050224054490052</v>
      </c>
      <c r="AA288" s="231">
        <f t="shared" si="1174"/>
        <v>-55.248924630633972</v>
      </c>
      <c r="AB288" s="231">
        <f t="shared" si="1174"/>
        <v>-58.57007850123847</v>
      </c>
      <c r="AC288" s="231">
        <f t="shared" si="1174"/>
        <v>-74.173338859999987</v>
      </c>
      <c r="AD288" s="231">
        <f t="shared" si="1174"/>
        <v>-96.512394239999992</v>
      </c>
      <c r="AE288" s="231">
        <f t="shared" si="1174"/>
        <v>-80.213918400000026</v>
      </c>
      <c r="AF288" s="231">
        <f t="shared" si="1174"/>
        <v>-110.84899224999999</v>
      </c>
      <c r="AG288" s="231">
        <f t="shared" si="1174"/>
        <v>-68.161755959999994</v>
      </c>
      <c r="AH288" s="231">
        <f t="shared" si="1174"/>
        <v>-99.214709540000001</v>
      </c>
      <c r="AI288" s="231">
        <f t="shared" si="1174"/>
        <v>-46.312095979999988</v>
      </c>
      <c r="AJ288" s="231">
        <f t="shared" si="1174"/>
        <v>-112.86926770320073</v>
      </c>
      <c r="AK288" s="231">
        <f t="shared" si="1174"/>
        <v>-63.08230576030985</v>
      </c>
      <c r="AL288" s="231">
        <f t="shared" si="1174"/>
        <v>-83.546978390947586</v>
      </c>
      <c r="AM288" s="231">
        <f t="shared" si="1174"/>
        <v>-68.756143906999384</v>
      </c>
      <c r="AN288" s="231">
        <f t="shared" si="1174"/>
        <v>-105.12808405083311</v>
      </c>
      <c r="AO288" s="231">
        <f t="shared" si="1174"/>
        <v>-77.046308999999994</v>
      </c>
      <c r="AP288" s="231">
        <f t="shared" si="1174"/>
        <v>-100.07986166576107</v>
      </c>
      <c r="AQ288" s="231">
        <f t="shared" si="1174"/>
        <v>-74.493263525148265</v>
      </c>
      <c r="AR288" s="231">
        <f t="shared" si="1174"/>
        <v>-107.57833167245153</v>
      </c>
      <c r="AS288" s="231">
        <f t="shared" si="1174"/>
        <v>-78.210285560000003</v>
      </c>
      <c r="AT288" s="231">
        <f t="shared" si="1174"/>
        <v>-58.161863118087027</v>
      </c>
      <c r="AU288" s="231">
        <f t="shared" si="1174"/>
        <v>-94.642664423751825</v>
      </c>
      <c r="AV288" s="231">
        <f t="shared" si="1174"/>
        <v>-88.129182849999978</v>
      </c>
      <c r="AW288" s="231">
        <f t="shared" si="1174"/>
        <v>-75.776265120000005</v>
      </c>
      <c r="AX288" s="231">
        <f t="shared" si="1174"/>
        <v>-153.97555109086281</v>
      </c>
      <c r="AY288" s="231">
        <f t="shared" si="1174"/>
        <v>-77.606471850737094</v>
      </c>
      <c r="AZ288" s="231">
        <f t="shared" si="1174"/>
        <v>-137.90391777000002</v>
      </c>
      <c r="BA288" s="231">
        <f t="shared" si="1174"/>
        <v>-77.980537200000015</v>
      </c>
      <c r="BB288" s="231">
        <f t="shared" si="1174"/>
        <v>-137.98810456378564</v>
      </c>
      <c r="BC288" s="231">
        <f t="shared" si="1174"/>
        <v>-170.25487118999996</v>
      </c>
      <c r="BD288" s="231">
        <f t="shared" si="1174"/>
        <v>-104.01537763913871</v>
      </c>
      <c r="BE288" s="231">
        <f t="shared" si="1174"/>
        <v>-158.62715020828225</v>
      </c>
      <c r="BF288" s="231">
        <f t="shared" si="1174"/>
        <v>-119.26690745662192</v>
      </c>
      <c r="BG288" s="231">
        <f t="shared" si="1174"/>
        <v>-163.96382082181492</v>
      </c>
      <c r="BH288" s="231">
        <f t="shared" si="1174"/>
        <v>-181.22645117580205</v>
      </c>
      <c r="BI288" s="231">
        <f t="shared" ref="BI288" si="1175">BI63*BI266</f>
        <v>-193.13797598784024</v>
      </c>
      <c r="BJ288" s="44"/>
      <c r="BK288" s="44"/>
      <c r="BL288" s="44"/>
      <c r="BM288" s="44"/>
      <c r="BN288" s="44"/>
      <c r="BO288" s="44"/>
      <c r="BP288" s="44"/>
      <c r="BQ288" s="44"/>
      <c r="BR288" s="44"/>
      <c r="BS288" s="44"/>
      <c r="BT288" s="44"/>
      <c r="BU288" s="44"/>
      <c r="BV288" s="44"/>
      <c r="BW288" s="44"/>
      <c r="BX288" s="44"/>
      <c r="BY288" s="44"/>
      <c r="BZ288" s="44"/>
      <c r="CA288" s="44"/>
      <c r="CB288" s="44"/>
      <c r="CC288" s="44"/>
      <c r="CD288" s="44"/>
      <c r="CE288" s="44"/>
      <c r="CF288" s="44"/>
      <c r="CG288" s="46"/>
      <c r="CH288" s="44"/>
      <c r="CI288" s="44"/>
    </row>
    <row r="289" spans="2:87" s="5" customFormat="1" ht="13.5" customHeight="1" thickBot="1">
      <c r="B289" s="21" t="str">
        <f t="shared" si="1163"/>
        <v xml:space="preserve">Net cash from operations </v>
      </c>
      <c r="C289" s="55">
        <f t="shared" ref="C289:S289" si="1176">C64*C266</f>
        <v>793.07894736842093</v>
      </c>
      <c r="D289" s="55">
        <f t="shared" si="1176"/>
        <v>1005.5526813880127</v>
      </c>
      <c r="E289" s="233">
        <f t="shared" si="1176"/>
        <v>925.19507737166805</v>
      </c>
      <c r="F289" s="233">
        <f t="shared" si="1176"/>
        <v>1313.0758294433572</v>
      </c>
      <c r="G289" s="233">
        <f t="shared" si="1176"/>
        <v>996.11739356000032</v>
      </c>
      <c r="H289" s="233">
        <f t="shared" si="1176"/>
        <v>950.70399788000009</v>
      </c>
      <c r="I289" s="233">
        <f t="shared" si="1176"/>
        <v>1571.6518626446209</v>
      </c>
      <c r="J289" s="233">
        <f t="shared" si="1176"/>
        <v>1538.3072090758733</v>
      </c>
      <c r="K289" s="233">
        <f t="shared" si="1176"/>
        <v>1577.9410086373905</v>
      </c>
      <c r="L289" s="233">
        <f t="shared" si="1176"/>
        <v>1910.8082529585747</v>
      </c>
      <c r="M289" s="233">
        <f t="shared" si="1176"/>
        <v>1781.6778723111709</v>
      </c>
      <c r="N289" s="233">
        <f t="shared" si="1176"/>
        <v>1864.6165451575487</v>
      </c>
      <c r="O289" s="233">
        <f t="shared" si="1176"/>
        <v>1666.4451019755049</v>
      </c>
      <c r="P289" s="233">
        <f t="shared" si="1176"/>
        <v>1296.6947704123843</v>
      </c>
      <c r="Q289" s="233">
        <f t="shared" si="1176"/>
        <v>1588.1232153458375</v>
      </c>
      <c r="R289" s="233">
        <f t="shared" si="1176"/>
        <v>1704.6873380004431</v>
      </c>
      <c r="S289" s="233">
        <f t="shared" si="1176"/>
        <v>2024.5587564623561</v>
      </c>
      <c r="U289" s="233">
        <f t="shared" ref="U289:BH289" si="1177">U64*U266</f>
        <v>106.21429050000002</v>
      </c>
      <c r="V289" s="233">
        <f t="shared" si="1177"/>
        <v>148.16084792000001</v>
      </c>
      <c r="W289" s="233">
        <f t="shared" si="1177"/>
        <v>310.16941319999995</v>
      </c>
      <c r="X289" s="233">
        <f t="shared" si="1177"/>
        <v>345.4910237014625</v>
      </c>
      <c r="Y289" s="233">
        <f t="shared" si="1177"/>
        <v>136.28188602999998</v>
      </c>
      <c r="Z289" s="233">
        <f t="shared" si="1177"/>
        <v>306.69636135508154</v>
      </c>
      <c r="AA289" s="233">
        <f t="shared" si="1177"/>
        <v>251.35876192257342</v>
      </c>
      <c r="AB289" s="233">
        <f t="shared" si="1177"/>
        <v>623.6837530566595</v>
      </c>
      <c r="AC289" s="233">
        <f t="shared" si="1177"/>
        <v>36.662592660000023</v>
      </c>
      <c r="AD289" s="233">
        <f t="shared" si="1177"/>
        <v>201.62235203999998</v>
      </c>
      <c r="AE289" s="233">
        <f t="shared" si="1177"/>
        <v>231.38264159999991</v>
      </c>
      <c r="AF289" s="233">
        <f t="shared" si="1177"/>
        <v>507.0377863500002</v>
      </c>
      <c r="AG289" s="233">
        <f t="shared" si="1177"/>
        <v>134.47725461999997</v>
      </c>
      <c r="AH289" s="233">
        <f t="shared" si="1177"/>
        <v>447.76974680000001</v>
      </c>
      <c r="AI289" s="233">
        <f t="shared" si="1177"/>
        <v>459.75799734000003</v>
      </c>
      <c r="AJ289" s="233">
        <f t="shared" si="1177"/>
        <v>528.03631004117881</v>
      </c>
      <c r="AK289" s="233">
        <f t="shared" si="1177"/>
        <v>238.01661383806376</v>
      </c>
      <c r="AL289" s="233">
        <f t="shared" si="1177"/>
        <v>316.18395723785113</v>
      </c>
      <c r="AM289" s="233">
        <f t="shared" si="1177"/>
        <v>368.0342334117372</v>
      </c>
      <c r="AN289" s="233">
        <f t="shared" si="1177"/>
        <v>663.83792261067924</v>
      </c>
      <c r="AO289" s="233">
        <f t="shared" si="1177"/>
        <v>325.42389899999989</v>
      </c>
      <c r="AP289" s="233">
        <f t="shared" si="1177"/>
        <v>396.54775972590915</v>
      </c>
      <c r="AQ289" s="233">
        <f t="shared" si="1177"/>
        <v>442.82068043866951</v>
      </c>
      <c r="AR289" s="233">
        <f t="shared" si="1177"/>
        <v>618.66566183962573</v>
      </c>
      <c r="AS289" s="233">
        <f t="shared" si="1177"/>
        <v>232.14026638000004</v>
      </c>
      <c r="AT289" s="233">
        <f t="shared" si="1177"/>
        <v>572.4303145663921</v>
      </c>
      <c r="AU289" s="233">
        <f t="shared" si="1177"/>
        <v>480.10786130659443</v>
      </c>
      <c r="AV289" s="233">
        <f t="shared" si="1177"/>
        <v>587.48554400000023</v>
      </c>
      <c r="AW289" s="233">
        <f t="shared" si="1177"/>
        <v>21.480864960000027</v>
      </c>
      <c r="AX289" s="233">
        <f t="shared" si="1177"/>
        <v>155.99954724242346</v>
      </c>
      <c r="AY289" s="233">
        <f t="shared" si="1177"/>
        <v>549.6315242523583</v>
      </c>
      <c r="AZ289" s="233">
        <f t="shared" si="1177"/>
        <v>592.25020721999988</v>
      </c>
      <c r="BA289" s="233">
        <f t="shared" si="1177"/>
        <v>381.75899529999998</v>
      </c>
      <c r="BB289" s="233">
        <f t="shared" si="1177"/>
        <v>247.08184640380654</v>
      </c>
      <c r="BC289" s="233">
        <f t="shared" si="1177"/>
        <v>417.76225893000003</v>
      </c>
      <c r="BD289" s="233">
        <f t="shared" si="1177"/>
        <v>512.3585690723088</v>
      </c>
      <c r="BE289" s="233">
        <f t="shared" si="1177"/>
        <v>304.89081107571661</v>
      </c>
      <c r="BF289" s="233">
        <f t="shared" si="1177"/>
        <v>393.34721979950137</v>
      </c>
      <c r="BG289" s="233">
        <f t="shared" si="1177"/>
        <v>533.29928339461605</v>
      </c>
      <c r="BH289" s="233">
        <f t="shared" si="1177"/>
        <v>484.11410525395598</v>
      </c>
      <c r="BI289" s="233">
        <f t="shared" ref="BI289" si="1178">BI64*BI266</f>
        <v>622.47368510938679</v>
      </c>
      <c r="BJ289" s="44"/>
      <c r="BK289" s="44"/>
      <c r="BL289" s="44"/>
      <c r="BM289" s="44"/>
      <c r="BN289" s="44"/>
      <c r="BO289" s="44"/>
      <c r="BP289" s="44"/>
      <c r="BQ289" s="44"/>
      <c r="BR289" s="44"/>
      <c r="BS289" s="44"/>
      <c r="BT289" s="44"/>
      <c r="BU289" s="44"/>
      <c r="BV289" s="44"/>
      <c r="BW289" s="44"/>
      <c r="BX289" s="44"/>
      <c r="BY289" s="44"/>
      <c r="BZ289" s="44"/>
      <c r="CA289" s="44"/>
      <c r="CB289" s="44"/>
      <c r="CC289" s="44"/>
      <c r="CD289" s="44"/>
      <c r="CE289" s="44"/>
      <c r="CF289" s="44"/>
      <c r="CG289" s="46"/>
      <c r="CH289" s="44"/>
      <c r="CI289" s="44"/>
    </row>
    <row r="290" spans="2:87" s="5" customFormat="1" ht="13.5" customHeight="1" thickTop="1">
      <c r="B290" s="1" t="str">
        <f t="shared" si="1163"/>
        <v>Capex</v>
      </c>
      <c r="C290" s="54">
        <f t="shared" ref="C290:S290" si="1179">C65*C266</f>
        <v>-513.43473684210517</v>
      </c>
      <c r="D290" s="54">
        <f t="shared" si="1179"/>
        <v>-605.9508517350157</v>
      </c>
      <c r="E290" s="231">
        <f t="shared" si="1179"/>
        <v>-704.97462037766593</v>
      </c>
      <c r="F290" s="231">
        <f t="shared" si="1179"/>
        <v>-719.10589155997104</v>
      </c>
      <c r="G290" s="231">
        <f t="shared" si="1179"/>
        <v>-784.38801999999998</v>
      </c>
      <c r="H290" s="231">
        <f t="shared" si="1179"/>
        <v>-753.21131633999994</v>
      </c>
      <c r="I290" s="231">
        <f t="shared" si="1179"/>
        <v>-656.56292164201091</v>
      </c>
      <c r="J290" s="231">
        <f t="shared" si="1179"/>
        <v>-642.02429965831004</v>
      </c>
      <c r="K290" s="231">
        <f t="shared" si="1179"/>
        <v>-577.91989216395143</v>
      </c>
      <c r="L290" s="231">
        <f t="shared" si="1179"/>
        <v>-1034.2974580348462</v>
      </c>
      <c r="M290" s="231">
        <f t="shared" si="1179"/>
        <v>-1019.2344763680004</v>
      </c>
      <c r="N290" s="231">
        <f t="shared" si="1179"/>
        <v>-1465.5412776523151</v>
      </c>
      <c r="O290" s="231">
        <f t="shared" si="1179"/>
        <v>-1465.0932352778891</v>
      </c>
      <c r="P290" s="231">
        <f t="shared" si="1179"/>
        <v>-1976.962420296737</v>
      </c>
      <c r="Q290" s="231">
        <f t="shared" si="1179"/>
        <v>-1579.4734699008477</v>
      </c>
      <c r="R290" s="231">
        <f t="shared" si="1179"/>
        <v>-1160.2039245990027</v>
      </c>
      <c r="S290" s="231">
        <f t="shared" si="1179"/>
        <v>-1011.4679170159025</v>
      </c>
      <c r="U290" s="231">
        <f t="shared" ref="U290:BH290" si="1180">U65*U266</f>
        <v>-102.86325600000001</v>
      </c>
      <c r="V290" s="231">
        <f t="shared" si="1180"/>
        <v>-177.60601632000001</v>
      </c>
      <c r="W290" s="231">
        <f t="shared" si="1180"/>
        <v>-153.15117412000001</v>
      </c>
      <c r="X290" s="231">
        <f t="shared" si="1180"/>
        <v>-262.96016137165913</v>
      </c>
      <c r="Y290" s="231">
        <f t="shared" si="1180"/>
        <v>-140.18226414</v>
      </c>
      <c r="Z290" s="231">
        <f t="shared" si="1180"/>
        <v>-144.37953038178881</v>
      </c>
      <c r="AA290" s="231">
        <f t="shared" si="1180"/>
        <v>-156.52616420422675</v>
      </c>
      <c r="AB290" s="231">
        <f t="shared" si="1180"/>
        <v>-277.00638566643869</v>
      </c>
      <c r="AC290" s="231">
        <f t="shared" si="1180"/>
        <v>-184.17008636</v>
      </c>
      <c r="AD290" s="231">
        <f t="shared" si="1180"/>
        <v>-184.63162032</v>
      </c>
      <c r="AE290" s="231">
        <f t="shared" si="1180"/>
        <v>-171.35796480000002</v>
      </c>
      <c r="AF290" s="231">
        <f t="shared" si="1180"/>
        <v>-236.89322179999996</v>
      </c>
      <c r="AG290" s="231">
        <f t="shared" si="1180"/>
        <v>-97.464980699999984</v>
      </c>
      <c r="AH290" s="231">
        <f t="shared" si="1180"/>
        <v>-188.18710916000001</v>
      </c>
      <c r="AI290" s="231">
        <f t="shared" si="1180"/>
        <v>-145.78854715999995</v>
      </c>
      <c r="AJ290" s="231">
        <f t="shared" si="1180"/>
        <v>-225.00819279605381</v>
      </c>
      <c r="AK290" s="231">
        <f t="shared" si="1180"/>
        <v>-108.79462556562707</v>
      </c>
      <c r="AL290" s="231">
        <f t="shared" si="1180"/>
        <v>-113.43720023924674</v>
      </c>
      <c r="AM290" s="231">
        <f t="shared" si="1180"/>
        <v>-113.44031633049532</v>
      </c>
      <c r="AN290" s="231">
        <f t="shared" si="1180"/>
        <v>-247.02671429551</v>
      </c>
      <c r="AO290" s="231">
        <f t="shared" si="1180"/>
        <v>-122.51957939999998</v>
      </c>
      <c r="AP290" s="231">
        <f t="shared" si="1180"/>
        <v>-226.75133709088107</v>
      </c>
      <c r="AQ290" s="231">
        <f t="shared" si="1180"/>
        <v>-219.30028612641604</v>
      </c>
      <c r="AR290" s="231">
        <f t="shared" si="1180"/>
        <v>-452.79642066253894</v>
      </c>
      <c r="AS290" s="231">
        <f t="shared" si="1180"/>
        <v>-183.37937156000001</v>
      </c>
      <c r="AT290" s="231">
        <f t="shared" si="1180"/>
        <v>-317.19132856152618</v>
      </c>
      <c r="AU290" s="231">
        <f t="shared" si="1180"/>
        <v>-349.28216374773524</v>
      </c>
      <c r="AV290" s="231">
        <f t="shared" si="1180"/>
        <v>-624.34042507000004</v>
      </c>
      <c r="AW290" s="231">
        <f t="shared" si="1180"/>
        <v>-278.42970234000001</v>
      </c>
      <c r="AX290" s="231">
        <f t="shared" si="1180"/>
        <v>-427.72613826084495</v>
      </c>
      <c r="AY290" s="231">
        <f t="shared" si="1180"/>
        <v>-504.79886648797032</v>
      </c>
      <c r="AZ290" s="231">
        <f t="shared" si="1180"/>
        <v>-778.57999226999993</v>
      </c>
      <c r="BA290" s="231">
        <f t="shared" si="1180"/>
        <v>-318.56229920000004</v>
      </c>
      <c r="BB290" s="231">
        <f t="shared" si="1180"/>
        <v>-368.08651753851512</v>
      </c>
      <c r="BC290" s="231">
        <f t="shared" si="1180"/>
        <v>-358.82875619999999</v>
      </c>
      <c r="BD290" s="231">
        <f t="shared" si="1180"/>
        <v>-509.64690229767638</v>
      </c>
      <c r="BE290" s="231">
        <f t="shared" si="1180"/>
        <v>-251.77951482479784</v>
      </c>
      <c r="BF290" s="231">
        <f t="shared" si="1180"/>
        <v>-223.2829350380168</v>
      </c>
      <c r="BG290" s="231">
        <f t="shared" si="1180"/>
        <v>-230.0374674575269</v>
      </c>
      <c r="BH290" s="231">
        <f t="shared" si="1180"/>
        <v>-462.74193548387086</v>
      </c>
      <c r="BI290" s="231">
        <f t="shared" ref="BI290" si="1181">BI65*BI266</f>
        <v>-89.751225371596433</v>
      </c>
      <c r="BJ290" s="44"/>
      <c r="BK290" s="44"/>
      <c r="BL290" s="44"/>
      <c r="BM290" s="44"/>
      <c r="BN290" s="44"/>
      <c r="BO290" s="44"/>
      <c r="BP290" s="44"/>
      <c r="BQ290" s="44"/>
      <c r="BR290" s="44"/>
      <c r="BS290" s="44"/>
      <c r="BT290" s="44"/>
      <c r="BU290" s="44"/>
      <c r="BV290" s="44"/>
      <c r="BW290" s="44"/>
      <c r="BX290" s="44"/>
      <c r="BY290" s="44"/>
      <c r="BZ290" s="44"/>
      <c r="CA290" s="44"/>
      <c r="CB290" s="44"/>
      <c r="CC290" s="44"/>
      <c r="CD290" s="44"/>
      <c r="CE290" s="44"/>
      <c r="CF290" s="44"/>
      <c r="CG290" s="46"/>
      <c r="CH290" s="44"/>
      <c r="CI290" s="44"/>
    </row>
    <row r="291" spans="2:87" ht="13.5" customHeight="1">
      <c r="B291" s="1" t="str">
        <f t="shared" si="1163"/>
        <v>Net Payment for acquisition  of intangible assets</v>
      </c>
      <c r="C291" s="54">
        <f t="shared" ref="C291:S291" si="1182">C66*C266</f>
        <v>0</v>
      </c>
      <c r="D291" s="54">
        <f t="shared" si="1182"/>
        <v>0</v>
      </c>
      <c r="E291" s="231">
        <f t="shared" si="1182"/>
        <v>-2.412002122561868</v>
      </c>
      <c r="F291" s="231">
        <f t="shared" si="1182"/>
        <v>-67.023013500404375</v>
      </c>
      <c r="G291" s="231">
        <f t="shared" si="1182"/>
        <v>-20.686353360000002</v>
      </c>
      <c r="H291" s="231">
        <f t="shared" si="1182"/>
        <v>-48.936399999999999</v>
      </c>
      <c r="I291" s="231">
        <f t="shared" si="1182"/>
        <v>-21.394964619044661</v>
      </c>
      <c r="J291" s="231">
        <f t="shared" si="1182"/>
        <v>-20.108959265800696</v>
      </c>
      <c r="K291" s="231">
        <f t="shared" si="1182"/>
        <v>-40.376854604803789</v>
      </c>
      <c r="L291" s="231">
        <f t="shared" si="1182"/>
        <v>-43.588759749203305</v>
      </c>
      <c r="M291" s="231">
        <f t="shared" si="1182"/>
        <v>-43.588759749203305</v>
      </c>
      <c r="N291" s="231">
        <f t="shared" si="1182"/>
        <v>-59.998681154474582</v>
      </c>
      <c r="O291" s="231">
        <f t="shared" si="1182"/>
        <v>-39.74408790482353</v>
      </c>
      <c r="P291" s="231">
        <f t="shared" si="1182"/>
        <v>-53.549692563703992</v>
      </c>
      <c r="Q291" s="231">
        <f t="shared" si="1182"/>
        <v>-42.381029803559727</v>
      </c>
      <c r="R291" s="231">
        <f t="shared" si="1182"/>
        <v>-16.231953806781441</v>
      </c>
      <c r="S291" s="231">
        <f t="shared" si="1182"/>
        <v>-14.053020560650401</v>
      </c>
      <c r="U291" s="231">
        <f t="shared" ref="U291:BH291" si="1183">U66*U266</f>
        <v>0</v>
      </c>
      <c r="V291" s="231">
        <f t="shared" si="1183"/>
        <v>0</v>
      </c>
      <c r="W291" s="231">
        <f t="shared" si="1183"/>
        <v>0</v>
      </c>
      <c r="X291" s="231">
        <f t="shared" si="1183"/>
        <v>-2.2692889561270806</v>
      </c>
      <c r="Y291" s="231">
        <f t="shared" si="1183"/>
        <v>0</v>
      </c>
      <c r="Z291" s="231">
        <f t="shared" si="1183"/>
        <v>0</v>
      </c>
      <c r="AA291" s="231">
        <f t="shared" si="1183"/>
        <v>0</v>
      </c>
      <c r="AB291" s="231">
        <f t="shared" si="1183"/>
        <v>-66.638975427668981</v>
      </c>
      <c r="AC291" s="231">
        <f t="shared" si="1183"/>
        <v>0</v>
      </c>
      <c r="AD291" s="231">
        <f t="shared" si="1183"/>
        <v>-18.716391359999999</v>
      </c>
      <c r="AE291" s="231">
        <f t="shared" si="1183"/>
        <v>-1.302523200000002</v>
      </c>
      <c r="AF291" s="231">
        <f t="shared" si="1183"/>
        <v>5.0450000001674767E-5</v>
      </c>
      <c r="AG291" s="231">
        <f t="shared" si="1183"/>
        <v>0</v>
      </c>
      <c r="AH291" s="231">
        <f t="shared" si="1183"/>
        <v>0</v>
      </c>
      <c r="AI291" s="231">
        <f t="shared" si="1183"/>
        <v>-2.6456100600000001</v>
      </c>
      <c r="AJ291" s="231">
        <f t="shared" si="1183"/>
        <v>-18.666352388963833</v>
      </c>
      <c r="AK291" s="231">
        <f t="shared" si="1183"/>
        <v>-7.5822468328238655</v>
      </c>
      <c r="AL291" s="231">
        <f t="shared" si="1183"/>
        <v>-2.4081343088812139</v>
      </c>
      <c r="AM291" s="231">
        <f t="shared" si="1183"/>
        <v>-2.0813520545585122</v>
      </c>
      <c r="AN291" s="231">
        <f t="shared" si="1183"/>
        <v>-29.713094065083709</v>
      </c>
      <c r="AO291" s="231">
        <f t="shared" si="1183"/>
        <v>-8.8722701999999991</v>
      </c>
      <c r="AP291" s="231">
        <f t="shared" si="1183"/>
        <v>1.4891909646754444</v>
      </c>
      <c r="AQ291" s="231">
        <f t="shared" si="1183"/>
        <v>-11.463457440232515</v>
      </c>
      <c r="AR291" s="231">
        <f t="shared" si="1183"/>
        <v>-24.699416234591581</v>
      </c>
      <c r="AS291" s="231">
        <f t="shared" si="1183"/>
        <v>-1.8201142299999999</v>
      </c>
      <c r="AT291" s="231">
        <f t="shared" si="1183"/>
        <v>-5.8638698909602276</v>
      </c>
      <c r="AU291" s="231">
        <f t="shared" si="1183"/>
        <v>-14.213161345531134</v>
      </c>
      <c r="AV291" s="231">
        <f t="shared" si="1183"/>
        <v>-38.813809810000002</v>
      </c>
      <c r="AW291" s="231">
        <f t="shared" si="1183"/>
        <v>-20.83720842</v>
      </c>
      <c r="AX291" s="231">
        <f t="shared" si="1183"/>
        <v>-11.662978578907154</v>
      </c>
      <c r="AY291" s="231">
        <f t="shared" si="1183"/>
        <v>-9.4650380637274818</v>
      </c>
      <c r="AZ291" s="231">
        <f t="shared" si="1183"/>
        <v>-11.017827090000003</v>
      </c>
      <c r="BA291" s="231">
        <f t="shared" si="1183"/>
        <v>-5.9481343000000004</v>
      </c>
      <c r="BB291" s="231">
        <f t="shared" si="1183"/>
        <v>-11.974120172919026</v>
      </c>
      <c r="BC291" s="231">
        <f t="shared" si="1183"/>
        <v>-3.61911915</v>
      </c>
      <c r="BD291" s="231">
        <f t="shared" si="1183"/>
        <v>-19.741081617093798</v>
      </c>
      <c r="BE291" s="231">
        <f t="shared" si="1183"/>
        <v>-3.1668708649840722</v>
      </c>
      <c r="BF291" s="231">
        <f t="shared" si="1183"/>
        <v>-2.7626029941410053</v>
      </c>
      <c r="BG291" s="231">
        <f t="shared" si="1183"/>
        <v>-7.6197965592205925</v>
      </c>
      <c r="BH291" s="231">
        <f t="shared" si="1183"/>
        <v>-2.775209808549699</v>
      </c>
      <c r="BI291" s="231">
        <f t="shared" ref="BI291" si="1184">BI66*BI266</f>
        <v>-0.73943561746773634</v>
      </c>
      <c r="BJ291" s="44"/>
      <c r="BK291" s="44"/>
      <c r="BL291" s="44"/>
      <c r="BM291" s="44"/>
      <c r="BN291" s="44"/>
      <c r="BO291" s="44"/>
      <c r="BP291" s="44"/>
      <c r="BQ291" s="44"/>
      <c r="BR291" s="44"/>
      <c r="BS291" s="44"/>
      <c r="BT291" s="44"/>
      <c r="BU291" s="44"/>
      <c r="BV291" s="44"/>
      <c r="BW291" s="44"/>
      <c r="BX291" s="44"/>
      <c r="BY291" s="44"/>
      <c r="BZ291" s="44"/>
      <c r="CA291" s="44"/>
      <c r="CB291" s="44"/>
      <c r="CC291" s="44"/>
      <c r="CD291" s="44"/>
      <c r="CE291" s="44"/>
      <c r="CF291" s="44"/>
      <c r="CG291" s="46"/>
      <c r="CH291" s="44"/>
      <c r="CI291" s="44"/>
    </row>
    <row r="292" spans="2:87" ht="13.5" customHeight="1">
      <c r="B292" s="1" t="str">
        <f t="shared" si="1163"/>
        <v>Disposals/ Acquisition, of subsidiaries</v>
      </c>
      <c r="C292" s="54">
        <f t="shared" ref="C292:S292" si="1185">C67*C266</f>
        <v>-1686.828947368421</v>
      </c>
      <c r="D292" s="54">
        <f t="shared" si="1185"/>
        <v>-62.373438485804407</v>
      </c>
      <c r="E292" s="231">
        <f t="shared" si="1185"/>
        <v>-161.389742022973</v>
      </c>
      <c r="F292" s="231">
        <f t="shared" si="1185"/>
        <v>-728.71008085249332</v>
      </c>
      <c r="G292" s="231">
        <f t="shared" si="1185"/>
        <v>-125.65430664000002</v>
      </c>
      <c r="H292" s="231">
        <f t="shared" si="1185"/>
        <v>-189.68087030000001</v>
      </c>
      <c r="I292" s="231">
        <f t="shared" si="1185"/>
        <v>-7.5111528574785238</v>
      </c>
      <c r="J292" s="231">
        <f t="shared" si="1185"/>
        <v>-7.344829404756628</v>
      </c>
      <c r="K292" s="231">
        <f t="shared" si="1185"/>
        <v>-164.7947830753134</v>
      </c>
      <c r="L292" s="231">
        <f t="shared" si="1185"/>
        <v>-575.6178285144473</v>
      </c>
      <c r="M292" s="231">
        <f t="shared" si="1185"/>
        <v>-575.6178285144473</v>
      </c>
      <c r="N292" s="231">
        <f t="shared" si="1185"/>
        <v>942.43870689475034</v>
      </c>
      <c r="O292" s="231">
        <f t="shared" si="1185"/>
        <v>952.59093073260385</v>
      </c>
      <c r="P292" s="231">
        <f t="shared" si="1185"/>
        <v>-418.47224061231287</v>
      </c>
      <c r="Q292" s="231">
        <f t="shared" si="1185"/>
        <v>-460.4035126528791</v>
      </c>
      <c r="R292" s="231">
        <f t="shared" si="1185"/>
        <v>-685.47045486164973</v>
      </c>
      <c r="S292" s="231">
        <f t="shared" si="1185"/>
        <v>-708.52999388825458</v>
      </c>
      <c r="U292" s="231">
        <f t="shared" ref="U292:BH292" si="1186">U67*U266</f>
        <v>20.469288000000002</v>
      </c>
      <c r="V292" s="231">
        <f t="shared" si="1186"/>
        <v>1.9181607199999977</v>
      </c>
      <c r="W292" s="231">
        <f t="shared" si="1186"/>
        <v>-237.66594495000004</v>
      </c>
      <c r="X292" s="231">
        <f t="shared" si="1186"/>
        <v>52.546646495209309</v>
      </c>
      <c r="Y292" s="231">
        <f t="shared" si="1186"/>
        <v>-21.622282679999998</v>
      </c>
      <c r="Z292" s="231">
        <f t="shared" si="1186"/>
        <v>-69.138196809464063</v>
      </c>
      <c r="AA292" s="231">
        <f t="shared" si="1186"/>
        <v>-27.496427903497295</v>
      </c>
      <c r="AB292" s="231">
        <f t="shared" si="1186"/>
        <v>-607.91628782171972</v>
      </c>
      <c r="AC292" s="231">
        <f t="shared" si="1186"/>
        <v>0</v>
      </c>
      <c r="AD292" s="231">
        <f t="shared" si="1186"/>
        <v>-149.71711950000002</v>
      </c>
      <c r="AE292" s="231">
        <f t="shared" si="1186"/>
        <v>19.982054400000017</v>
      </c>
      <c r="AF292" s="231">
        <f t="shared" si="1186"/>
        <v>9.5417598499999912</v>
      </c>
      <c r="AG292" s="231">
        <f t="shared" si="1186"/>
        <v>-0.19937285999999999</v>
      </c>
      <c r="AH292" s="231">
        <f t="shared" si="1186"/>
        <v>-0.20930766000000001</v>
      </c>
      <c r="AI292" s="231">
        <f t="shared" si="1186"/>
        <v>-6.0846818600000008</v>
      </c>
      <c r="AJ292" s="231">
        <f t="shared" si="1186"/>
        <v>-0.96337122045147761</v>
      </c>
      <c r="AK292" s="231">
        <f t="shared" si="1186"/>
        <v>-30.350320076618935</v>
      </c>
      <c r="AL292" s="231">
        <f t="shared" si="1186"/>
        <v>-113.92341859216396</v>
      </c>
      <c r="AM292" s="231">
        <f t="shared" si="1186"/>
        <v>-13.042184677985084</v>
      </c>
      <c r="AN292" s="231">
        <f t="shared" si="1186"/>
        <v>-1.0072599220159102</v>
      </c>
      <c r="AO292" s="231">
        <f t="shared" si="1186"/>
        <v>-71.571762000000007</v>
      </c>
      <c r="AP292" s="231">
        <f t="shared" si="1186"/>
        <v>-69.791057890538241</v>
      </c>
      <c r="AQ292" s="231">
        <f t="shared" si="1186"/>
        <v>-229.72909284532369</v>
      </c>
      <c r="AR292" s="231">
        <f t="shared" si="1186"/>
        <v>-205.57795224320444</v>
      </c>
      <c r="AS292" s="231">
        <f t="shared" si="1186"/>
        <v>-1.7126158500000002</v>
      </c>
      <c r="AT292" s="231">
        <f t="shared" si="1186"/>
        <v>-3.3301483472049385</v>
      </c>
      <c r="AU292" s="231">
        <f t="shared" si="1186"/>
        <v>-333.9426670381726</v>
      </c>
      <c r="AV292" s="231">
        <f t="shared" si="1186"/>
        <v>1308.2787953100001</v>
      </c>
      <c r="AW292" s="231">
        <f t="shared" si="1186"/>
        <v>-225.08813334000001</v>
      </c>
      <c r="AX292" s="231">
        <f t="shared" si="1186"/>
        <v>-58.348000792325742</v>
      </c>
      <c r="AY292" s="231">
        <f t="shared" si="1186"/>
        <v>-103.06750294579933</v>
      </c>
      <c r="AZ292" s="231">
        <f t="shared" si="1186"/>
        <v>-24.27201153</v>
      </c>
      <c r="BA292" s="231">
        <f t="shared" si="1186"/>
        <v>-279.26928460000005</v>
      </c>
      <c r="BB292" s="231">
        <f t="shared" si="1186"/>
        <v>-102.81921838280097</v>
      </c>
      <c r="BC292" s="231">
        <f t="shared" si="1186"/>
        <v>-88.429812479999995</v>
      </c>
      <c r="BD292" s="231">
        <f t="shared" si="1186"/>
        <v>-9.9420473288452822</v>
      </c>
      <c r="BE292" s="231">
        <f t="shared" si="1186"/>
        <v>-0.60029404557706445</v>
      </c>
      <c r="BF292" s="231">
        <f t="shared" si="1186"/>
        <v>-509.13372051263633</v>
      </c>
      <c r="BG292" s="231">
        <f t="shared" si="1186"/>
        <v>26.206929869293326</v>
      </c>
      <c r="BH292" s="231">
        <f t="shared" si="1186"/>
        <v>-201.86827956989254</v>
      </c>
      <c r="BI292" s="231">
        <f t="shared" ref="BI292" si="1187">BI67*BI266</f>
        <v>2.4186928231081462</v>
      </c>
      <c r="BJ292" s="44"/>
      <c r="BK292" s="44"/>
      <c r="BL292" s="44"/>
      <c r="BM292" s="44"/>
      <c r="BN292" s="44"/>
      <c r="BO292" s="44"/>
      <c r="BP292" s="44"/>
      <c r="BQ292" s="44"/>
      <c r="BR292" s="44"/>
      <c r="BS292" s="44"/>
      <c r="BT292" s="44"/>
      <c r="BU292" s="44"/>
      <c r="BV292" s="44"/>
      <c r="BW292" s="44"/>
      <c r="BX292" s="44"/>
      <c r="BY292" s="44"/>
      <c r="BZ292" s="44"/>
      <c r="CA292" s="44"/>
      <c r="CB292" s="44"/>
      <c r="CC292" s="44"/>
      <c r="CD292" s="44"/>
      <c r="CE292" s="44"/>
      <c r="CF292" s="44"/>
      <c r="CG292" s="46"/>
      <c r="CH292" s="44"/>
      <c r="CI292" s="44"/>
    </row>
    <row r="293" spans="2:87" ht="13.5" customHeight="1">
      <c r="B293" s="1" t="str">
        <f t="shared" si="1163"/>
        <v>Deposits interest received</v>
      </c>
      <c r="C293" s="54">
        <f t="shared" ref="C293:S293" si="1188">C68*C266</f>
        <v>0</v>
      </c>
      <c r="D293" s="54">
        <f t="shared" si="1188"/>
        <v>13.360441640378548</v>
      </c>
      <c r="E293" s="231">
        <f t="shared" si="1188"/>
        <v>13.346411744842335</v>
      </c>
      <c r="F293" s="231">
        <f t="shared" si="1188"/>
        <v>16.642199902155873</v>
      </c>
      <c r="G293" s="231">
        <f t="shared" si="1188"/>
        <v>20.104114320000001</v>
      </c>
      <c r="H293" s="231">
        <f t="shared" si="1188"/>
        <v>20.104114320000001</v>
      </c>
      <c r="I293" s="231">
        <f t="shared" si="1188"/>
        <v>17.1153071844011</v>
      </c>
      <c r="J293" s="231">
        <f t="shared" si="1188"/>
        <v>16.736313834203049</v>
      </c>
      <c r="K293" s="231">
        <f t="shared" si="1188"/>
        <v>17.661205871922022</v>
      </c>
      <c r="L293" s="231">
        <f t="shared" si="1188"/>
        <v>18.429915672136953</v>
      </c>
      <c r="M293" s="231">
        <f t="shared" si="1188"/>
        <v>18.429915672136953</v>
      </c>
      <c r="N293" s="231">
        <f t="shared" si="1188"/>
        <v>36.852630802815469</v>
      </c>
      <c r="O293" s="231">
        <f t="shared" si="1188"/>
        <v>36.852630802815469</v>
      </c>
      <c r="P293" s="231">
        <f t="shared" si="1188"/>
        <v>45.512549928729307</v>
      </c>
      <c r="Q293" s="231">
        <f t="shared" si="1188"/>
        <v>50.706006303532817</v>
      </c>
      <c r="R293" s="231">
        <f t="shared" si="1188"/>
        <v>46.79270261124686</v>
      </c>
      <c r="S293" s="231">
        <f t="shared" si="1188"/>
        <v>43.842184584273475</v>
      </c>
      <c r="U293" s="231">
        <f t="shared" ref="U293:BH293" si="1189">U68*U266</f>
        <v>2.8020285</v>
      </c>
      <c r="V293" s="231">
        <f t="shared" si="1189"/>
        <v>2.3662051200000001</v>
      </c>
      <c r="W293" s="231">
        <f t="shared" si="1189"/>
        <v>4.0375609700000004</v>
      </c>
      <c r="X293" s="231">
        <f t="shared" si="1189"/>
        <v>4.034291477559254</v>
      </c>
      <c r="Y293" s="231">
        <f t="shared" si="1189"/>
        <v>2.8087580399999998</v>
      </c>
      <c r="Z293" s="231">
        <f t="shared" si="1189"/>
        <v>5.0479476608711238</v>
      </c>
      <c r="AA293" s="231">
        <f t="shared" si="1189"/>
        <v>2.2573218627267626</v>
      </c>
      <c r="AB293" s="231">
        <f t="shared" si="1189"/>
        <v>6.485281149483173</v>
      </c>
      <c r="AC293" s="231">
        <f t="shared" si="1189"/>
        <v>4.1905277100000005</v>
      </c>
      <c r="AD293" s="231">
        <f t="shared" si="1189"/>
        <v>4.6593111599999997</v>
      </c>
      <c r="AE293" s="231">
        <f t="shared" si="1189"/>
        <v>5.2961040000000006</v>
      </c>
      <c r="AF293" s="231">
        <f t="shared" si="1189"/>
        <v>5.7815700000000012</v>
      </c>
      <c r="AG293" s="231">
        <f t="shared" si="1189"/>
        <v>4.35806352</v>
      </c>
      <c r="AH293" s="231">
        <f t="shared" si="1189"/>
        <v>-4.3772988799999997</v>
      </c>
      <c r="AI293" s="231">
        <f t="shared" si="1189"/>
        <v>15.556306539999998</v>
      </c>
      <c r="AJ293" s="231">
        <f t="shared" si="1189"/>
        <v>1.4169567784261912</v>
      </c>
      <c r="AK293" s="231">
        <f t="shared" si="1189"/>
        <v>5.1350151042677066</v>
      </c>
      <c r="AL293" s="231">
        <f t="shared" si="1189"/>
        <v>3.0299130112508164</v>
      </c>
      <c r="AM293" s="231">
        <f t="shared" si="1189"/>
        <v>7.5894830696848672</v>
      </c>
      <c r="AN293" s="231">
        <f t="shared" si="1189"/>
        <v>1.7811833042308907</v>
      </c>
      <c r="AO293" s="231">
        <f t="shared" si="1189"/>
        <v>3.8205431999999995</v>
      </c>
      <c r="AP293" s="231">
        <f t="shared" si="1189"/>
        <v>4.0968821934668362</v>
      </c>
      <c r="AQ293" s="231">
        <f t="shared" si="1189"/>
        <v>5.6867072173220894</v>
      </c>
      <c r="AR293" s="231">
        <f t="shared" si="1189"/>
        <v>4.8383265677612144</v>
      </c>
      <c r="AS293" s="231">
        <f t="shared" si="1189"/>
        <v>21.465272620000004</v>
      </c>
      <c r="AT293" s="231">
        <f t="shared" si="1189"/>
        <v>21.877330144345166</v>
      </c>
      <c r="AU293" s="231">
        <f t="shared" si="1189"/>
        <v>14.594135752581009</v>
      </c>
      <c r="AV293" s="231">
        <f t="shared" si="1189"/>
        <v>-21.941180679999999</v>
      </c>
      <c r="AW293" s="231">
        <f t="shared" si="1189"/>
        <v>9.5274884400000008</v>
      </c>
      <c r="AX293" s="231">
        <f t="shared" si="1189"/>
        <v>8.3494156597526814</v>
      </c>
      <c r="AY293" s="231">
        <f t="shared" si="1189"/>
        <v>6.7439177453378729</v>
      </c>
      <c r="AZ293" s="231">
        <f t="shared" si="1189"/>
        <v>20.917959750000005</v>
      </c>
      <c r="BA293" s="231">
        <f t="shared" si="1189"/>
        <v>34.684443000000002</v>
      </c>
      <c r="BB293" s="231">
        <f t="shared" si="1189"/>
        <v>0.62523573272985622</v>
      </c>
      <c r="BC293" s="231">
        <f t="shared" si="1189"/>
        <v>10.495683269999999</v>
      </c>
      <c r="BD293" s="231">
        <f t="shared" si="1189"/>
        <v>6.2461319208096464</v>
      </c>
      <c r="BE293" s="231">
        <f t="shared" si="1189"/>
        <v>10.045086988483213</v>
      </c>
      <c r="BF293" s="231">
        <f t="shared" si="1189"/>
        <v>11.935520280739199</v>
      </c>
      <c r="BG293" s="231">
        <f t="shared" si="1189"/>
        <v>6.7519793875305281</v>
      </c>
      <c r="BH293" s="231">
        <f t="shared" si="1189"/>
        <v>18.235531952093716</v>
      </c>
      <c r="BI293" s="231">
        <f t="shared" ref="BI293" si="1190">BI68*BI266</f>
        <v>6.6979010708125326</v>
      </c>
      <c r="BJ293" s="44"/>
      <c r="BK293" s="44"/>
      <c r="BL293" s="44"/>
      <c r="BM293" s="44"/>
      <c r="BN293" s="44"/>
      <c r="BO293" s="44"/>
      <c r="BP293" s="44"/>
      <c r="BQ293" s="44"/>
      <c r="BR293" s="44"/>
      <c r="BS293" s="44"/>
      <c r="BT293" s="44"/>
      <c r="BU293" s="44"/>
      <c r="BV293" s="44"/>
      <c r="BW293" s="44"/>
      <c r="BX293" s="44"/>
      <c r="BY293" s="44"/>
      <c r="BZ293" s="44"/>
      <c r="CA293" s="44"/>
      <c r="CB293" s="44"/>
      <c r="CC293" s="44"/>
      <c r="CD293" s="44"/>
      <c r="CE293" s="44"/>
      <c r="CF293" s="44"/>
      <c r="CG293" s="46"/>
      <c r="CH293" s="44"/>
      <c r="CI293" s="44"/>
    </row>
    <row r="294" spans="2:87" ht="13.5" customHeight="1" thickBot="1">
      <c r="B294" s="51" t="str">
        <f t="shared" si="1163"/>
        <v>Disposed Cash from discontinued operations and Others</v>
      </c>
      <c r="C294" s="72">
        <f t="shared" ref="C294:S294" si="1191">C69*C266</f>
        <v>0</v>
      </c>
      <c r="D294" s="72">
        <f t="shared" si="1191"/>
        <v>0</v>
      </c>
      <c r="E294" s="234">
        <f t="shared" si="1191"/>
        <v>-20.314417876687731</v>
      </c>
      <c r="F294" s="234">
        <f t="shared" si="1191"/>
        <v>0</v>
      </c>
      <c r="G294" s="234">
        <f t="shared" si="1191"/>
        <v>2.2117691000000002</v>
      </c>
      <c r="H294" s="234">
        <f t="shared" si="1191"/>
        <v>12.077920000000001</v>
      </c>
      <c r="I294" s="234">
        <f t="shared" si="1191"/>
        <v>0.99157476104726106</v>
      </c>
      <c r="J294" s="234">
        <f t="shared" si="1191"/>
        <v>4.519129633343713</v>
      </c>
      <c r="K294" s="234">
        <f t="shared" si="1191"/>
        <v>0</v>
      </c>
      <c r="L294" s="234">
        <f t="shared" si="1191"/>
        <v>0</v>
      </c>
      <c r="M294" s="234">
        <f t="shared" si="1191"/>
        <v>0</v>
      </c>
      <c r="N294" s="234">
        <f t="shared" si="1191"/>
        <v>0</v>
      </c>
      <c r="O294" s="234">
        <f t="shared" si="1191"/>
        <v>0</v>
      </c>
      <c r="P294" s="234">
        <f t="shared" si="1191"/>
        <v>0</v>
      </c>
      <c r="Q294" s="234">
        <f t="shared" si="1191"/>
        <v>0</v>
      </c>
      <c r="R294" s="234">
        <f t="shared" si="1191"/>
        <v>0</v>
      </c>
      <c r="S294" s="234">
        <f t="shared" si="1191"/>
        <v>0</v>
      </c>
      <c r="U294" s="234">
        <f t="shared" ref="U294:BH294" si="1192">U69*U266</f>
        <v>0</v>
      </c>
      <c r="V294" s="234">
        <f t="shared" si="1192"/>
        <v>0</v>
      </c>
      <c r="W294" s="234">
        <f t="shared" si="1192"/>
        <v>0</v>
      </c>
      <c r="X294" s="234">
        <f t="shared" si="1192"/>
        <v>-19.112455874936966</v>
      </c>
      <c r="Y294" s="234">
        <f t="shared" si="1192"/>
        <v>0</v>
      </c>
      <c r="Z294" s="234">
        <f t="shared" si="1192"/>
        <v>0</v>
      </c>
      <c r="AA294" s="234">
        <f t="shared" si="1192"/>
        <v>0</v>
      </c>
      <c r="AB294" s="234">
        <f t="shared" si="1192"/>
        <v>0</v>
      </c>
      <c r="AC294" s="234">
        <f t="shared" si="1192"/>
        <v>0</v>
      </c>
      <c r="AD294" s="234">
        <f t="shared" si="1192"/>
        <v>7.2581961599999998</v>
      </c>
      <c r="AE294" s="234">
        <f t="shared" si="1192"/>
        <v>23.230099200000002</v>
      </c>
      <c r="AF294" s="234">
        <f t="shared" si="1192"/>
        <v>-27.344253150000004</v>
      </c>
      <c r="AG294" s="234">
        <f t="shared" si="1192"/>
        <v>6.7648159799999998</v>
      </c>
      <c r="AH294" s="234">
        <f t="shared" si="1192"/>
        <v>-6.8612506</v>
      </c>
      <c r="AI294" s="234">
        <f t="shared" si="1192"/>
        <v>-6.0979070799999997</v>
      </c>
      <c r="AJ294" s="234">
        <f t="shared" si="1192"/>
        <v>7.1864719265200288</v>
      </c>
      <c r="AK294" s="234">
        <f t="shared" si="1192"/>
        <v>-3.4997105134240627</v>
      </c>
      <c r="AL294" s="234">
        <f t="shared" si="1192"/>
        <v>-1.5199463257553292</v>
      </c>
      <c r="AM294" s="234">
        <f t="shared" si="1192"/>
        <v>4.1222184703712204</v>
      </c>
      <c r="AN294" s="234">
        <f t="shared" si="1192"/>
        <v>0.77234871844945219</v>
      </c>
      <c r="AO294" s="234">
        <f t="shared" si="1192"/>
        <v>-7.0667315999999998</v>
      </c>
      <c r="AP294" s="234">
        <f t="shared" si="1192"/>
        <v>-16.303863000747381</v>
      </c>
      <c r="AQ294" s="234">
        <f t="shared" si="1192"/>
        <v>-20.261612132358216</v>
      </c>
      <c r="AR294" s="234">
        <f t="shared" si="1192"/>
        <v>43.612428994634492</v>
      </c>
      <c r="AS294" s="234">
        <f t="shared" si="1192"/>
        <v>0</v>
      </c>
      <c r="AT294" s="234">
        <f t="shared" si="1192"/>
        <v>-16.652942362710938</v>
      </c>
      <c r="AU294" s="234">
        <f t="shared" si="1192"/>
        <v>-58.74232015905595</v>
      </c>
      <c r="AV294" s="234">
        <f t="shared" si="1192"/>
        <v>77.015409930000004</v>
      </c>
      <c r="AW294" s="234">
        <f t="shared" si="1192"/>
        <v>0</v>
      </c>
      <c r="AX294" s="234">
        <f t="shared" si="1192"/>
        <v>3.3478027108859907</v>
      </c>
      <c r="AY294" s="234">
        <f t="shared" si="1192"/>
        <v>1.5510403175916743</v>
      </c>
      <c r="AZ294" s="234">
        <f t="shared" si="1192"/>
        <v>-4.8969133200000003</v>
      </c>
      <c r="BA294" s="234">
        <f t="shared" si="1192"/>
        <v>0</v>
      </c>
      <c r="BB294" s="234">
        <f t="shared" si="1192"/>
        <v>5.2223866306902256</v>
      </c>
      <c r="BC294" s="234">
        <f t="shared" si="1192"/>
        <v>1.1094300000000001</v>
      </c>
      <c r="BD294" s="234">
        <f t="shared" si="1192"/>
        <v>-5.531166378481271</v>
      </c>
      <c r="BE294" s="234">
        <f t="shared" si="1192"/>
        <v>0</v>
      </c>
      <c r="BF294" s="234">
        <f t="shared" si="1192"/>
        <v>0</v>
      </c>
      <c r="BG294" s="234">
        <f t="shared" si="1192"/>
        <v>0</v>
      </c>
      <c r="BH294" s="234">
        <f t="shared" si="1192"/>
        <v>0</v>
      </c>
      <c r="BI294" s="234">
        <f t="shared" ref="BI294" si="1193">BI69*BI266</f>
        <v>0</v>
      </c>
      <c r="BJ294" s="44"/>
      <c r="BK294" s="44"/>
      <c r="BL294" s="44"/>
      <c r="BM294" s="44"/>
      <c r="BN294" s="44"/>
      <c r="BO294" s="44"/>
      <c r="BP294" s="44"/>
      <c r="BQ294" s="44"/>
      <c r="BR294" s="44"/>
      <c r="BS294" s="44"/>
      <c r="BT294" s="44"/>
      <c r="BU294" s="44"/>
      <c r="BV294" s="44"/>
      <c r="BW294" s="44"/>
      <c r="BX294" s="44"/>
      <c r="BY294" s="44"/>
      <c r="BZ294" s="44"/>
      <c r="CA294" s="44"/>
      <c r="CB294" s="44"/>
      <c r="CC294" s="44"/>
      <c r="CD294" s="44"/>
      <c r="CE294" s="44"/>
      <c r="CF294" s="44"/>
      <c r="CG294" s="46"/>
      <c r="CH294" s="44"/>
      <c r="CI294" s="44"/>
    </row>
    <row r="295" spans="2:87" ht="13.5" customHeight="1" thickTop="1" thickBot="1">
      <c r="B295" s="59" t="str">
        <f t="shared" si="1163"/>
        <v xml:space="preserve">Free cash flow </v>
      </c>
      <c r="C295" s="73">
        <f t="shared" ref="C295:S295" si="1194">C70*C266</f>
        <v>-1407.1847368421052</v>
      </c>
      <c r="D295" s="73">
        <f t="shared" si="1194"/>
        <v>350.58883280757112</v>
      </c>
      <c r="E295" s="236">
        <f t="shared" si="1194"/>
        <v>49.450706716621887</v>
      </c>
      <c r="F295" s="236">
        <f t="shared" si="1194"/>
        <v>-185.12095656735573</v>
      </c>
      <c r="G295" s="236">
        <f t="shared" si="1194"/>
        <v>87.704596980000275</v>
      </c>
      <c r="H295" s="236">
        <f t="shared" si="1194"/>
        <v>-8.942554439999947</v>
      </c>
      <c r="I295" s="236">
        <f t="shared" si="1194"/>
        <v>904.28970547153494</v>
      </c>
      <c r="J295" s="236">
        <f t="shared" si="1194"/>
        <v>890.08456421455253</v>
      </c>
      <c r="K295" s="236">
        <f t="shared" si="1194"/>
        <v>812.51068466524396</v>
      </c>
      <c r="L295" s="236">
        <f t="shared" si="1194"/>
        <v>275.73412233221507</v>
      </c>
      <c r="M295" s="236">
        <f t="shared" si="1194"/>
        <v>161.66672335165677</v>
      </c>
      <c r="N295" s="236">
        <f t="shared" si="1194"/>
        <v>1318.3679240483248</v>
      </c>
      <c r="O295" s="236">
        <f t="shared" si="1194"/>
        <v>1151.0513403282116</v>
      </c>
      <c r="P295" s="236">
        <f t="shared" si="1194"/>
        <v>-1106.7770331316403</v>
      </c>
      <c r="Q295" s="236">
        <f t="shared" si="1194"/>
        <v>-443.42879070791622</v>
      </c>
      <c r="R295" s="236">
        <f t="shared" si="1194"/>
        <v>-110.42629265574374</v>
      </c>
      <c r="S295" s="236">
        <f t="shared" si="1194"/>
        <v>334.35000958182218</v>
      </c>
      <c r="U295" s="236">
        <f t="shared" ref="U295:BH295" si="1195">U70*U266</f>
        <v>26.622351000000009</v>
      </c>
      <c r="V295" s="236">
        <f t="shared" si="1195"/>
        <v>-25.160802560000015</v>
      </c>
      <c r="W295" s="236">
        <f t="shared" si="1195"/>
        <v>-76.61014490000008</v>
      </c>
      <c r="X295" s="236">
        <f t="shared" si="1195"/>
        <v>117.73005547150788</v>
      </c>
      <c r="Y295" s="236">
        <f t="shared" si="1195"/>
        <v>-22.713902750000003</v>
      </c>
      <c r="Z295" s="236">
        <f t="shared" si="1195"/>
        <v>98.226581824699764</v>
      </c>
      <c r="AA295" s="236">
        <f t="shared" si="1195"/>
        <v>69.593491677576125</v>
      </c>
      <c r="AB295" s="236">
        <f t="shared" si="1195"/>
        <v>-321.39261470968472</v>
      </c>
      <c r="AC295" s="236">
        <f t="shared" si="1195"/>
        <v>-143.31696598999997</v>
      </c>
      <c r="AD295" s="236">
        <f t="shared" si="1195"/>
        <v>-139.52527182000006</v>
      </c>
      <c r="AE295" s="236">
        <f t="shared" si="1195"/>
        <v>107.23041119999989</v>
      </c>
      <c r="AF295" s="236">
        <f t="shared" si="1195"/>
        <v>258.12369170000028</v>
      </c>
      <c r="AG295" s="236">
        <f t="shared" si="1195"/>
        <v>47.935780559999969</v>
      </c>
      <c r="AH295" s="236">
        <f t="shared" si="1195"/>
        <v>248.13478050000003</v>
      </c>
      <c r="AI295" s="236">
        <f t="shared" si="1195"/>
        <v>314.69755772000008</v>
      </c>
      <c r="AJ295" s="236">
        <f t="shared" si="1195"/>
        <v>292.00182234065585</v>
      </c>
      <c r="AK295" s="236">
        <f t="shared" si="1195"/>
        <v>92.924725953837523</v>
      </c>
      <c r="AL295" s="236">
        <f t="shared" si="1195"/>
        <v>87.925170783054668</v>
      </c>
      <c r="AM295" s="236">
        <f t="shared" si="1195"/>
        <v>251.18208188875437</v>
      </c>
      <c r="AN295" s="236">
        <f t="shared" si="1195"/>
        <v>388.64438635074993</v>
      </c>
      <c r="AO295" s="236">
        <f t="shared" si="1195"/>
        <v>119.21409899999996</v>
      </c>
      <c r="AP295" s="236">
        <f t="shared" si="1195"/>
        <v>89.287574901884739</v>
      </c>
      <c r="AQ295" s="236">
        <f t="shared" si="1195"/>
        <v>-32.247060888338865</v>
      </c>
      <c r="AR295" s="236">
        <f t="shared" si="1195"/>
        <v>-15.957371738313556</v>
      </c>
      <c r="AS295" s="236">
        <f t="shared" si="1195"/>
        <v>66.693437360000033</v>
      </c>
      <c r="AT295" s="236">
        <f t="shared" si="1195"/>
        <v>251.26935554833503</v>
      </c>
      <c r="AU295" s="236">
        <f t="shared" si="1195"/>
        <v>-261.47831523131947</v>
      </c>
      <c r="AV295" s="236">
        <f t="shared" si="1195"/>
        <v>1287.6843336800002</v>
      </c>
      <c r="AW295" s="236">
        <f t="shared" si="1195"/>
        <v>-493.34669070000007</v>
      </c>
      <c r="AX295" s="236">
        <f t="shared" si="1195"/>
        <v>-330.0403520190157</v>
      </c>
      <c r="AY295" s="236">
        <f t="shared" si="1195"/>
        <v>-59.404925182209297</v>
      </c>
      <c r="AZ295" s="236">
        <f t="shared" si="1195"/>
        <v>-205.59857724000005</v>
      </c>
      <c r="BA295" s="236">
        <f t="shared" si="1195"/>
        <v>-187.33627980000009</v>
      </c>
      <c r="BB295" s="236">
        <f t="shared" si="1195"/>
        <v>-229.95038732700846</v>
      </c>
      <c r="BC295" s="236">
        <f t="shared" si="1195"/>
        <v>-21.510315629999951</v>
      </c>
      <c r="BD295" s="236">
        <f t="shared" si="1195"/>
        <v>-26.256496628978255</v>
      </c>
      <c r="BE295" s="236">
        <f t="shared" si="1195"/>
        <v>59.389218328840862</v>
      </c>
      <c r="BF295" s="236">
        <f t="shared" si="1195"/>
        <v>-329.89651846455359</v>
      </c>
      <c r="BG295" s="236">
        <f t="shared" si="1195"/>
        <v>328.60092863469242</v>
      </c>
      <c r="BH295" s="236">
        <f t="shared" si="1195"/>
        <v>-165.03578765626344</v>
      </c>
      <c r="BI295" s="236">
        <f t="shared" ref="BI295" si="1196">BI70*BI266</f>
        <v>541.09961801424333</v>
      </c>
      <c r="BJ295" s="44"/>
      <c r="BK295" s="44"/>
      <c r="BL295" s="44"/>
      <c r="BM295" s="44"/>
      <c r="BN295" s="44"/>
      <c r="BO295" s="44"/>
      <c r="BP295" s="44"/>
      <c r="BQ295" s="44"/>
      <c r="BR295" s="44"/>
      <c r="BS295" s="44"/>
      <c r="BT295" s="44"/>
      <c r="BU295" s="44"/>
      <c r="BV295" s="44"/>
      <c r="BW295" s="44"/>
      <c r="BX295" s="44"/>
      <c r="BY295" s="44"/>
      <c r="BZ295" s="44"/>
      <c r="CA295" s="44"/>
      <c r="CB295" s="44"/>
      <c r="CC295" s="44"/>
      <c r="CD295" s="44"/>
      <c r="CE295" s="44"/>
      <c r="CF295" s="44"/>
      <c r="CG295" s="46"/>
      <c r="CH295" s="44"/>
      <c r="CI295" s="44"/>
    </row>
    <row r="296" spans="2:87" ht="13.5" customHeight="1" thickTop="1">
      <c r="B296" s="1" t="str">
        <f t="shared" ref="B296:B305" si="1197">B72</f>
        <v>Equity Issuance/Buyback</v>
      </c>
      <c r="C296" s="54">
        <f t="shared" ref="C296:Q296" si="1198">C72*C266</f>
        <v>896.43759398496229</v>
      </c>
      <c r="D296" s="54">
        <f t="shared" si="1198"/>
        <v>6.3091482649842268E-2</v>
      </c>
      <c r="E296" s="231">
        <f t="shared" si="1198"/>
        <v>0</v>
      </c>
      <c r="F296" s="231">
        <f t="shared" si="1198"/>
        <v>-3.0262205844791783</v>
      </c>
      <c r="G296" s="231">
        <f t="shared" si="1198"/>
        <v>410.15075344000007</v>
      </c>
      <c r="H296" s="231">
        <f t="shared" si="1198"/>
        <v>410.15075344000007</v>
      </c>
      <c r="I296" s="231">
        <f t="shared" si="1198"/>
        <v>-90.730855742728863</v>
      </c>
      <c r="J296" s="231">
        <f t="shared" si="1198"/>
        <v>-88.721754146491506</v>
      </c>
      <c r="K296" s="231">
        <f t="shared" si="1198"/>
        <v>-170.53734263290963</v>
      </c>
      <c r="L296" s="231">
        <f t="shared" si="1198"/>
        <v>-93.888665322984721</v>
      </c>
      <c r="M296" s="231">
        <f t="shared" si="1198"/>
        <v>-93.888665322984721</v>
      </c>
      <c r="N296" s="231">
        <f t="shared" si="1198"/>
        <v>-127.90220240918711</v>
      </c>
      <c r="O296" s="231">
        <f t="shared" si="1198"/>
        <v>-127.90220240918711</v>
      </c>
      <c r="P296" s="231">
        <f t="shared" si="1198"/>
        <v>-201.74537038648492</v>
      </c>
      <c r="Q296" s="231">
        <f t="shared" si="1198"/>
        <v>-243.31551020912724</v>
      </c>
      <c r="R296" s="231">
        <f t="shared" ref="R296" si="1199">R72*R266</f>
        <v>-65.362387816053925</v>
      </c>
      <c r="S296" s="231">
        <f>S72*S266</f>
        <v>-35.45699513123737</v>
      </c>
      <c r="U296" s="231">
        <f t="shared" ref="U296:BG296" si="1200">U72*U266</f>
        <v>-6.4935000000000001E-3</v>
      </c>
      <c r="V296" s="231">
        <f t="shared" si="1200"/>
        <v>-4.5329600000000008E-3</v>
      </c>
      <c r="W296" s="231">
        <f t="shared" si="1200"/>
        <v>1.0612670000000001E-2</v>
      </c>
      <c r="X296" s="231">
        <f t="shared" si="1200"/>
        <v>0</v>
      </c>
      <c r="Y296" s="231">
        <f t="shared" si="1200"/>
        <v>-0.41791704999999996</v>
      </c>
      <c r="Z296" s="231">
        <f t="shared" si="1200"/>
        <v>4.0491127442193943E-2</v>
      </c>
      <c r="AA296" s="231">
        <f t="shared" si="1200"/>
        <v>0.4326912287263886</v>
      </c>
      <c r="AB296" s="231">
        <f t="shared" si="1200"/>
        <v>-3.008880511864739</v>
      </c>
      <c r="AC296" s="231">
        <f t="shared" si="1200"/>
        <v>-0.77308719999999997</v>
      </c>
      <c r="AD296" s="231">
        <f t="shared" si="1200"/>
        <v>-12.98674134</v>
      </c>
      <c r="AE296" s="231">
        <f t="shared" si="1200"/>
        <v>-36.623452799999995</v>
      </c>
      <c r="AF296" s="231">
        <f t="shared" si="1200"/>
        <v>446.23665715000004</v>
      </c>
      <c r="AG296" s="231">
        <f t="shared" si="1200"/>
        <v>0</v>
      </c>
      <c r="AH296" s="231">
        <f t="shared" si="1200"/>
        <v>-18.581171059999999</v>
      </c>
      <c r="AI296" s="231">
        <f t="shared" si="1200"/>
        <v>-71.631033499999987</v>
      </c>
      <c r="AJ296" s="231">
        <f t="shared" si="1200"/>
        <v>-3.6224745074993507E-2</v>
      </c>
      <c r="AK296" s="231">
        <f t="shared" si="1200"/>
        <v>-69.284718317667227</v>
      </c>
      <c r="AL296" s="231">
        <f t="shared" si="1200"/>
        <v>-70.5927628675623</v>
      </c>
      <c r="AM296" s="231">
        <f t="shared" si="1200"/>
        <v>-37.329044885872001</v>
      </c>
      <c r="AN296" s="231">
        <f t="shared" si="1200"/>
        <v>9.9472941580901164</v>
      </c>
      <c r="AO296" s="231">
        <f t="shared" si="1200"/>
        <v>0</v>
      </c>
      <c r="AP296" s="231">
        <f t="shared" si="1200"/>
        <v>-88.555163029748257</v>
      </c>
      <c r="AQ296" s="231">
        <f t="shared" si="1200"/>
        <v>-6.1358302132224658</v>
      </c>
      <c r="AR296" s="231">
        <f t="shared" si="1200"/>
        <v>0</v>
      </c>
      <c r="AS296" s="231">
        <f t="shared" si="1200"/>
        <v>0</v>
      </c>
      <c r="AT296" s="231">
        <f t="shared" si="1200"/>
        <v>-123.10035605949776</v>
      </c>
      <c r="AU296" s="231">
        <f t="shared" si="1200"/>
        <v>-5.3028002038765063</v>
      </c>
      <c r="AV296" s="231">
        <f t="shared" si="1200"/>
        <v>0</v>
      </c>
      <c r="AW296" s="231">
        <f t="shared" si="1200"/>
        <v>-0.74519064000000002</v>
      </c>
      <c r="AX296" s="231">
        <f t="shared" si="1200"/>
        <v>-17.050623956535276</v>
      </c>
      <c r="AY296" s="231">
        <f t="shared" si="1200"/>
        <v>-142.62557039055102</v>
      </c>
      <c r="AZ296" s="231">
        <f t="shared" si="1200"/>
        <v>-45.951375329999976</v>
      </c>
      <c r="BA296" s="231">
        <f t="shared" si="1200"/>
        <v>-15.819008600000004</v>
      </c>
      <c r="BB296" s="231">
        <f t="shared" si="1200"/>
        <v>-148.48632024835348</v>
      </c>
      <c r="BC296" s="231">
        <f t="shared" si="1200"/>
        <v>-51.866644949999994</v>
      </c>
      <c r="BD296" s="231">
        <f t="shared" si="1200"/>
        <v>-31.042500286524401</v>
      </c>
      <c r="BE296" s="231">
        <f t="shared" si="1200"/>
        <v>-31.718010291595196</v>
      </c>
      <c r="BF296" s="231">
        <f t="shared" si="1200"/>
        <v>-27.537118934504445</v>
      </c>
      <c r="BG296" s="231">
        <f t="shared" si="1200"/>
        <v>-3.716739579698864</v>
      </c>
      <c r="BH296" s="231">
        <f t="shared" ref="BH296:BI296" si="1201">BH72*BH266</f>
        <v>0</v>
      </c>
      <c r="BI296" s="231">
        <f t="shared" si="1201"/>
        <v>-2.7877559617672678</v>
      </c>
      <c r="BJ296" s="44"/>
      <c r="BK296" s="44"/>
      <c r="BL296" s="44"/>
      <c r="BM296" s="44"/>
      <c r="BN296" s="44"/>
      <c r="BO296" s="44"/>
      <c r="BP296" s="44"/>
      <c r="BQ296" s="44"/>
      <c r="BR296" s="44"/>
      <c r="BS296" s="44"/>
      <c r="BT296" s="44"/>
      <c r="BU296" s="44"/>
      <c r="BV296" s="44"/>
      <c r="BW296" s="44"/>
      <c r="BX296" s="44"/>
      <c r="BY296" s="44"/>
      <c r="BZ296" s="44"/>
      <c r="CA296" s="44"/>
      <c r="CB296" s="44"/>
      <c r="CC296" s="44"/>
      <c r="CD296" s="44"/>
      <c r="CE296" s="44"/>
      <c r="CF296" s="44"/>
      <c r="CG296" s="46"/>
      <c r="CH296" s="44"/>
      <c r="CI296" s="44"/>
    </row>
    <row r="297" spans="2:87" ht="13.5" customHeight="1">
      <c r="B297" s="1" t="str">
        <f t="shared" si="1197"/>
        <v>Perpetual bond</v>
      </c>
      <c r="C297" s="54">
        <f t="shared" ref="C297:Q297" si="1202">C73*C266</f>
        <v>0</v>
      </c>
      <c r="D297" s="54">
        <f t="shared" si="1202"/>
        <v>0</v>
      </c>
      <c r="E297" s="231">
        <f t="shared" si="1202"/>
        <v>0</v>
      </c>
      <c r="F297" s="231">
        <f t="shared" si="1202"/>
        <v>0</v>
      </c>
      <c r="G297" s="231">
        <f t="shared" si="1202"/>
        <v>0</v>
      </c>
      <c r="H297" s="231">
        <f t="shared" si="1202"/>
        <v>0</v>
      </c>
      <c r="I297" s="231">
        <f t="shared" si="1202"/>
        <v>0</v>
      </c>
      <c r="J297" s="231">
        <f t="shared" si="1202"/>
        <v>0</v>
      </c>
      <c r="K297" s="231">
        <f t="shared" si="1202"/>
        <v>0</v>
      </c>
      <c r="L297" s="231">
        <f t="shared" si="1202"/>
        <v>0</v>
      </c>
      <c r="M297" s="231">
        <f t="shared" si="1202"/>
        <v>0</v>
      </c>
      <c r="N297" s="231">
        <f t="shared" si="1202"/>
        <v>0</v>
      </c>
      <c r="O297" s="231">
        <f t="shared" si="1202"/>
        <v>0</v>
      </c>
      <c r="P297" s="231">
        <f t="shared" si="1202"/>
        <v>0</v>
      </c>
      <c r="Q297" s="231">
        <f t="shared" si="1202"/>
        <v>0</v>
      </c>
      <c r="R297" s="231">
        <f t="shared" ref="R297" si="1203">R73*R266</f>
        <v>0</v>
      </c>
      <c r="S297" s="231">
        <f>S73*S266</f>
        <v>0</v>
      </c>
      <c r="U297" s="231">
        <f t="shared" ref="U297:BG297" si="1204">U73*U266</f>
        <v>0</v>
      </c>
      <c r="V297" s="231">
        <f t="shared" si="1204"/>
        <v>0</v>
      </c>
      <c r="W297" s="231">
        <f t="shared" si="1204"/>
        <v>0</v>
      </c>
      <c r="X297" s="231">
        <f t="shared" si="1204"/>
        <v>0</v>
      </c>
      <c r="Y297" s="231">
        <f t="shared" si="1204"/>
        <v>0</v>
      </c>
      <c r="Z297" s="231">
        <f t="shared" si="1204"/>
        <v>0</v>
      </c>
      <c r="AA297" s="231">
        <f t="shared" si="1204"/>
        <v>0</v>
      </c>
      <c r="AB297" s="231">
        <f t="shared" si="1204"/>
        <v>0</v>
      </c>
      <c r="AC297" s="231">
        <f t="shared" si="1204"/>
        <v>0</v>
      </c>
      <c r="AD297" s="231">
        <f t="shared" si="1204"/>
        <v>451.28284596000003</v>
      </c>
      <c r="AE297" s="231">
        <f t="shared" si="1204"/>
        <v>-7.7731104000000402</v>
      </c>
      <c r="AF297" s="231">
        <f t="shared" si="1204"/>
        <v>-445.922505</v>
      </c>
      <c r="AG297" s="231">
        <f t="shared" si="1204"/>
        <v>0</v>
      </c>
      <c r="AH297" s="231">
        <f t="shared" si="1204"/>
        <v>0</v>
      </c>
      <c r="AI297" s="231">
        <f t="shared" si="1204"/>
        <v>0</v>
      </c>
      <c r="AJ297" s="231">
        <f t="shared" si="1204"/>
        <v>0</v>
      </c>
      <c r="AK297" s="231">
        <f t="shared" si="1204"/>
        <v>0</v>
      </c>
      <c r="AL297" s="231">
        <f t="shared" si="1204"/>
        <v>0</v>
      </c>
      <c r="AM297" s="231">
        <f t="shared" si="1204"/>
        <v>0</v>
      </c>
      <c r="AN297" s="231">
        <f t="shared" si="1204"/>
        <v>0</v>
      </c>
      <c r="AO297" s="231">
        <f t="shared" si="1204"/>
        <v>0</v>
      </c>
      <c r="AP297" s="231">
        <f t="shared" si="1204"/>
        <v>0</v>
      </c>
      <c r="AQ297" s="231">
        <f t="shared" si="1204"/>
        <v>0</v>
      </c>
      <c r="AR297" s="231">
        <f t="shared" si="1204"/>
        <v>0</v>
      </c>
      <c r="AS297" s="231">
        <f t="shared" si="1204"/>
        <v>0</v>
      </c>
      <c r="AT297" s="231">
        <f t="shared" si="1204"/>
        <v>0</v>
      </c>
      <c r="AU297" s="231">
        <f t="shared" si="1204"/>
        <v>0</v>
      </c>
      <c r="AV297" s="231">
        <f t="shared" si="1204"/>
        <v>0</v>
      </c>
      <c r="AW297" s="231">
        <f t="shared" si="1204"/>
        <v>0</v>
      </c>
      <c r="AX297" s="231">
        <f t="shared" si="1204"/>
        <v>0</v>
      </c>
      <c r="AY297" s="231">
        <f t="shared" si="1204"/>
        <v>0</v>
      </c>
      <c r="AZ297" s="231">
        <f t="shared" si="1204"/>
        <v>0</v>
      </c>
      <c r="BA297" s="231">
        <f t="shared" si="1204"/>
        <v>0</v>
      </c>
      <c r="BB297" s="231">
        <f t="shared" si="1204"/>
        <v>0</v>
      </c>
      <c r="BC297" s="231">
        <f t="shared" si="1204"/>
        <v>0</v>
      </c>
      <c r="BD297" s="231">
        <f t="shared" si="1204"/>
        <v>0</v>
      </c>
      <c r="BE297" s="231">
        <f t="shared" si="1204"/>
        <v>0</v>
      </c>
      <c r="BF297" s="231">
        <f t="shared" si="1204"/>
        <v>0</v>
      </c>
      <c r="BG297" s="231">
        <f t="shared" si="1204"/>
        <v>0</v>
      </c>
      <c r="BH297" s="231">
        <f t="shared" ref="BH297:BI297" si="1205">BH73*BH266</f>
        <v>0</v>
      </c>
      <c r="BI297" s="231">
        <f t="shared" si="1205"/>
        <v>0</v>
      </c>
      <c r="BJ297" s="44"/>
      <c r="BK297" s="44"/>
      <c r="BL297" s="44"/>
      <c r="BM297" s="44"/>
      <c r="BN297" s="44"/>
      <c r="BO297" s="44"/>
      <c r="BP297" s="44"/>
      <c r="BQ297" s="44"/>
      <c r="BR297" s="44"/>
      <c r="BS297" s="44"/>
      <c r="BT297" s="44"/>
      <c r="BU297" s="44"/>
      <c r="BV297" s="44"/>
      <c r="BW297" s="44"/>
      <c r="BX297" s="44"/>
      <c r="BY297" s="44"/>
      <c r="BZ297" s="44"/>
      <c r="CA297" s="44"/>
      <c r="CB297" s="44"/>
      <c r="CC297" s="44"/>
      <c r="CD297" s="44"/>
      <c r="CE297" s="44"/>
      <c r="CF297" s="44"/>
      <c r="CG297" s="46"/>
      <c r="CH297" s="44"/>
      <c r="CI297" s="44"/>
    </row>
    <row r="298" spans="2:87" s="5" customFormat="1" ht="13.5" customHeight="1">
      <c r="B298" s="1" t="str">
        <f t="shared" si="1197"/>
        <v>Dividends Paid</v>
      </c>
      <c r="C298" s="54">
        <f t="shared" ref="C298:Q298" si="1206">C74*C266</f>
        <v>0</v>
      </c>
      <c r="D298" s="54">
        <f t="shared" si="1206"/>
        <v>0</v>
      </c>
      <c r="E298" s="231">
        <f t="shared" si="1206"/>
        <v>-60.502018041775877</v>
      </c>
      <c r="F298" s="231">
        <f t="shared" si="1206"/>
        <v>-72.263506939100054</v>
      </c>
      <c r="G298" s="231">
        <f t="shared" si="1206"/>
        <v>-93.361176279999995</v>
      </c>
      <c r="H298" s="231">
        <f t="shared" si="1206"/>
        <v>-88.893230900000006</v>
      </c>
      <c r="I298" s="231">
        <f t="shared" si="1206"/>
        <v>-136.23702493227125</v>
      </c>
      <c r="J298" s="231">
        <f t="shared" si="1206"/>
        <v>-133.22025602804993</v>
      </c>
      <c r="K298" s="231">
        <f t="shared" si="1206"/>
        <v>-136.23452010179551</v>
      </c>
      <c r="L298" s="231">
        <f t="shared" si="1206"/>
        <v>-256.73531227700619</v>
      </c>
      <c r="M298" s="231">
        <f t="shared" si="1206"/>
        <v>-256.73531227700619</v>
      </c>
      <c r="N298" s="231">
        <f t="shared" si="1206"/>
        <v>-321.67818853114039</v>
      </c>
      <c r="O298" s="231">
        <f t="shared" si="1206"/>
        <v>-277.89992629011294</v>
      </c>
      <c r="P298" s="231">
        <f t="shared" si="1206"/>
        <v>-222.78011170867697</v>
      </c>
      <c r="Q298" s="231">
        <f t="shared" si="1206"/>
        <v>-232.43295081879461</v>
      </c>
      <c r="R298" s="231">
        <f t="shared" ref="R298" si="1207">R74*R266</f>
        <v>-232.12841920495623</v>
      </c>
      <c r="S298" s="231">
        <f>S74*S266</f>
        <v>-241.64458541740206</v>
      </c>
      <c r="U298" s="231">
        <f t="shared" ref="U298:BG298" si="1208">U74*U266</f>
        <v>0</v>
      </c>
      <c r="V298" s="231">
        <f t="shared" si="1208"/>
        <v>-62.398295040000008</v>
      </c>
      <c r="W298" s="231">
        <f t="shared" si="1208"/>
        <v>-1.0256425599999985</v>
      </c>
      <c r="X298" s="231">
        <f t="shared" si="1208"/>
        <v>0.96984367120524329</v>
      </c>
      <c r="Y298" s="231">
        <f t="shared" si="1208"/>
        <v>0</v>
      </c>
      <c r="Z298" s="231">
        <f t="shared" si="1208"/>
        <v>-73.342606201828289</v>
      </c>
      <c r="AA298" s="231">
        <f t="shared" si="1208"/>
        <v>-1.2383766598092325</v>
      </c>
      <c r="AB298" s="231">
        <f t="shared" si="1208"/>
        <v>1.1627159679589305</v>
      </c>
      <c r="AC298" s="231">
        <f t="shared" si="1208"/>
        <v>0</v>
      </c>
      <c r="AD298" s="231">
        <f t="shared" si="1208"/>
        <v>-81.70045721999999</v>
      </c>
      <c r="AE298" s="231">
        <f t="shared" si="1208"/>
        <v>0.22228800000000193</v>
      </c>
      <c r="AF298" s="231">
        <f t="shared" si="1208"/>
        <v>-8.6116636500000059</v>
      </c>
      <c r="AG298" s="231">
        <f t="shared" si="1208"/>
        <v>-14.78016774</v>
      </c>
      <c r="AH298" s="231">
        <f t="shared" si="1208"/>
        <v>-109.92750371999999</v>
      </c>
      <c r="AI298" s="231">
        <f t="shared" si="1208"/>
        <v>-13.159711419999992</v>
      </c>
      <c r="AJ298" s="231">
        <f t="shared" si="1208"/>
        <v>0.79601289820499954</v>
      </c>
      <c r="AK298" s="231">
        <f t="shared" si="1208"/>
        <v>-13.897119542031291</v>
      </c>
      <c r="AL298" s="231">
        <f t="shared" si="1208"/>
        <v>-101.13710087915884</v>
      </c>
      <c r="AM298" s="231">
        <f t="shared" si="1208"/>
        <v>13.546104501322816</v>
      </c>
      <c r="AN298" s="231">
        <f t="shared" si="1208"/>
        <v>-30.501905177445472</v>
      </c>
      <c r="AO298" s="231">
        <f t="shared" si="1208"/>
        <v>-15.046511399999998</v>
      </c>
      <c r="AP298" s="231">
        <f t="shared" si="1208"/>
        <v>-229.88369593443122</v>
      </c>
      <c r="AQ298" s="231">
        <f t="shared" si="1208"/>
        <v>-15.872685720497563</v>
      </c>
      <c r="AR298" s="231">
        <f t="shared" si="1208"/>
        <v>2.2369207886890909</v>
      </c>
      <c r="AS298" s="231">
        <f t="shared" si="1208"/>
        <v>-15.382745290000001</v>
      </c>
      <c r="AT298" s="231">
        <f t="shared" si="1208"/>
        <v>-134.40762610161656</v>
      </c>
      <c r="AU298" s="231">
        <f t="shared" si="1208"/>
        <v>-31.949752401419946</v>
      </c>
      <c r="AV298" s="231">
        <f t="shared" si="1208"/>
        <v>-142.89941586999998</v>
      </c>
      <c r="AW298" s="231">
        <f t="shared" si="1208"/>
        <v>-21.006574800000003</v>
      </c>
      <c r="AX298" s="231">
        <f t="shared" si="1208"/>
        <v>-201.94182065140501</v>
      </c>
      <c r="AY298" s="231">
        <f t="shared" si="1208"/>
        <v>0.9156820739218583</v>
      </c>
      <c r="AZ298" s="231">
        <f t="shared" si="1208"/>
        <v>-0.90143631000001501</v>
      </c>
      <c r="BA298" s="231">
        <f t="shared" si="1208"/>
        <v>1.3757862000000003</v>
      </c>
      <c r="BB298" s="231">
        <f t="shared" si="1208"/>
        <v>-247.03995125772479</v>
      </c>
      <c r="BC298" s="231">
        <f t="shared" si="1208"/>
        <v>9.1968033189004928E-15</v>
      </c>
      <c r="BD298" s="231">
        <f t="shared" si="1208"/>
        <v>8.6746114610363981E-15</v>
      </c>
      <c r="BE298" s="231">
        <f t="shared" si="1208"/>
        <v>0.63709875030629737</v>
      </c>
      <c r="BF298" s="231">
        <f t="shared" si="1208"/>
        <v>-229.00181618559981</v>
      </c>
      <c r="BG298" s="231">
        <f t="shared" si="1208"/>
        <v>0</v>
      </c>
      <c r="BH298" s="231">
        <f t="shared" ref="BH298:BI298" si="1209">BH74*BH266</f>
        <v>0</v>
      </c>
      <c r="BI298" s="231">
        <f t="shared" si="1209"/>
        <v>0</v>
      </c>
      <c r="BJ298" s="44"/>
      <c r="BK298" s="44"/>
      <c r="BL298" s="44"/>
      <c r="BM298" s="44"/>
      <c r="BN298" s="44"/>
      <c r="BO298" s="44"/>
      <c r="BP298" s="44"/>
      <c r="BQ298" s="44"/>
      <c r="BR298" s="44"/>
      <c r="BS298" s="44"/>
      <c r="BT298" s="44"/>
      <c r="BU298" s="44"/>
      <c r="BV298" s="44"/>
      <c r="BW298" s="44"/>
      <c r="BX298" s="44"/>
      <c r="BY298" s="44"/>
      <c r="BZ298" s="44"/>
      <c r="CA298" s="44"/>
      <c r="CB298" s="44"/>
      <c r="CC298" s="44"/>
      <c r="CD298" s="44"/>
      <c r="CE298" s="44"/>
      <c r="CF298" s="44"/>
      <c r="CG298" s="46"/>
      <c r="CH298" s="44"/>
      <c r="CI298" s="44"/>
    </row>
    <row r="299" spans="2:87" ht="13.5" customHeight="1">
      <c r="B299" s="1" t="str">
        <f t="shared" si="1197"/>
        <v>Acquisition of bonds</v>
      </c>
      <c r="C299" s="54">
        <f t="shared" ref="C299:Q299" si="1210">C75*C266</f>
        <v>0</v>
      </c>
      <c r="D299" s="54">
        <f t="shared" si="1210"/>
        <v>0</v>
      </c>
      <c r="E299" s="231">
        <f t="shared" si="1210"/>
        <v>0</v>
      </c>
      <c r="F299" s="231">
        <f t="shared" si="1210"/>
        <v>0</v>
      </c>
      <c r="G299" s="231">
        <f t="shared" si="1210"/>
        <v>0</v>
      </c>
      <c r="H299" s="231">
        <f t="shared" si="1210"/>
        <v>0</v>
      </c>
      <c r="I299" s="231">
        <f t="shared" si="1210"/>
        <v>0</v>
      </c>
      <c r="J299" s="231">
        <f t="shared" si="1210"/>
        <v>0</v>
      </c>
      <c r="K299" s="231">
        <f t="shared" si="1210"/>
        <v>0</v>
      </c>
      <c r="L299" s="231">
        <f t="shared" si="1210"/>
        <v>0</v>
      </c>
      <c r="M299" s="231">
        <f t="shared" si="1210"/>
        <v>0</v>
      </c>
      <c r="N299" s="231">
        <f t="shared" si="1210"/>
        <v>0</v>
      </c>
      <c r="O299" s="231">
        <f t="shared" si="1210"/>
        <v>0</v>
      </c>
      <c r="P299" s="231">
        <f t="shared" si="1210"/>
        <v>0</v>
      </c>
      <c r="Q299" s="231">
        <f t="shared" si="1210"/>
        <v>0</v>
      </c>
      <c r="R299" s="231">
        <f t="shared" ref="R299" si="1211">R75*R266</f>
        <v>0</v>
      </c>
      <c r="S299" s="231">
        <f>S75*S266</f>
        <v>0</v>
      </c>
      <c r="U299" s="231">
        <f t="shared" ref="U299:BG299" si="1212">U75*U266</f>
        <v>0</v>
      </c>
      <c r="V299" s="231">
        <f t="shared" si="1212"/>
        <v>0</v>
      </c>
      <c r="W299" s="231">
        <f t="shared" si="1212"/>
        <v>0</v>
      </c>
      <c r="X299" s="231">
        <f t="shared" si="1212"/>
        <v>0</v>
      </c>
      <c r="Y299" s="231">
        <f t="shared" si="1212"/>
        <v>0</v>
      </c>
      <c r="Z299" s="231">
        <f t="shared" si="1212"/>
        <v>0</v>
      </c>
      <c r="AA299" s="231">
        <f t="shared" si="1212"/>
        <v>0</v>
      </c>
      <c r="AB299" s="231">
        <f t="shared" si="1212"/>
        <v>0</v>
      </c>
      <c r="AC299" s="231">
        <f t="shared" si="1212"/>
        <v>0</v>
      </c>
      <c r="AD299" s="231">
        <f t="shared" si="1212"/>
        <v>0</v>
      </c>
      <c r="AE299" s="231">
        <f t="shared" si="1212"/>
        <v>0</v>
      </c>
      <c r="AF299" s="231">
        <f t="shared" si="1212"/>
        <v>0</v>
      </c>
      <c r="AG299" s="231">
        <f t="shared" si="1212"/>
        <v>0</v>
      </c>
      <c r="AH299" s="231">
        <f t="shared" si="1212"/>
        <v>0</v>
      </c>
      <c r="AI299" s="231">
        <f t="shared" si="1212"/>
        <v>0</v>
      </c>
      <c r="AJ299" s="231">
        <f t="shared" si="1212"/>
        <v>0</v>
      </c>
      <c r="AK299" s="231">
        <f t="shared" si="1212"/>
        <v>0</v>
      </c>
      <c r="AL299" s="231">
        <f t="shared" si="1212"/>
        <v>0</v>
      </c>
      <c r="AM299" s="231">
        <f t="shared" si="1212"/>
        <v>0</v>
      </c>
      <c r="AN299" s="231">
        <f t="shared" si="1212"/>
        <v>0</v>
      </c>
      <c r="AO299" s="231">
        <f t="shared" si="1212"/>
        <v>0</v>
      </c>
      <c r="AP299" s="231">
        <f t="shared" si="1212"/>
        <v>0</v>
      </c>
      <c r="AQ299" s="231">
        <f t="shared" si="1212"/>
        <v>0</v>
      </c>
      <c r="AR299" s="231">
        <f t="shared" si="1212"/>
        <v>0</v>
      </c>
      <c r="AS299" s="231">
        <f t="shared" si="1212"/>
        <v>0</v>
      </c>
      <c r="AT299" s="231">
        <f t="shared" si="1212"/>
        <v>0</v>
      </c>
      <c r="AU299" s="231">
        <f t="shared" si="1212"/>
        <v>0</v>
      </c>
      <c r="AV299" s="231">
        <f t="shared" si="1212"/>
        <v>0</v>
      </c>
      <c r="AW299" s="231">
        <f t="shared" si="1212"/>
        <v>0</v>
      </c>
      <c r="AX299" s="231">
        <f t="shared" si="1212"/>
        <v>0</v>
      </c>
      <c r="AY299" s="231">
        <f t="shared" si="1212"/>
        <v>0</v>
      </c>
      <c r="AZ299" s="231">
        <f t="shared" si="1212"/>
        <v>0</v>
      </c>
      <c r="BA299" s="231">
        <f t="shared" si="1212"/>
        <v>0</v>
      </c>
      <c r="BB299" s="231">
        <f t="shared" si="1212"/>
        <v>0</v>
      </c>
      <c r="BC299" s="231">
        <f t="shared" si="1212"/>
        <v>0</v>
      </c>
      <c r="BD299" s="231">
        <f t="shared" si="1212"/>
        <v>0</v>
      </c>
      <c r="BE299" s="231">
        <f t="shared" si="1212"/>
        <v>0</v>
      </c>
      <c r="BF299" s="231">
        <f t="shared" si="1212"/>
        <v>0</v>
      </c>
      <c r="BG299" s="231">
        <f t="shared" si="1212"/>
        <v>0</v>
      </c>
      <c r="BH299" s="231">
        <f t="shared" ref="BH299:BI299" si="1213">BH75*BH266</f>
        <v>0</v>
      </c>
      <c r="BI299" s="231">
        <f t="shared" si="1213"/>
        <v>0</v>
      </c>
      <c r="BJ299" s="44"/>
      <c r="BK299" s="44"/>
      <c r="BL299" s="44"/>
      <c r="BM299" s="44"/>
      <c r="BN299" s="44"/>
      <c r="BO299" s="44"/>
      <c r="BP299" s="44"/>
      <c r="BQ299" s="44"/>
      <c r="BR299" s="44"/>
      <c r="BS299" s="44"/>
      <c r="BT299" s="44"/>
      <c r="BU299" s="44"/>
      <c r="BV299" s="44"/>
      <c r="BW299" s="44"/>
      <c r="BX299" s="44"/>
      <c r="BY299" s="44"/>
      <c r="BZ299" s="44"/>
      <c r="CA299" s="44"/>
      <c r="CB299" s="44"/>
      <c r="CC299" s="44"/>
      <c r="CD299" s="44"/>
      <c r="CE299" s="44"/>
      <c r="CF299" s="44"/>
      <c r="CG299" s="46"/>
      <c r="CH299" s="44"/>
      <c r="CI299" s="44"/>
    </row>
    <row r="300" spans="2:87" ht="13.5" customHeight="1">
      <c r="B300" s="1" t="str">
        <f t="shared" si="1197"/>
        <v>Change in debt /Finance Costs</v>
      </c>
      <c r="C300" s="54">
        <f t="shared" ref="C300:Q300" si="1214">C76*C266</f>
        <v>325.02601503759405</v>
      </c>
      <c r="D300" s="54">
        <f t="shared" si="1214"/>
        <v>-124.52088328075715</v>
      </c>
      <c r="E300" s="231">
        <f t="shared" si="1214"/>
        <v>58.49619707665331</v>
      </c>
      <c r="F300" s="231">
        <f t="shared" si="1214"/>
        <v>617.28796407647599</v>
      </c>
      <c r="G300" s="231">
        <f t="shared" si="1214"/>
        <v>-155.19788810000003</v>
      </c>
      <c r="H300" s="231">
        <f t="shared" si="1214"/>
        <v>-155.19788810000003</v>
      </c>
      <c r="I300" s="231">
        <f t="shared" si="1214"/>
        <v>-233.27896849706673</v>
      </c>
      <c r="J300" s="231">
        <f t="shared" si="1214"/>
        <v>-245.24705305588984</v>
      </c>
      <c r="K300" s="231">
        <f t="shared" si="1214"/>
        <v>-523.08132352195764</v>
      </c>
      <c r="L300" s="231">
        <f t="shared" si="1214"/>
        <v>0.86492494986421664</v>
      </c>
      <c r="M300" s="231">
        <f t="shared" si="1214"/>
        <v>0.86492494986421664</v>
      </c>
      <c r="N300" s="231">
        <f t="shared" si="1214"/>
        <v>-510.82279310126751</v>
      </c>
      <c r="O300" s="231">
        <f t="shared" si="1214"/>
        <v>-510.82279310126751</v>
      </c>
      <c r="P300" s="231">
        <f t="shared" si="1214"/>
        <v>1153.9106474974028</v>
      </c>
      <c r="Q300" s="231">
        <f t="shared" si="1214"/>
        <v>853.30547992347852</v>
      </c>
      <c r="R300" s="231">
        <f t="shared" ref="R300" si="1215">R76*R266</f>
        <v>298.82545392188416</v>
      </c>
      <c r="S300" s="231">
        <f>S76*S266</f>
        <v>-45.98709707671528</v>
      </c>
      <c r="U300" s="231">
        <f t="shared" ref="U300:BG300" si="1216">U76*U266</f>
        <v>26.747059500000006</v>
      </c>
      <c r="V300" s="231">
        <f t="shared" si="1216"/>
        <v>-107.79207512000001</v>
      </c>
      <c r="W300" s="231">
        <f t="shared" si="1216"/>
        <v>265.15676000000002</v>
      </c>
      <c r="X300" s="231">
        <f t="shared" si="1216"/>
        <v>-121.66686838124068</v>
      </c>
      <c r="Y300" s="231">
        <f t="shared" si="1216"/>
        <v>48.932927390000017</v>
      </c>
      <c r="Z300" s="231">
        <f t="shared" si="1216"/>
        <v>-86.593529306327298</v>
      </c>
      <c r="AA300" s="231">
        <f t="shared" si="1216"/>
        <v>-46.949466990835994</v>
      </c>
      <c r="AB300" s="231">
        <f t="shared" si="1216"/>
        <v>690.45057877674628</v>
      </c>
      <c r="AC300" s="231">
        <f t="shared" si="1216"/>
        <v>21.680077299999983</v>
      </c>
      <c r="AD300" s="231">
        <f t="shared" si="1216"/>
        <v>-114.12243899999999</v>
      </c>
      <c r="AE300" s="231">
        <f t="shared" si="1216"/>
        <v>-52.684895999999988</v>
      </c>
      <c r="AF300" s="231">
        <f t="shared" si="1216"/>
        <v>-5.8993707500000205</v>
      </c>
      <c r="AG300" s="231">
        <f t="shared" si="1216"/>
        <v>8.1288994500000058</v>
      </c>
      <c r="AH300" s="231">
        <f t="shared" si="1216"/>
        <v>-60.991749660000011</v>
      </c>
      <c r="AI300" s="231">
        <f t="shared" si="1216"/>
        <v>523.83948861999988</v>
      </c>
      <c r="AJ300" s="231">
        <f t="shared" si="1216"/>
        <v>-707.09305146215547</v>
      </c>
      <c r="AK300" s="231">
        <f t="shared" si="1216"/>
        <v>661.82723345063448</v>
      </c>
      <c r="AL300" s="231">
        <f t="shared" si="1216"/>
        <v>-657.45296095442507</v>
      </c>
      <c r="AM300" s="231">
        <f t="shared" si="1216"/>
        <v>-264.26679200765625</v>
      </c>
      <c r="AN300" s="231">
        <f t="shared" si="1216"/>
        <v>-195.22051499506676</v>
      </c>
      <c r="AO300" s="231">
        <f t="shared" si="1216"/>
        <v>-30.367661399999996</v>
      </c>
      <c r="AP300" s="231">
        <f t="shared" si="1216"/>
        <v>96.713099131468567</v>
      </c>
      <c r="AQ300" s="231">
        <f t="shared" si="1216"/>
        <v>-32.961994410659067</v>
      </c>
      <c r="AR300" s="231">
        <f t="shared" si="1216"/>
        <v>-31.413941793060687</v>
      </c>
      <c r="AS300" s="231">
        <f t="shared" si="1216"/>
        <v>-56.620556520000001</v>
      </c>
      <c r="AT300" s="231">
        <f t="shared" si="1216"/>
        <v>64.020781599003215</v>
      </c>
      <c r="AU300" s="231">
        <f t="shared" si="1216"/>
        <v>165.48672030699638</v>
      </c>
      <c r="AV300" s="231">
        <f t="shared" si="1216"/>
        <v>-696.44103451000024</v>
      </c>
      <c r="AW300" s="231">
        <f t="shared" si="1216"/>
        <v>143.37809754000003</v>
      </c>
      <c r="AX300" s="231">
        <f t="shared" si="1216"/>
        <v>591.63366252582136</v>
      </c>
      <c r="AY300" s="231">
        <f t="shared" si="1216"/>
        <v>179.53086236487513</v>
      </c>
      <c r="AZ300" s="231">
        <f t="shared" si="1216"/>
        <v>243.85826196000087</v>
      </c>
      <c r="BA300" s="231">
        <f t="shared" si="1216"/>
        <v>1065.8536343000003</v>
      </c>
      <c r="BB300" s="231">
        <f t="shared" si="1216"/>
        <v>-219.51907621783167</v>
      </c>
      <c r="BC300" s="231">
        <f t="shared" si="1216"/>
        <v>64.925745480000302</v>
      </c>
      <c r="BD300" s="231">
        <f t="shared" si="1216"/>
        <v>9.8414897274344298E-2</v>
      </c>
      <c r="BE300" s="231">
        <f t="shared" si="1216"/>
        <v>387.53222249448663</v>
      </c>
      <c r="BF300" s="231">
        <f t="shared" si="1216"/>
        <v>46.986209302563985</v>
      </c>
      <c r="BG300" s="231">
        <f t="shared" si="1216"/>
        <v>24.638503448831482</v>
      </c>
      <c r="BH300" s="231">
        <f t="shared" ref="BH300:BI300" si="1217">BH76*BH266</f>
        <v>-194.13224495148205</v>
      </c>
      <c r="BI300" s="231">
        <f t="shared" si="1217"/>
        <v>75.645703941113794</v>
      </c>
      <c r="BJ300" s="44"/>
      <c r="BK300" s="44"/>
      <c r="BL300" s="44"/>
      <c r="BM300" s="44"/>
      <c r="BN300" s="44"/>
      <c r="BO300" s="44"/>
      <c r="BP300" s="44"/>
      <c r="BQ300" s="44"/>
      <c r="BR300" s="44"/>
      <c r="BS300" s="44"/>
      <c r="BT300" s="44"/>
      <c r="BU300" s="44"/>
      <c r="BV300" s="44"/>
      <c r="BW300" s="44"/>
      <c r="BX300" s="44"/>
      <c r="BY300" s="44"/>
      <c r="BZ300" s="44"/>
      <c r="CA300" s="44"/>
      <c r="CB300" s="44"/>
      <c r="CC300" s="44"/>
      <c r="CD300" s="44"/>
      <c r="CE300" s="44"/>
      <c r="CF300" s="44"/>
      <c r="CG300" s="46"/>
      <c r="CH300" s="44"/>
      <c r="CI300" s="44"/>
    </row>
    <row r="301" spans="2:87" ht="13.5" customHeight="1" thickBot="1">
      <c r="B301" s="1" t="str">
        <f t="shared" si="1197"/>
        <v>Other Finance</v>
      </c>
      <c r="C301" s="54">
        <f t="shared" ref="C301:Q301" si="1218">C77*C266</f>
        <v>0</v>
      </c>
      <c r="D301" s="54">
        <f t="shared" si="1218"/>
        <v>-28.073186119873814</v>
      </c>
      <c r="E301" s="231">
        <f t="shared" si="1218"/>
        <v>2.7944920591530122</v>
      </c>
      <c r="F301" s="231">
        <f t="shared" si="1218"/>
        <v>20.81251179412557</v>
      </c>
      <c r="G301" s="231">
        <f t="shared" si="1218"/>
        <v>81.097193840000003</v>
      </c>
      <c r="H301" s="231">
        <f t="shared" si="1218"/>
        <v>81.097193840000003</v>
      </c>
      <c r="I301" s="231">
        <f t="shared" si="1218"/>
        <v>-55.539504068798884</v>
      </c>
      <c r="J301" s="231">
        <f t="shared" si="1218"/>
        <v>-54.309612524768262</v>
      </c>
      <c r="K301" s="231">
        <f t="shared" si="1218"/>
        <v>52.915033950309386</v>
      </c>
      <c r="L301" s="231">
        <f t="shared" si="1218"/>
        <v>13.002573356809162</v>
      </c>
      <c r="M301" s="231">
        <f t="shared" si="1218"/>
        <v>13.002573356809162</v>
      </c>
      <c r="N301" s="231">
        <f t="shared" si="1218"/>
        <v>0</v>
      </c>
      <c r="O301" s="231">
        <f t="shared" si="1218"/>
        <v>3.6721943476171037</v>
      </c>
      <c r="P301" s="231">
        <f t="shared" si="1218"/>
        <v>0</v>
      </c>
      <c r="Q301" s="231">
        <f t="shared" si="1218"/>
        <v>0</v>
      </c>
      <c r="R301" s="231">
        <f t="shared" ref="R301" si="1219">R77*R266</f>
        <v>0</v>
      </c>
      <c r="S301" s="231">
        <f>S77*S266</f>
        <v>0</v>
      </c>
      <c r="U301" s="231">
        <f t="shared" ref="U301:BG301" si="1220">U77*U266</f>
        <v>0.78254999999999997</v>
      </c>
      <c r="V301" s="231">
        <f t="shared" si="1220"/>
        <v>14.252400160000001</v>
      </c>
      <c r="W301" s="231">
        <f t="shared" si="1220"/>
        <v>-4.1022502599999999</v>
      </c>
      <c r="X301" s="231">
        <f t="shared" si="1220"/>
        <v>-7.2044377206253181</v>
      </c>
      <c r="Y301" s="231">
        <f t="shared" si="1220"/>
        <v>10.804032059999999</v>
      </c>
      <c r="Z301" s="231">
        <f t="shared" si="1220"/>
        <v>6.478150206130131</v>
      </c>
      <c r="AA301" s="231">
        <f t="shared" si="1220"/>
        <v>3.0123433701140838</v>
      </c>
      <c r="AB301" s="231">
        <f t="shared" si="1220"/>
        <v>-9.3240633530607114E-3</v>
      </c>
      <c r="AC301" s="231">
        <f t="shared" si="1220"/>
        <v>0</v>
      </c>
      <c r="AD301" s="231">
        <f t="shared" si="1220"/>
        <v>78.23085786</v>
      </c>
      <c r="AE301" s="231">
        <f t="shared" si="1220"/>
        <v>5.2799999998751442E-5</v>
      </c>
      <c r="AF301" s="231">
        <f t="shared" si="1220"/>
        <v>0</v>
      </c>
      <c r="AG301" s="231">
        <f t="shared" si="1220"/>
        <v>0</v>
      </c>
      <c r="AH301" s="231">
        <f t="shared" si="1220"/>
        <v>0</v>
      </c>
      <c r="AI301" s="231">
        <f t="shared" si="1220"/>
        <v>-56.615417180000001</v>
      </c>
      <c r="AJ301" s="231">
        <f t="shared" si="1220"/>
        <v>1.5713776917172952</v>
      </c>
      <c r="AK301" s="231">
        <f t="shared" si="1220"/>
        <v>79.513270827611549</v>
      </c>
      <c r="AL301" s="231">
        <f t="shared" si="1220"/>
        <v>-21.979022648837645</v>
      </c>
      <c r="AM301" s="231">
        <f t="shared" si="1220"/>
        <v>0</v>
      </c>
      <c r="AN301" s="231">
        <f t="shared" si="1220"/>
        <v>0</v>
      </c>
      <c r="AO301" s="231">
        <f t="shared" si="1220"/>
        <v>-36.409175999999995</v>
      </c>
      <c r="AP301" s="231">
        <f t="shared" si="1220"/>
        <v>50.448168978375051</v>
      </c>
      <c r="AQ301" s="231">
        <f t="shared" si="1220"/>
        <v>0</v>
      </c>
      <c r="AR301" s="231">
        <f t="shared" si="1220"/>
        <v>0</v>
      </c>
      <c r="AS301" s="231">
        <f t="shared" si="1220"/>
        <v>0</v>
      </c>
      <c r="AT301" s="231">
        <f t="shared" si="1220"/>
        <v>0</v>
      </c>
      <c r="AU301" s="231">
        <f t="shared" si="1220"/>
        <v>0</v>
      </c>
      <c r="AV301" s="231">
        <f t="shared" si="1220"/>
        <v>0</v>
      </c>
      <c r="AW301" s="231">
        <f t="shared" si="1220"/>
        <v>0</v>
      </c>
      <c r="AX301" s="231">
        <f t="shared" si="1220"/>
        <v>0</v>
      </c>
      <c r="AY301" s="231">
        <f t="shared" si="1220"/>
        <v>-4.5049729334841233</v>
      </c>
      <c r="AZ301" s="231">
        <f t="shared" si="1220"/>
        <v>4.4348866200000003</v>
      </c>
      <c r="BA301" s="231">
        <f t="shared" si="1220"/>
        <v>-197.89310350000002</v>
      </c>
      <c r="BB301" s="231">
        <f t="shared" si="1220"/>
        <v>194.95836597324978</v>
      </c>
      <c r="BC301" s="231">
        <f t="shared" si="1220"/>
        <v>0</v>
      </c>
      <c r="BD301" s="231">
        <f t="shared" si="1220"/>
        <v>0</v>
      </c>
      <c r="BE301" s="231">
        <f t="shared" si="1220"/>
        <v>0</v>
      </c>
      <c r="BF301" s="231">
        <f t="shared" si="1220"/>
        <v>0</v>
      </c>
      <c r="BG301" s="231">
        <f t="shared" si="1220"/>
        <v>0</v>
      </c>
      <c r="BH301" s="231">
        <f t="shared" ref="BH301:BI301" si="1221">BH77*BH266</f>
        <v>0</v>
      </c>
      <c r="BI301" s="231">
        <f t="shared" si="1221"/>
        <v>0</v>
      </c>
      <c r="BJ301" s="44"/>
      <c r="BK301" s="44"/>
      <c r="BL301" s="44"/>
      <c r="BM301" s="44"/>
      <c r="BN301" s="44"/>
      <c r="BO301" s="44"/>
      <c r="BP301" s="44"/>
      <c r="BQ301" s="44"/>
      <c r="BR301" s="44"/>
      <c r="BS301" s="44"/>
      <c r="BT301" s="44"/>
      <c r="BU301" s="44"/>
      <c r="BV301" s="44"/>
      <c r="BW301" s="44"/>
      <c r="BX301" s="44"/>
      <c r="BY301" s="44"/>
      <c r="BZ301" s="44"/>
      <c r="CA301" s="44"/>
      <c r="CB301" s="44"/>
      <c r="CC301" s="44"/>
      <c r="CD301" s="44"/>
      <c r="CE301" s="44"/>
      <c r="CF301" s="44"/>
      <c r="CG301" s="46"/>
      <c r="CH301" s="44"/>
      <c r="CI301" s="44"/>
    </row>
    <row r="302" spans="2:87" ht="13.5" customHeight="1" thickTop="1" thickBot="1">
      <c r="B302" s="76" t="str">
        <f t="shared" si="1197"/>
        <v>Cash flow after financing activities</v>
      </c>
      <c r="C302" s="77">
        <f t="shared" ref="C302:Q302" si="1222">C78*C266</f>
        <v>-185.72112781954888</v>
      </c>
      <c r="D302" s="77">
        <f t="shared" si="1222"/>
        <v>198.05785488958998</v>
      </c>
      <c r="E302" s="235">
        <f t="shared" si="1222"/>
        <v>50.239377810652321</v>
      </c>
      <c r="F302" s="235">
        <f t="shared" si="1222"/>
        <v>377.68979177966656</v>
      </c>
      <c r="G302" s="235">
        <f t="shared" si="1222"/>
        <v>330.39347988000031</v>
      </c>
      <c r="H302" s="235">
        <f t="shared" si="1222"/>
        <v>238.21427384000006</v>
      </c>
      <c r="I302" s="235">
        <f t="shared" si="1222"/>
        <v>388.50335223066924</v>
      </c>
      <c r="J302" s="235">
        <f t="shared" si="1222"/>
        <v>368.58588845935304</v>
      </c>
      <c r="K302" s="235">
        <f t="shared" si="1222"/>
        <v>35.572532358890513</v>
      </c>
      <c r="L302" s="235">
        <f t="shared" si="1222"/>
        <v>-61.022356961102496</v>
      </c>
      <c r="M302" s="235">
        <f t="shared" si="1222"/>
        <v>-175.08975594166077</v>
      </c>
      <c r="N302" s="235">
        <f t="shared" si="1222"/>
        <v>340.81860259467732</v>
      </c>
      <c r="O302" s="235">
        <f t="shared" si="1222"/>
        <v>251.58904126939103</v>
      </c>
      <c r="P302" s="235">
        <f t="shared" si="1222"/>
        <v>-372.55652002667142</v>
      </c>
      <c r="Q302" s="235">
        <f t="shared" si="1222"/>
        <v>-54.508152539474764</v>
      </c>
      <c r="R302" s="235">
        <f t="shared" ref="R302" si="1223">R78*R266</f>
        <v>-100.85083093842096</v>
      </c>
      <c r="S302" s="235">
        <f>S78*S266</f>
        <v>-18.669292348396183</v>
      </c>
      <c r="U302" s="235">
        <f t="shared" ref="U302:BG302" si="1224">U78*U266</f>
        <v>54.145467000000018</v>
      </c>
      <c r="V302" s="235">
        <f t="shared" si="1224"/>
        <v>-181.10330552000002</v>
      </c>
      <c r="W302" s="235">
        <f t="shared" si="1224"/>
        <v>183.42933494999994</v>
      </c>
      <c r="X302" s="235">
        <f t="shared" si="1224"/>
        <v>-10.171406959152872</v>
      </c>
      <c r="Y302" s="235">
        <f t="shared" si="1224"/>
        <v>36.605139650000012</v>
      </c>
      <c r="Z302" s="235">
        <f t="shared" si="1224"/>
        <v>-55.190912349883497</v>
      </c>
      <c r="AA302" s="235">
        <f t="shared" si="1224"/>
        <v>24.850682625771373</v>
      </c>
      <c r="AB302" s="235">
        <f t="shared" si="1224"/>
        <v>367.20247545980266</v>
      </c>
      <c r="AC302" s="235">
        <f t="shared" si="1224"/>
        <v>-122.40997588999998</v>
      </c>
      <c r="AD302" s="235">
        <f t="shared" si="1224"/>
        <v>181.17879444000002</v>
      </c>
      <c r="AE302" s="235">
        <f t="shared" si="1224"/>
        <v>10.371292799999877</v>
      </c>
      <c r="AF302" s="235">
        <f t="shared" si="1224"/>
        <v>243.92680945000026</v>
      </c>
      <c r="AG302" s="235">
        <f t="shared" si="1224"/>
        <v>41.284512269999979</v>
      </c>
      <c r="AH302" s="235">
        <f t="shared" si="1224"/>
        <v>58.634356060000037</v>
      </c>
      <c r="AI302" s="235">
        <f t="shared" si="1224"/>
        <v>697.13088423999989</v>
      </c>
      <c r="AJ302" s="235">
        <f t="shared" si="1224"/>
        <v>-412.76006327665232</v>
      </c>
      <c r="AK302" s="235">
        <f t="shared" si="1224"/>
        <v>751.08339237238499</v>
      </c>
      <c r="AL302" s="235">
        <f t="shared" si="1224"/>
        <v>-763.23667656692919</v>
      </c>
      <c r="AM302" s="235">
        <f t="shared" si="1224"/>
        <v>-36.867650503451088</v>
      </c>
      <c r="AN302" s="235">
        <f t="shared" si="1224"/>
        <v>172.86926033632781</v>
      </c>
      <c r="AO302" s="235">
        <f t="shared" si="1224"/>
        <v>37.390750199999957</v>
      </c>
      <c r="AP302" s="235">
        <f t="shared" si="1224"/>
        <v>-81.990015952451088</v>
      </c>
      <c r="AQ302" s="235">
        <f t="shared" si="1224"/>
        <v>-87.217571232717958</v>
      </c>
      <c r="AR302" s="235">
        <f t="shared" si="1224"/>
        <v>-45.134392742685151</v>
      </c>
      <c r="AS302" s="235">
        <f t="shared" si="1224"/>
        <v>-5.3098644499999743</v>
      </c>
      <c r="AT302" s="235">
        <f t="shared" si="1224"/>
        <v>57.782154986223937</v>
      </c>
      <c r="AU302" s="235">
        <f t="shared" si="1224"/>
        <v>-133.24414752961954</v>
      </c>
      <c r="AV302" s="235">
        <f t="shared" si="1224"/>
        <v>430.85162622000001</v>
      </c>
      <c r="AW302" s="235">
        <f t="shared" si="1224"/>
        <v>-372.84419910000003</v>
      </c>
      <c r="AX302" s="235">
        <f t="shared" si="1224"/>
        <v>37.84549647698028</v>
      </c>
      <c r="AY302" s="235">
        <f t="shared" si="1224"/>
        <v>-11.039168639013351</v>
      </c>
      <c r="AZ302" s="235">
        <f t="shared" si="1224"/>
        <v>-8.0950951799991486</v>
      </c>
      <c r="BA302" s="235">
        <f t="shared" si="1224"/>
        <v>657.0286165</v>
      </c>
      <c r="BB302" s="235">
        <f t="shared" si="1224"/>
        <v>-657.33402965155096</v>
      </c>
      <c r="BC302" s="235">
        <f t="shared" si="1224"/>
        <v>5.5457764200003687</v>
      </c>
      <c r="BD302" s="235">
        <f t="shared" si="1224"/>
        <v>-46.078851510606754</v>
      </c>
      <c r="BE302" s="235">
        <f t="shared" si="1224"/>
        <v>415.77642734623862</v>
      </c>
      <c r="BF302" s="235">
        <f t="shared" si="1224"/>
        <v>-533.99509527278713</v>
      </c>
      <c r="BG302" s="235">
        <f t="shared" si="1224"/>
        <v>320.08100056362264</v>
      </c>
      <c r="BH302" s="235">
        <f t="shared" ref="BH302:BI302" si="1225">BH78*BH266</f>
        <v>-326.30441909257809</v>
      </c>
      <c r="BI302" s="235">
        <f t="shared" si="1225"/>
        <v>573.41498682120675</v>
      </c>
      <c r="BJ302" s="44"/>
      <c r="BK302" s="44"/>
      <c r="BL302" s="44"/>
      <c r="BM302" s="44"/>
      <c r="BN302" s="44"/>
      <c r="BO302" s="44"/>
      <c r="BP302" s="44"/>
      <c r="BQ302" s="44"/>
      <c r="BR302" s="44"/>
      <c r="BS302" s="44"/>
      <c r="BT302" s="44"/>
      <c r="BU302" s="44"/>
      <c r="BV302" s="44"/>
      <c r="BW302" s="44"/>
      <c r="BX302" s="44"/>
      <c r="BY302" s="44"/>
      <c r="BZ302" s="44"/>
      <c r="CA302" s="44"/>
      <c r="CB302" s="44"/>
      <c r="CC302" s="44"/>
      <c r="CD302" s="44"/>
      <c r="CE302" s="44"/>
      <c r="CF302" s="44"/>
      <c r="CG302" s="46"/>
      <c r="CH302" s="44"/>
      <c r="CI302" s="44"/>
    </row>
    <row r="303" spans="2:87" s="5" customFormat="1" ht="13.5" customHeight="1" thickTop="1">
      <c r="B303" s="1" t="str">
        <f t="shared" si="1197"/>
        <v xml:space="preserve">FX </v>
      </c>
      <c r="C303" s="54">
        <f t="shared" ref="C303:Q303" si="1226">C79*C266</f>
        <v>-40.433834586466162</v>
      </c>
      <c r="D303" s="54">
        <f t="shared" si="1226"/>
        <v>13.096340694006308</v>
      </c>
      <c r="E303" s="231">
        <f t="shared" si="1226"/>
        <v>30.035912031602589</v>
      </c>
      <c r="F303" s="231">
        <f t="shared" si="1226"/>
        <v>-18.884023348198582</v>
      </c>
      <c r="G303" s="231">
        <f t="shared" si="1226"/>
        <v>5.1584692200000006</v>
      </c>
      <c r="H303" s="231">
        <f t="shared" si="1226"/>
        <v>5.1584692200000006</v>
      </c>
      <c r="I303" s="231">
        <f t="shared" si="1226"/>
        <v>-19.619474732771554</v>
      </c>
      <c r="J303" s="231">
        <f t="shared" si="1226"/>
        <v>-19.185030268644379</v>
      </c>
      <c r="K303" s="231">
        <f t="shared" si="1226"/>
        <v>-0.41040757254660004</v>
      </c>
      <c r="L303" s="231">
        <f t="shared" si="1226"/>
        <v>13.779079365482305</v>
      </c>
      <c r="M303" s="231">
        <f t="shared" si="1226"/>
        <v>13.779079365482305</v>
      </c>
      <c r="N303" s="231">
        <f t="shared" si="1226"/>
        <v>-23.544337909271739</v>
      </c>
      <c r="O303" s="231">
        <f t="shared" si="1226"/>
        <v>-23.544387713893173</v>
      </c>
      <c r="P303" s="231">
        <f t="shared" si="1226"/>
        <v>-47.071735236055346</v>
      </c>
      <c r="Q303" s="231">
        <f t="shared" si="1226"/>
        <v>34.627143792938426</v>
      </c>
      <c r="R303" s="231">
        <f t="shared" ref="R303" si="1227">R79*R266</f>
        <v>-37.274665812360148</v>
      </c>
      <c r="S303" s="231">
        <f>S79*S266</f>
        <v>-34.499093020150511</v>
      </c>
      <c r="U303" s="231">
        <f t="shared" ref="U303:BG303" si="1228">U79*U266</f>
        <v>10.507149</v>
      </c>
      <c r="V303" s="231">
        <f t="shared" si="1228"/>
        <v>27.550225279999999</v>
      </c>
      <c r="W303" s="231">
        <f t="shared" si="1228"/>
        <v>-14.902108560000002</v>
      </c>
      <c r="X303" s="231">
        <f t="shared" si="1228"/>
        <v>7.670650529500759</v>
      </c>
      <c r="Y303" s="231">
        <f t="shared" si="1228"/>
        <v>-18.806415359999999</v>
      </c>
      <c r="Z303" s="231">
        <f t="shared" si="1228"/>
        <v>-25.400734898727372</v>
      </c>
      <c r="AA303" s="231">
        <f t="shared" si="1228"/>
        <v>-0.56628015709743562</v>
      </c>
      <c r="AB303" s="231">
        <f t="shared" si="1228"/>
        <v>26.706119219475809</v>
      </c>
      <c r="AC303" s="231">
        <f t="shared" si="1228"/>
        <v>-14.64610497</v>
      </c>
      <c r="AD303" s="231">
        <f t="shared" si="1228"/>
        <v>21.573708479999997</v>
      </c>
      <c r="AE303" s="231">
        <f t="shared" si="1228"/>
        <v>-20.537985599999999</v>
      </c>
      <c r="AF303" s="231">
        <f t="shared" si="1228"/>
        <v>16.789911350000001</v>
      </c>
      <c r="AG303" s="231">
        <f t="shared" si="1228"/>
        <v>-4.6959968700000001</v>
      </c>
      <c r="AH303" s="231">
        <f t="shared" si="1228"/>
        <v>-2.0957982799999995</v>
      </c>
      <c r="AI303" s="231">
        <f t="shared" si="1228"/>
        <v>3.0310454599999996</v>
      </c>
      <c r="AJ303" s="231">
        <f t="shared" si="1228"/>
        <v>-15.869439821723768</v>
      </c>
      <c r="AK303" s="231">
        <f t="shared" si="1228"/>
        <v>100.42929118620729</v>
      </c>
      <c r="AL303" s="231">
        <f t="shared" si="1228"/>
        <v>-30.871824403986011</v>
      </c>
      <c r="AM303" s="231">
        <f t="shared" si="1228"/>
        <v>-4.4411371054860513</v>
      </c>
      <c r="AN303" s="231">
        <f t="shared" si="1228"/>
        <v>-62.120342398817769</v>
      </c>
      <c r="AO303" s="231">
        <f t="shared" si="1228"/>
        <v>10.7972676</v>
      </c>
      <c r="AP303" s="231">
        <f t="shared" si="1228"/>
        <v>-15.549027306154652</v>
      </c>
      <c r="AQ303" s="231">
        <f t="shared" si="1228"/>
        <v>9.2009656019103474</v>
      </c>
      <c r="AR303" s="231">
        <f t="shared" si="1228"/>
        <v>9.0841483950085671</v>
      </c>
      <c r="AS303" s="231">
        <f t="shared" si="1228"/>
        <v>-7.3114492000000002</v>
      </c>
      <c r="AT303" s="231">
        <f t="shared" si="1228"/>
        <v>1.1513778850925875</v>
      </c>
      <c r="AU303" s="231">
        <f t="shared" si="1228"/>
        <v>-1.0753301866046088</v>
      </c>
      <c r="AV303" s="231">
        <f t="shared" si="1228"/>
        <v>-16.46564103</v>
      </c>
      <c r="AW303" s="231">
        <f t="shared" si="1228"/>
        <v>-6.7641535200000007</v>
      </c>
      <c r="AX303" s="231">
        <f t="shared" si="1228"/>
        <v>-32.755878774158866</v>
      </c>
      <c r="AY303" s="231">
        <f t="shared" si="1228"/>
        <v>4.2874384004706485</v>
      </c>
      <c r="AZ303" s="231">
        <f t="shared" si="1228"/>
        <v>-11.72659086</v>
      </c>
      <c r="BA303" s="231">
        <f t="shared" si="1228"/>
        <v>-18.617818800000002</v>
      </c>
      <c r="BB303" s="231">
        <f t="shared" si="1228"/>
        <v>34.944903821046218</v>
      </c>
      <c r="BC303" s="231">
        <f t="shared" si="1228"/>
        <v>23.603651550000006</v>
      </c>
      <c r="BD303" s="231">
        <f t="shared" si="1228"/>
        <v>-5.0900184870515917</v>
      </c>
      <c r="BE303" s="231">
        <f t="shared" si="1228"/>
        <v>5.1410928693947557</v>
      </c>
      <c r="BF303" s="231">
        <f t="shared" si="1228"/>
        <v>-22.974286095406178</v>
      </c>
      <c r="BG303" s="231">
        <f t="shared" si="1228"/>
        <v>-8.5374271987976069</v>
      </c>
      <c r="BH303" s="231">
        <f t="shared" ref="BH303:BI303" si="1229">BH79*BH266</f>
        <v>-11.622355538071513</v>
      </c>
      <c r="BI303" s="231">
        <f t="shared" si="1229"/>
        <v>10.378627014533677</v>
      </c>
      <c r="BJ303" s="44"/>
      <c r="BK303" s="44"/>
      <c r="BL303" s="44"/>
      <c r="BM303" s="44"/>
      <c r="BN303" s="44"/>
      <c r="BO303" s="44"/>
      <c r="BP303" s="44"/>
      <c r="BQ303" s="44"/>
      <c r="BR303" s="44"/>
      <c r="BS303" s="44"/>
      <c r="BT303" s="44"/>
      <c r="BU303" s="44"/>
      <c r="BV303" s="44"/>
      <c r="BW303" s="44"/>
      <c r="BX303" s="44"/>
      <c r="BY303" s="44"/>
      <c r="BZ303" s="44"/>
      <c r="CA303" s="44"/>
      <c r="CB303" s="44"/>
      <c r="CC303" s="44"/>
      <c r="CD303" s="44"/>
      <c r="CE303" s="44"/>
      <c r="CF303" s="44"/>
      <c r="CG303" s="46"/>
      <c r="CH303" s="44"/>
      <c r="CI303" s="44"/>
    </row>
    <row r="304" spans="2:87" s="5" customFormat="1" ht="13.5" customHeight="1">
      <c r="B304" s="1" t="str">
        <f t="shared" si="1197"/>
        <v>Balancing figure</v>
      </c>
      <c r="C304" s="54">
        <f t="shared" ref="C304:Q304" si="1230">C80*C266</f>
        <v>231.21233082706769</v>
      </c>
      <c r="D304" s="54">
        <f t="shared" si="1230"/>
        <v>-132.04662460567829</v>
      </c>
      <c r="E304" s="231">
        <f t="shared" si="1230"/>
        <v>79.944470351134058</v>
      </c>
      <c r="F304" s="231">
        <f t="shared" si="1230"/>
        <v>-337.51043251558821</v>
      </c>
      <c r="G304" s="231">
        <f t="shared" si="1230"/>
        <v>-316.41412044000026</v>
      </c>
      <c r="H304" s="231">
        <f t="shared" si="1230"/>
        <v>-224.23491440000004</v>
      </c>
      <c r="I304" s="231">
        <f t="shared" si="1230"/>
        <v>-438.06215495799341</v>
      </c>
      <c r="J304" s="231">
        <f t="shared" si="1230"/>
        <v>-417.04728425876942</v>
      </c>
      <c r="K304" s="231">
        <f t="shared" si="1230"/>
        <v>102.38182347608225</v>
      </c>
      <c r="L304" s="231">
        <f t="shared" si="1230"/>
        <v>21.553425910841604</v>
      </c>
      <c r="M304" s="231">
        <f t="shared" si="1230"/>
        <v>135.62082489139991</v>
      </c>
      <c r="N304" s="231">
        <f t="shared" si="1230"/>
        <v>-139.68727076077425</v>
      </c>
      <c r="O304" s="231">
        <f t="shared" si="1230"/>
        <v>-50.457659630866488</v>
      </c>
      <c r="P304" s="231">
        <f t="shared" si="1230"/>
        <v>84.355092212703497</v>
      </c>
      <c r="Q304" s="231">
        <f t="shared" si="1230"/>
        <v>113.42055844622014</v>
      </c>
      <c r="R304" s="231">
        <f t="shared" ref="R304" si="1231">R80*R266</f>
        <v>163.05636079510541</v>
      </c>
      <c r="S304" s="231">
        <f>S80*S266</f>
        <v>150.34515626411826</v>
      </c>
      <c r="U304" s="231">
        <f t="shared" ref="U304:BG304" si="1232">U80*U266</f>
        <v>84.146158499999984</v>
      </c>
      <c r="V304" s="231">
        <f t="shared" si="1232"/>
        <v>66.685867119999997</v>
      </c>
      <c r="W304" s="231">
        <f t="shared" si="1232"/>
        <v>58.797604920000083</v>
      </c>
      <c r="X304" s="231">
        <f t="shared" si="1232"/>
        <v>-117.67523953605641</v>
      </c>
      <c r="Y304" s="231">
        <f t="shared" si="1232"/>
        <v>30.098914199999985</v>
      </c>
      <c r="Z304" s="231">
        <f t="shared" si="1232"/>
        <v>-35.296379279440742</v>
      </c>
      <c r="AA304" s="231">
        <f t="shared" si="1232"/>
        <v>-21.166916027678994</v>
      </c>
      <c r="AB304" s="231">
        <f t="shared" si="1232"/>
        <v>-313.24090745788106</v>
      </c>
      <c r="AC304" s="231">
        <f t="shared" si="1232"/>
        <v>19.626057219999975</v>
      </c>
      <c r="AD304" s="231">
        <f t="shared" si="1232"/>
        <v>-49.112297460000015</v>
      </c>
      <c r="AE304" s="231">
        <f t="shared" si="1232"/>
        <v>4.7622432000001478</v>
      </c>
      <c r="AF304" s="231">
        <f t="shared" si="1232"/>
        <v>-280.38712535000036</v>
      </c>
      <c r="AG304" s="231">
        <f t="shared" si="1232"/>
        <v>-61.544984489999969</v>
      </c>
      <c r="AH304" s="231">
        <f t="shared" si="1232"/>
        <v>-130.65676072000005</v>
      </c>
      <c r="AI304" s="231">
        <f t="shared" si="1232"/>
        <v>-114.99035467999985</v>
      </c>
      <c r="AJ304" s="231">
        <f t="shared" si="1232"/>
        <v>-130.72760127844919</v>
      </c>
      <c r="AK304" s="231">
        <f t="shared" si="1232"/>
        <v>60.309381450033349</v>
      </c>
      <c r="AL304" s="231">
        <f t="shared" si="1232"/>
        <v>147.07192873869047</v>
      </c>
      <c r="AM304" s="231">
        <f t="shared" si="1232"/>
        <v>116.49913271678841</v>
      </c>
      <c r="AN304" s="231">
        <f t="shared" si="1232"/>
        <v>-242.64843327108605</v>
      </c>
      <c r="AO304" s="231">
        <f t="shared" si="1232"/>
        <v>51.455833200000029</v>
      </c>
      <c r="AP304" s="231">
        <f t="shared" si="1232"/>
        <v>127.2140820978437</v>
      </c>
      <c r="AQ304" s="231">
        <f t="shared" si="1232"/>
        <v>40.300400090468528</v>
      </c>
      <c r="AR304" s="231">
        <f t="shared" si="1232"/>
        <v>-83.087128912192497</v>
      </c>
      <c r="AS304" s="231">
        <f t="shared" si="1232"/>
        <v>29.745376759999974</v>
      </c>
      <c r="AT304" s="231">
        <f t="shared" si="1232"/>
        <v>-175.27646457675235</v>
      </c>
      <c r="AU304" s="231">
        <f t="shared" si="1232"/>
        <v>161.85144672169733</v>
      </c>
      <c r="AV304" s="231">
        <f t="shared" si="1232"/>
        <v>-161.04224418999968</v>
      </c>
      <c r="AW304" s="231">
        <f t="shared" si="1232"/>
        <v>40.34113211999999</v>
      </c>
      <c r="AX304" s="231">
        <f t="shared" si="1232"/>
        <v>23.469424714904072</v>
      </c>
      <c r="AY304" s="231">
        <f t="shared" si="1232"/>
        <v>-6.9344847092147557</v>
      </c>
      <c r="AZ304" s="231">
        <f t="shared" si="1232"/>
        <v>25.737165989999031</v>
      </c>
      <c r="BA304" s="231">
        <f t="shared" si="1232"/>
        <v>22.122545500000072</v>
      </c>
      <c r="BB304" s="231">
        <f t="shared" si="1232"/>
        <v>44.909681724548278</v>
      </c>
      <c r="BC304" s="231">
        <f t="shared" si="1232"/>
        <v>14.102334539999688</v>
      </c>
      <c r="BD304" s="231">
        <f t="shared" si="1232"/>
        <v>32.369182932116175</v>
      </c>
      <c r="BE304" s="231">
        <f t="shared" si="1232"/>
        <v>55.52952707669688</v>
      </c>
      <c r="BF304" s="231">
        <f t="shared" si="1232"/>
        <v>29.291892834788889</v>
      </c>
      <c r="BG304" s="231">
        <f t="shared" si="1232"/>
        <v>17.127995920448349</v>
      </c>
      <c r="BH304" s="231">
        <f t="shared" ref="BH304:BI304" si="1233">BH80*BH266</f>
        <v>60.273570679255428</v>
      </c>
      <c r="BI304" s="231">
        <f t="shared" si="1233"/>
        <v>44.6280620057953</v>
      </c>
      <c r="BJ304" s="44"/>
      <c r="BK304" s="44"/>
      <c r="BL304" s="44"/>
      <c r="BM304" s="44"/>
      <c r="BN304" s="44"/>
      <c r="BO304" s="44"/>
      <c r="BP304" s="44"/>
      <c r="BQ304" s="44"/>
      <c r="BR304" s="44"/>
      <c r="BS304" s="44"/>
      <c r="BT304" s="44"/>
      <c r="BU304" s="44"/>
      <c r="BV304" s="44"/>
      <c r="BW304" s="44"/>
      <c r="BX304" s="44"/>
      <c r="BY304" s="44"/>
      <c r="BZ304" s="44"/>
      <c r="CA304" s="44"/>
      <c r="CB304" s="44"/>
      <c r="CC304" s="44"/>
      <c r="CD304" s="44"/>
      <c r="CE304" s="44"/>
      <c r="CF304" s="44"/>
      <c r="CG304" s="46"/>
      <c r="CH304" s="44"/>
      <c r="CI304" s="44"/>
    </row>
    <row r="305" spans="2:87" s="5" customFormat="1" ht="13.5" customHeight="1" thickBot="1">
      <c r="B305" s="51" t="str">
        <f t="shared" si="1197"/>
        <v xml:space="preserve">Net change in cash </v>
      </c>
      <c r="C305" s="72">
        <f t="shared" ref="C305:Q305" si="1234">C81*C266</f>
        <v>5.0573684210526251</v>
      </c>
      <c r="D305" s="72">
        <f t="shared" si="1234"/>
        <v>79.107570977918002</v>
      </c>
      <c r="E305" s="234">
        <f t="shared" si="1234"/>
        <v>160.21976019338896</v>
      </c>
      <c r="F305" s="234">
        <f t="shared" si="1234"/>
        <v>21.295335915879793</v>
      </c>
      <c r="G305" s="234">
        <f t="shared" si="1234"/>
        <v>19.137828660000043</v>
      </c>
      <c r="H305" s="234">
        <f t="shared" si="1234"/>
        <v>19.137828660000043</v>
      </c>
      <c r="I305" s="234">
        <f t="shared" si="1234"/>
        <v>-69.178277460095714</v>
      </c>
      <c r="J305" s="234">
        <f t="shared" si="1234"/>
        <v>-67.646426068060762</v>
      </c>
      <c r="K305" s="234">
        <f t="shared" si="1234"/>
        <v>137.54394826242614</v>
      </c>
      <c r="L305" s="234">
        <f t="shared" si="1234"/>
        <v>-25.689851684778585</v>
      </c>
      <c r="M305" s="234">
        <f t="shared" si="1234"/>
        <v>-25.689851684778571</v>
      </c>
      <c r="N305" s="234">
        <f t="shared" si="1234"/>
        <v>177.58699392463134</v>
      </c>
      <c r="O305" s="234">
        <f t="shared" si="1234"/>
        <v>177.5869939246314</v>
      </c>
      <c r="P305" s="234">
        <f t="shared" si="1234"/>
        <v>-335.27316305002324</v>
      </c>
      <c r="Q305" s="234">
        <f t="shared" si="1234"/>
        <v>93.539549699683789</v>
      </c>
      <c r="R305" s="234">
        <f t="shared" ref="R305" si="1235">R81*R266</f>
        <v>24.930864044324291</v>
      </c>
      <c r="S305" s="234">
        <f>S81*S266</f>
        <v>97.176770895571565</v>
      </c>
      <c r="U305" s="234">
        <f t="shared" ref="U305:BG305" si="1236">U81*U266</f>
        <v>148.79877450000001</v>
      </c>
      <c r="V305" s="234">
        <f t="shared" si="1236"/>
        <v>-86.867213120000017</v>
      </c>
      <c r="W305" s="234">
        <f t="shared" si="1236"/>
        <v>227.32483131000001</v>
      </c>
      <c r="X305" s="234">
        <f t="shared" si="1236"/>
        <v>-120.17599596570852</v>
      </c>
      <c r="Y305" s="234">
        <f t="shared" si="1236"/>
        <v>47.897638489999999</v>
      </c>
      <c r="Z305" s="234">
        <f t="shared" si="1236"/>
        <v>-115.88802652805163</v>
      </c>
      <c r="AA305" s="234">
        <f t="shared" si="1236"/>
        <v>3.1174864409949419</v>
      </c>
      <c r="AB305" s="234">
        <f t="shared" si="1236"/>
        <v>80.667687221397429</v>
      </c>
      <c r="AC305" s="234">
        <f t="shared" si="1236"/>
        <v>-117.43002364</v>
      </c>
      <c r="AD305" s="234">
        <f t="shared" si="1236"/>
        <v>153.64020546</v>
      </c>
      <c r="AE305" s="234">
        <f t="shared" si="1236"/>
        <v>-5.4044495999999747</v>
      </c>
      <c r="AF305" s="234">
        <f t="shared" si="1236"/>
        <v>-19.670404550000111</v>
      </c>
      <c r="AG305" s="234">
        <f t="shared" si="1236"/>
        <v>-24.956469089999992</v>
      </c>
      <c r="AH305" s="234">
        <f t="shared" si="1236"/>
        <v>-74.118202940000003</v>
      </c>
      <c r="AI305" s="234">
        <f t="shared" si="1236"/>
        <v>585.17157501999998</v>
      </c>
      <c r="AJ305" s="234">
        <f t="shared" si="1236"/>
        <v>-559.35710437682519</v>
      </c>
      <c r="AK305" s="234">
        <f t="shared" si="1236"/>
        <v>911.8220650086256</v>
      </c>
      <c r="AL305" s="234">
        <f t="shared" si="1236"/>
        <v>-647.03657223222467</v>
      </c>
      <c r="AM305" s="234">
        <f t="shared" si="1236"/>
        <v>75.190345107851272</v>
      </c>
      <c r="AN305" s="234">
        <f t="shared" si="1236"/>
        <v>-131.89951533357598</v>
      </c>
      <c r="AO305" s="234">
        <f t="shared" si="1236"/>
        <v>99.643850999999984</v>
      </c>
      <c r="AP305" s="234">
        <f t="shared" si="1236"/>
        <v>29.675038839237956</v>
      </c>
      <c r="AQ305" s="234">
        <f t="shared" si="1236"/>
        <v>-37.716205540339089</v>
      </c>
      <c r="AR305" s="234">
        <f t="shared" si="1236"/>
        <v>-119.13737325986909</v>
      </c>
      <c r="AS305" s="234">
        <f t="shared" si="1236"/>
        <v>17.124063110000002</v>
      </c>
      <c r="AT305" s="234">
        <f t="shared" si="1236"/>
        <v>-116.34293170543582</v>
      </c>
      <c r="AU305" s="234">
        <f t="shared" si="1236"/>
        <v>27.531969005473172</v>
      </c>
      <c r="AV305" s="234">
        <f t="shared" si="1236"/>
        <v>253.34374100000034</v>
      </c>
      <c r="AW305" s="234">
        <f t="shared" si="1236"/>
        <v>-339.26722050000006</v>
      </c>
      <c r="AX305" s="234">
        <f t="shared" si="1236"/>
        <v>28.55904241772549</v>
      </c>
      <c r="AY305" s="234">
        <f t="shared" si="1236"/>
        <v>-13.686214947757458</v>
      </c>
      <c r="AZ305" s="234">
        <f t="shared" si="1236"/>
        <v>5.9154799499998854</v>
      </c>
      <c r="BA305" s="234">
        <f t="shared" si="1236"/>
        <v>660.5333432000001</v>
      </c>
      <c r="BB305" s="234">
        <f t="shared" si="1236"/>
        <v>-577.47944410595642</v>
      </c>
      <c r="BC305" s="234">
        <f t="shared" si="1236"/>
        <v>43.251762510000063</v>
      </c>
      <c r="BD305" s="234">
        <f t="shared" si="1236"/>
        <v>-18.799687065542162</v>
      </c>
      <c r="BE305" s="234">
        <f t="shared" si="1236"/>
        <v>476.44704729233024</v>
      </c>
      <c r="BF305" s="234">
        <f t="shared" si="1236"/>
        <v>-527.67748853340447</v>
      </c>
      <c r="BG305" s="234">
        <f t="shared" si="1236"/>
        <v>328.67156928527339</v>
      </c>
      <c r="BH305" s="234">
        <f t="shared" ref="BH305:BI305" si="1237">BH81*BH266</f>
        <v>-277.65320395139418</v>
      </c>
      <c r="BI305" s="234">
        <f t="shared" si="1237"/>
        <v>628.42167584153572</v>
      </c>
      <c r="BJ305" s="44"/>
      <c r="BK305" s="44"/>
      <c r="BL305" s="44"/>
      <c r="BM305" s="44"/>
      <c r="BN305" s="44"/>
      <c r="BO305" s="44"/>
      <c r="BP305" s="44"/>
      <c r="BQ305" s="44"/>
      <c r="BR305" s="44"/>
      <c r="BS305" s="44"/>
      <c r="BT305" s="44"/>
      <c r="BU305" s="44"/>
      <c r="BV305" s="44"/>
      <c r="BW305" s="44"/>
      <c r="BX305" s="44"/>
      <c r="BY305" s="44"/>
      <c r="BZ305" s="44"/>
      <c r="CA305" s="44"/>
      <c r="CB305" s="44"/>
      <c r="CC305" s="44"/>
      <c r="CD305" s="44"/>
      <c r="CE305" s="44"/>
      <c r="CF305" s="44"/>
      <c r="CG305" s="46"/>
      <c r="CH305" s="44"/>
      <c r="CI305" s="44"/>
    </row>
    <row r="306" spans="2:87" ht="13.5" customHeight="1" thickTop="1">
      <c r="B306" s="7" t="s">
        <v>349</v>
      </c>
      <c r="C306" s="58">
        <f t="shared" ref="C306:AG306" si="1238">C239*C267</f>
        <v>174.72826086956522</v>
      </c>
      <c r="D306" s="58">
        <f t="shared" si="1238"/>
        <v>222.25450319581637</v>
      </c>
      <c r="E306" s="232">
        <f t="shared" si="1238"/>
        <v>329.76529229578011</v>
      </c>
      <c r="F306" s="232">
        <f t="shared" si="1238"/>
        <v>366.92454719213617</v>
      </c>
      <c r="G306" s="232">
        <f t="shared" si="1238"/>
        <v>386.01628529999999</v>
      </c>
      <c r="H306" s="232">
        <f t="shared" ref="H306:N306" si="1239">H239*H267</f>
        <v>386.01628529999999</v>
      </c>
      <c r="I306" s="232">
        <f t="shared" si="1239"/>
        <v>330.25083338176017</v>
      </c>
      <c r="J306" s="232">
        <f t="shared" si="1239"/>
        <v>330.25083338176017</v>
      </c>
      <c r="K306" s="232">
        <f t="shared" si="1239"/>
        <v>465.37131608944327</v>
      </c>
      <c r="L306" s="232">
        <f t="shared" si="1239"/>
        <v>439.255459644577</v>
      </c>
      <c r="M306" s="232">
        <f t="shared" ref="M306" si="1240">M239*M267</f>
        <v>439.255459644577</v>
      </c>
      <c r="N306" s="232">
        <f t="shared" si="1239"/>
        <v>631.17145388000006</v>
      </c>
      <c r="O306" s="232">
        <f t="shared" ref="O306" si="1241">O239*O267</f>
        <v>631.17145388000006</v>
      </c>
      <c r="P306" s="232">
        <f>P239*P267</f>
        <v>373.94487864000001</v>
      </c>
      <c r="Q306" s="232">
        <f>Q239*Q267</f>
        <v>386.99131111399294</v>
      </c>
      <c r="R306" s="232">
        <f>R239*R267</f>
        <v>473.9108152228232</v>
      </c>
      <c r="S306" s="232">
        <f t="shared" ref="S306" si="1242">S239*S267</f>
        <v>1091.1398071241429</v>
      </c>
      <c r="U306" s="232">
        <f t="shared" si="1238"/>
        <v>3589.8719330323879</v>
      </c>
      <c r="V306" s="232">
        <f t="shared" si="1238"/>
        <v>2594.7708634107989</v>
      </c>
      <c r="W306" s="232">
        <f t="shared" si="1238"/>
        <v>4983.909917952722</v>
      </c>
      <c r="X306" s="232">
        <f t="shared" si="1238"/>
        <v>329.76529229578011</v>
      </c>
      <c r="Y306" s="232">
        <f t="shared" si="1238"/>
        <v>413.82243487506651</v>
      </c>
      <c r="Z306" s="232">
        <f t="shared" si="1238"/>
        <v>314.4692737430168</v>
      </c>
      <c r="AA306" s="232">
        <f t="shared" si="1238"/>
        <v>312.39868336456402</v>
      </c>
      <c r="AB306" s="232">
        <f t="shared" si="1238"/>
        <v>366.92454719213617</v>
      </c>
      <c r="AC306" s="232">
        <f t="shared" si="1238"/>
        <v>275.86998269999998</v>
      </c>
      <c r="AD306" s="232">
        <f t="shared" si="1238"/>
        <v>425.68980783000001</v>
      </c>
      <c r="AE306" s="232">
        <f t="shared" si="1238"/>
        <v>426.03564588</v>
      </c>
      <c r="AF306" s="232">
        <f t="shared" si="1238"/>
        <v>386.01628529999999</v>
      </c>
      <c r="AG306" s="232">
        <f t="shared" si="1238"/>
        <v>365.68910006000004</v>
      </c>
      <c r="AH306" s="232">
        <f t="shared" ref="AH306:AM306" si="1243">AH239*AH267</f>
        <v>295.98862821</v>
      </c>
      <c r="AI306" s="232">
        <f t="shared" si="1243"/>
        <v>864.44002997999996</v>
      </c>
      <c r="AJ306" s="232">
        <f t="shared" si="1243"/>
        <v>330.25083338176017</v>
      </c>
      <c r="AK306" s="232">
        <f t="shared" si="1243"/>
        <v>1073.5366666666666</v>
      </c>
      <c r="AL306" s="232">
        <f t="shared" si="1243"/>
        <v>449.29060133707736</v>
      </c>
      <c r="AM306" s="232">
        <f t="shared" si="1243"/>
        <v>544.06333372523136</v>
      </c>
      <c r="AN306" s="232">
        <f t="shared" ref="AN306:AS306" si="1244">AN239*AN267</f>
        <v>465.37131608944327</v>
      </c>
      <c r="AO306" s="232">
        <f t="shared" si="1244"/>
        <v>556.85982245800005</v>
      </c>
      <c r="AP306" s="232">
        <f t="shared" si="1244"/>
        <v>601.14068594553407</v>
      </c>
      <c r="AQ306" s="232">
        <f t="shared" si="1244"/>
        <v>544.47244325115935</v>
      </c>
      <c r="AR306" s="232">
        <f t="shared" si="1244"/>
        <v>439.255459644577</v>
      </c>
      <c r="AS306" s="232">
        <f t="shared" si="1244"/>
        <v>457.21831800000001</v>
      </c>
      <c r="AT306" s="232">
        <f t="shared" ref="AT306:AW306" si="1245">AT239*AT267</f>
        <v>337.1335556772363</v>
      </c>
      <c r="AU306" s="232">
        <f t="shared" si="1245"/>
        <v>363.05473289999998</v>
      </c>
      <c r="AV306" s="232">
        <f t="shared" si="1245"/>
        <v>631.17145388000006</v>
      </c>
      <c r="AW306" s="232">
        <f t="shared" si="1245"/>
        <v>330.27982085999997</v>
      </c>
      <c r="AX306" s="232">
        <f t="shared" ref="AX306:BA306" si="1246">AX239*AX267</f>
        <v>378.7741121642693</v>
      </c>
      <c r="AY306" s="232">
        <f t="shared" si="1246"/>
        <v>358.33423126000002</v>
      </c>
      <c r="AZ306" s="232">
        <f t="shared" si="1246"/>
        <v>373.94487864000001</v>
      </c>
      <c r="BA306" s="232">
        <f t="shared" si="1246"/>
        <v>1059.3270036000001</v>
      </c>
      <c r="BB306" s="232">
        <f t="shared" ref="BB306:BE306" si="1247">BB239*BB267</f>
        <v>415.47299509001641</v>
      </c>
      <c r="BC306" s="232">
        <f t="shared" si="1247"/>
        <v>428.54764676999997</v>
      </c>
      <c r="BD306" s="232">
        <f t="shared" si="1247"/>
        <v>386.99131111399294</v>
      </c>
      <c r="BE306" s="232">
        <f t="shared" si="1247"/>
        <v>869.04609443738389</v>
      </c>
      <c r="BF306" s="232">
        <f t="shared" ref="BF306:BG306" si="1248">BF239*BF267</f>
        <v>399.73179708753401</v>
      </c>
      <c r="BG306" s="232">
        <f t="shared" si="1248"/>
        <v>743.56916238457472</v>
      </c>
      <c r="BH306" s="232">
        <f t="shared" ref="BH306:BI306" si="1249">BH239*BH267</f>
        <v>473.9108152228232</v>
      </c>
      <c r="BI306" s="232">
        <f t="shared" si="1249"/>
        <v>1091.1398071241429</v>
      </c>
      <c r="BJ306" s="44"/>
      <c r="BK306" s="44"/>
      <c r="BL306" s="44"/>
      <c r="BM306" s="44"/>
      <c r="BN306" s="44"/>
      <c r="BO306" s="44"/>
      <c r="BP306" s="44"/>
      <c r="BQ306" s="44"/>
      <c r="BR306" s="44"/>
      <c r="BS306" s="44"/>
      <c r="BT306" s="44"/>
      <c r="BU306" s="44"/>
      <c r="BV306" s="44"/>
      <c r="BW306" s="44"/>
      <c r="BX306" s="44"/>
      <c r="BY306" s="44"/>
      <c r="BZ306" s="44"/>
      <c r="CA306" s="44"/>
      <c r="CB306" s="44"/>
      <c r="CC306" s="44"/>
      <c r="CD306" s="44"/>
      <c r="CE306" s="44"/>
      <c r="CF306" s="44"/>
      <c r="CG306" s="46"/>
      <c r="CH306" s="44"/>
      <c r="CI306" s="44"/>
    </row>
    <row r="307" spans="2:87" ht="13.5" customHeight="1">
      <c r="B307" s="15"/>
      <c r="C307" s="58"/>
      <c r="D307" s="58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32"/>
      <c r="S307" s="232"/>
      <c r="U307" s="232"/>
      <c r="V307" s="232"/>
      <c r="W307" s="232"/>
      <c r="X307" s="232"/>
      <c r="Y307" s="232"/>
      <c r="Z307" s="232"/>
      <c r="AA307" s="232"/>
      <c r="AB307" s="232"/>
      <c r="AC307" s="232"/>
      <c r="AD307" s="232"/>
      <c r="AE307" s="232"/>
      <c r="AF307" s="232"/>
      <c r="AG307" s="232"/>
      <c r="AH307" s="232"/>
      <c r="AI307" s="232"/>
      <c r="AJ307" s="232"/>
      <c r="AK307" s="232"/>
      <c r="AL307" s="232"/>
      <c r="AN307" s="232"/>
      <c r="AO307" s="232"/>
      <c r="AP307" s="232"/>
      <c r="AQ307" s="232"/>
      <c r="AR307" s="232"/>
      <c r="AS307" s="232"/>
      <c r="AT307" s="232"/>
      <c r="AU307" s="232"/>
      <c r="AV307" s="232"/>
      <c r="AW307" s="232"/>
      <c r="AX307" s="232"/>
      <c r="AY307" s="232"/>
      <c r="AZ307" s="232"/>
      <c r="BA307" s="232"/>
      <c r="BB307" s="232"/>
      <c r="BC307" s="232"/>
      <c r="BD307" s="232"/>
      <c r="BE307" s="232"/>
      <c r="BF307" s="232"/>
      <c r="BG307" s="232"/>
      <c r="BH307" s="232"/>
      <c r="BI307" s="232"/>
      <c r="BJ307" s="44"/>
      <c r="BK307" s="44"/>
      <c r="BL307" s="44"/>
      <c r="BM307" s="44"/>
      <c r="BN307" s="44"/>
      <c r="BO307" s="44"/>
      <c r="BP307" s="44"/>
      <c r="BQ307" s="44"/>
      <c r="BR307" s="44"/>
      <c r="BS307" s="44"/>
      <c r="BT307" s="44"/>
      <c r="BU307" s="44"/>
      <c r="BV307" s="44"/>
      <c r="BW307" s="44"/>
      <c r="BX307" s="44"/>
      <c r="BY307" s="44"/>
      <c r="BZ307" s="44"/>
      <c r="CA307" s="44"/>
      <c r="CB307" s="44"/>
      <c r="CC307" s="44"/>
      <c r="CD307" s="44"/>
      <c r="CE307" s="44"/>
      <c r="CF307" s="44"/>
      <c r="CG307" s="46"/>
      <c r="CH307" s="44"/>
      <c r="CI307" s="44"/>
    </row>
    <row r="308" spans="2:87" s="5" customFormat="1" ht="13.5" customHeight="1">
      <c r="B308" s="15" t="s">
        <v>406</v>
      </c>
      <c r="C308" s="196">
        <f t="shared" ref="C308:AG308" si="1250">C241*C267</f>
        <v>4051.086956521739</v>
      </c>
      <c r="D308" s="196">
        <f t="shared" si="1250"/>
        <v>3715.0493898895988</v>
      </c>
      <c r="E308" s="291">
        <f t="shared" si="1250"/>
        <v>3662.7337398373979</v>
      </c>
      <c r="F308" s="291">
        <f t="shared" si="1250"/>
        <v>4428.6229078245333</v>
      </c>
      <c r="G308" s="291">
        <f t="shared" si="1250"/>
        <v>4187.1350364999998</v>
      </c>
      <c r="H308" s="291">
        <f t="shared" ref="H308:L308" si="1251">H241*H267</f>
        <v>4187.1350364999998</v>
      </c>
      <c r="I308" s="291">
        <f t="shared" si="1251"/>
        <v>4248.5560175181863</v>
      </c>
      <c r="J308" s="291">
        <f t="shared" si="1251"/>
        <v>4248.5560175181863</v>
      </c>
      <c r="K308" s="291">
        <f t="shared" si="1251"/>
        <v>3814.4050757495866</v>
      </c>
      <c r="L308" s="291">
        <f t="shared" si="1251"/>
        <v>4223.4832256217896</v>
      </c>
      <c r="M308" s="291">
        <f t="shared" ref="M308" si="1252">M241*M267</f>
        <v>4223.4832256217896</v>
      </c>
      <c r="N308" s="291">
        <f t="shared" ref="N308:O308" si="1253">N241*N267</f>
        <v>3677.4608833599996</v>
      </c>
      <c r="O308" s="291">
        <f t="shared" si="1253"/>
        <v>3677.4608833599996</v>
      </c>
      <c r="P308" s="291">
        <f>P241*P267</f>
        <v>6096.8481154199999</v>
      </c>
      <c r="Q308" s="291">
        <f>Q241*Q267</f>
        <v>6861.2184133296832</v>
      </c>
      <c r="R308" s="291">
        <f>R241*R267</f>
        <v>8058.2823240680091</v>
      </c>
      <c r="S308" s="291">
        <f t="shared" ref="S308" si="1254">S241*S267</f>
        <v>7678.8663247672685</v>
      </c>
      <c r="T308" s="292"/>
      <c r="U308" s="291">
        <f t="shared" si="1250"/>
        <v>34931.07318886189</v>
      </c>
      <c r="V308" s="291">
        <f t="shared" si="1250"/>
        <v>38847.602736527944</v>
      </c>
      <c r="W308" s="291">
        <f t="shared" si="1250"/>
        <v>40656.826471780259</v>
      </c>
      <c r="X308" s="291">
        <f t="shared" si="1250"/>
        <v>3662.7337398373979</v>
      </c>
      <c r="Y308" s="291">
        <f t="shared" si="1250"/>
        <v>3702.8708133971295</v>
      </c>
      <c r="Z308" s="291">
        <f t="shared" si="1250"/>
        <v>3760.5027932960897</v>
      </c>
      <c r="AA308" s="291">
        <f t="shared" si="1250"/>
        <v>3839.508954329895</v>
      </c>
      <c r="AB308" s="291">
        <f t="shared" si="1250"/>
        <v>4428.6229078245333</v>
      </c>
      <c r="AC308" s="291">
        <f t="shared" si="1250"/>
        <v>4647.9673363499996</v>
      </c>
      <c r="AD308" s="291">
        <f t="shared" si="1250"/>
        <v>4462.1871354899995</v>
      </c>
      <c r="AE308" s="291">
        <f t="shared" si="1250"/>
        <v>4272.3373348499999</v>
      </c>
      <c r="AF308" s="291">
        <f t="shared" si="1250"/>
        <v>4187.1350364999998</v>
      </c>
      <c r="AG308" s="291">
        <f t="shared" si="1250"/>
        <v>4266.9798883700005</v>
      </c>
      <c r="AH308" s="291">
        <f t="shared" ref="AH308:AM308" si="1255">AH241*AH267</f>
        <v>4340.6465072299998</v>
      </c>
      <c r="AI308" s="291">
        <f t="shared" si="1255"/>
        <v>4301.4804268499993</v>
      </c>
      <c r="AJ308" s="291">
        <f t="shared" si="1255"/>
        <v>4248.5560175181863</v>
      </c>
      <c r="AK308" s="291">
        <f t="shared" si="1255"/>
        <v>3995.517004219409</v>
      </c>
      <c r="AL308" s="291">
        <f t="shared" si="1255"/>
        <v>4036.302389873681</v>
      </c>
      <c r="AM308" s="291">
        <f t="shared" si="1255"/>
        <v>3827.3233067747101</v>
      </c>
      <c r="AN308" s="291">
        <f t="shared" ref="AN308:AS308" si="1256">AN241*AN267</f>
        <v>3814.4050757495866</v>
      </c>
      <c r="AO308" s="291">
        <f t="shared" si="1256"/>
        <v>3776.4406644080004</v>
      </c>
      <c r="AP308" s="291">
        <f t="shared" si="1256"/>
        <v>3862.6058765055827</v>
      </c>
      <c r="AQ308" s="291">
        <f t="shared" si="1256"/>
        <v>3892.3388821088606</v>
      </c>
      <c r="AR308" s="291">
        <f t="shared" si="1256"/>
        <v>4223.4832256217896</v>
      </c>
      <c r="AS308" s="291">
        <f t="shared" si="1256"/>
        <v>4116.6262777499996</v>
      </c>
      <c r="AT308" s="291">
        <f t="shared" ref="AT308:AW308" si="1257">AT241*AT267</f>
        <v>4325.7656926676291</v>
      </c>
      <c r="AU308" s="291">
        <f t="shared" si="1257"/>
        <v>4577.9881221999995</v>
      </c>
      <c r="AV308" s="291">
        <f t="shared" si="1257"/>
        <v>3677.4608833599996</v>
      </c>
      <c r="AW308" s="291">
        <f t="shared" si="1257"/>
        <v>4779.7269618999999</v>
      </c>
      <c r="AX308" s="291">
        <f t="shared" ref="AX308:BA308" si="1258">AX241*AX267</f>
        <v>5489.3230197802968</v>
      </c>
      <c r="AY308" s="291">
        <f t="shared" si="1258"/>
        <v>5793.1995361999998</v>
      </c>
      <c r="AZ308" s="291">
        <f t="shared" si="1258"/>
        <v>6096.8481154199999</v>
      </c>
      <c r="BA308" s="291">
        <f t="shared" si="1258"/>
        <v>6682.6762856999994</v>
      </c>
      <c r="BB308" s="291">
        <f t="shared" ref="BB308:BE308" si="1259">BB241*BB267</f>
        <v>6976.5247135842892</v>
      </c>
      <c r="BC308" s="291">
        <f t="shared" si="1259"/>
        <v>6971.1926163300004</v>
      </c>
      <c r="BD308" s="291">
        <f t="shared" si="1259"/>
        <v>6861.2184133296832</v>
      </c>
      <c r="BE308" s="291">
        <f t="shared" si="1259"/>
        <v>7012.389969694008</v>
      </c>
      <c r="BF308" s="291">
        <f t="shared" ref="BF308:BG308" si="1260">BF241*BF267</f>
        <v>7971.4802901797621</v>
      </c>
      <c r="BG308" s="291">
        <f t="shared" si="1260"/>
        <v>7812.6854587253674</v>
      </c>
      <c r="BH308" s="291">
        <f t="shared" ref="BH308:BI308" si="1261">BH241*BH267</f>
        <v>8058.2823240680091</v>
      </c>
      <c r="BI308" s="291">
        <f t="shared" si="1261"/>
        <v>7678.8663247672685</v>
      </c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43"/>
      <c r="CB308" s="43"/>
      <c r="CC308" s="43"/>
      <c r="CD308" s="43"/>
      <c r="CE308" s="43"/>
      <c r="CF308" s="43"/>
      <c r="CG308" s="46"/>
      <c r="CH308" s="43"/>
      <c r="CI308" s="43"/>
    </row>
    <row r="309" spans="2:87" ht="13.5" customHeight="1">
      <c r="B309" s="7" t="s">
        <v>407</v>
      </c>
      <c r="C309" s="58">
        <f t="shared" ref="C309:AG309" si="1262">C242*C267</f>
        <v>4225.815217391304</v>
      </c>
      <c r="D309" s="58">
        <f t="shared" si="1262"/>
        <v>3937.303893085415</v>
      </c>
      <c r="E309" s="232">
        <f t="shared" si="1262"/>
        <v>3992.4990321331779</v>
      </c>
      <c r="F309" s="232">
        <f t="shared" si="1262"/>
        <v>4795.54745501667</v>
      </c>
      <c r="G309" s="232">
        <f t="shared" si="1262"/>
        <v>4573.1513218</v>
      </c>
      <c r="H309" s="232">
        <f t="shared" ref="H309:N309" si="1263">H242*H267</f>
        <v>4573.1513218</v>
      </c>
      <c r="I309" s="232">
        <f t="shared" si="1263"/>
        <v>4578.8068508999468</v>
      </c>
      <c r="J309" s="232">
        <f t="shared" si="1263"/>
        <v>4578.8068508999468</v>
      </c>
      <c r="K309" s="232">
        <f t="shared" si="1263"/>
        <v>4279.7763918390301</v>
      </c>
      <c r="L309" s="232">
        <f t="shared" si="1263"/>
        <v>4662.7386852663658</v>
      </c>
      <c r="M309" s="232">
        <f t="shared" ref="M309" si="1264">M242*M267</f>
        <v>4662.7386852663658</v>
      </c>
      <c r="N309" s="232">
        <f t="shared" si="1263"/>
        <v>4308.6323372400002</v>
      </c>
      <c r="O309" s="232">
        <f t="shared" ref="O309" si="1265">O242*O267</f>
        <v>4308.6323372400002</v>
      </c>
      <c r="P309" s="232">
        <f>P242*P267</f>
        <v>6470.7929940599997</v>
      </c>
      <c r="Q309" s="232">
        <f>Q242*Q267</f>
        <v>7248.2097244436764</v>
      </c>
      <c r="R309" s="232">
        <f>R242*R267</f>
        <v>8532.1931392908318</v>
      </c>
      <c r="S309" s="232">
        <f t="shared" ref="S309" si="1266">S242*S267</f>
        <v>8770.0061318914104</v>
      </c>
      <c r="U309" s="232">
        <f t="shared" si="1262"/>
        <v>38520.945121894278</v>
      </c>
      <c r="V309" s="232">
        <f t="shared" si="1262"/>
        <v>41442.373599938743</v>
      </c>
      <c r="W309" s="232">
        <f t="shared" si="1262"/>
        <v>45640.736389732978</v>
      </c>
      <c r="X309" s="232">
        <f t="shared" si="1262"/>
        <v>3992.4990321331779</v>
      </c>
      <c r="Y309" s="232">
        <f t="shared" si="1262"/>
        <v>4116.6932482721959</v>
      </c>
      <c r="Z309" s="232">
        <f t="shared" si="1262"/>
        <v>4074.9720670391066</v>
      </c>
      <c r="AA309" s="232">
        <f t="shared" si="1262"/>
        <v>4151.9076376944586</v>
      </c>
      <c r="AB309" s="232">
        <f t="shared" si="1262"/>
        <v>4795.54745501667</v>
      </c>
      <c r="AC309" s="232">
        <f t="shared" si="1262"/>
        <v>4923.8373190499997</v>
      </c>
      <c r="AD309" s="232">
        <f t="shared" si="1262"/>
        <v>4887.8769433199996</v>
      </c>
      <c r="AE309" s="232">
        <f t="shared" si="1262"/>
        <v>4698.3729807299997</v>
      </c>
      <c r="AF309" s="232">
        <f t="shared" si="1262"/>
        <v>4573.1513218</v>
      </c>
      <c r="AG309" s="232">
        <f t="shared" si="1262"/>
        <v>4632.6689884300004</v>
      </c>
      <c r="AH309" s="232">
        <f t="shared" ref="AH309:AM309" si="1267">AH242*AH267</f>
        <v>4636.6351354400003</v>
      </c>
      <c r="AI309" s="232">
        <f t="shared" si="1267"/>
        <v>5165.9204568300001</v>
      </c>
      <c r="AJ309" s="232">
        <f t="shared" si="1267"/>
        <v>4578.8068508999468</v>
      </c>
      <c r="AK309" s="232">
        <f t="shared" si="1267"/>
        <v>5069.0536708860755</v>
      </c>
      <c r="AL309" s="232">
        <f t="shared" si="1267"/>
        <v>4485.5929912107586</v>
      </c>
      <c r="AM309" s="232">
        <f t="shared" si="1267"/>
        <v>4371.3866404999417</v>
      </c>
      <c r="AN309" s="232">
        <f t="shared" ref="AN309:AS309" si="1268">AN242*AN267</f>
        <v>4279.7763918390301</v>
      </c>
      <c r="AO309" s="232">
        <f t="shared" si="1268"/>
        <v>4333.300486866</v>
      </c>
      <c r="AP309" s="232">
        <f t="shared" si="1268"/>
        <v>4463.7465624511169</v>
      </c>
      <c r="AQ309" s="232">
        <f t="shared" si="1268"/>
        <v>4436.8113253600195</v>
      </c>
      <c r="AR309" s="232">
        <f t="shared" si="1268"/>
        <v>4662.7386852663658</v>
      </c>
      <c r="AS309" s="232">
        <f t="shared" si="1268"/>
        <v>4573.8445957499998</v>
      </c>
      <c r="AT309" s="232">
        <f t="shared" ref="AT309:AW309" si="1269">AT242*AT267</f>
        <v>4662.8992483448656</v>
      </c>
      <c r="AU309" s="232">
        <f t="shared" si="1269"/>
        <v>4941.0428550999995</v>
      </c>
      <c r="AV309" s="232">
        <f t="shared" si="1269"/>
        <v>4308.6323372400002</v>
      </c>
      <c r="AW309" s="232">
        <f t="shared" si="1269"/>
        <v>5110.0067827600005</v>
      </c>
      <c r="AX309" s="232">
        <f t="shared" ref="AX309:BA309" si="1270">AX242*AX267</f>
        <v>5868.0971319445653</v>
      </c>
      <c r="AY309" s="232">
        <f t="shared" si="1270"/>
        <v>6151.5337674600005</v>
      </c>
      <c r="AZ309" s="232">
        <f t="shared" si="1270"/>
        <v>6470.7929940599997</v>
      </c>
      <c r="BA309" s="232">
        <f t="shared" si="1270"/>
        <v>7742.0032892999998</v>
      </c>
      <c r="BB309" s="232">
        <f t="shared" ref="BB309:BE309" si="1271">BB242*BB267</f>
        <v>7391.9977086743047</v>
      </c>
      <c r="BC309" s="232">
        <f t="shared" si="1271"/>
        <v>7399.7402631000004</v>
      </c>
      <c r="BD309" s="232">
        <f t="shared" si="1271"/>
        <v>7248.2097244436764</v>
      </c>
      <c r="BE309" s="232">
        <f t="shared" si="1271"/>
        <v>7881.4360641313924</v>
      </c>
      <c r="BF309" s="232">
        <f t="shared" ref="BF309:BG309" si="1272">BF242*BF267</f>
        <v>8371.2120872672967</v>
      </c>
      <c r="BG309" s="232">
        <f t="shared" si="1272"/>
        <v>8556.2546211099416</v>
      </c>
      <c r="BH309" s="232">
        <f t="shared" ref="BH309:BI309" si="1273">BH242*BH267</f>
        <v>8532.1931392908318</v>
      </c>
      <c r="BI309" s="232">
        <f t="shared" si="1273"/>
        <v>8770.0061318914104</v>
      </c>
      <c r="BJ309" s="44"/>
      <c r="BK309" s="44"/>
      <c r="BL309" s="44"/>
      <c r="BM309" s="44"/>
      <c r="BN309" s="44"/>
      <c r="BO309" s="44"/>
      <c r="BP309" s="44"/>
      <c r="BQ309" s="44"/>
      <c r="BR309" s="44"/>
      <c r="BS309" s="44"/>
      <c r="BT309" s="44"/>
      <c r="BU309" s="44"/>
      <c r="BV309" s="44"/>
      <c r="BW309" s="44"/>
      <c r="BX309" s="44"/>
      <c r="BY309" s="44"/>
      <c r="BZ309" s="44"/>
      <c r="CA309" s="44"/>
      <c r="CB309" s="44"/>
      <c r="CC309" s="44"/>
      <c r="CD309" s="44"/>
      <c r="CE309" s="44"/>
      <c r="CF309" s="44"/>
      <c r="CG309" s="46"/>
      <c r="CH309" s="44"/>
      <c r="CI309" s="44"/>
    </row>
    <row r="310" spans="2:87" ht="13.5" customHeight="1">
      <c r="C310" s="42"/>
      <c r="D310" s="4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32"/>
      <c r="S310" s="232"/>
      <c r="U310" s="232"/>
      <c r="V310" s="232"/>
      <c r="W310" s="232"/>
      <c r="X310" s="232"/>
      <c r="Y310" s="232"/>
      <c r="Z310" s="232"/>
      <c r="AA310" s="232"/>
      <c r="AB310" s="232"/>
      <c r="AC310" s="232"/>
      <c r="AD310" s="232"/>
      <c r="AE310" s="232"/>
      <c r="AF310" s="232"/>
      <c r="AG310" s="232"/>
      <c r="AH310" s="232"/>
      <c r="AI310" s="232"/>
      <c r="AJ310" s="232"/>
      <c r="AK310" s="232"/>
      <c r="AL310" s="232"/>
      <c r="AN310" s="232"/>
      <c r="AO310" s="232"/>
      <c r="AP310" s="232"/>
      <c r="AQ310" s="232"/>
      <c r="AR310" s="232"/>
      <c r="AS310" s="232"/>
      <c r="AT310" s="232"/>
      <c r="AU310" s="232"/>
      <c r="AV310" s="232"/>
      <c r="AW310" s="232"/>
      <c r="AX310" s="232"/>
      <c r="AY310" s="232"/>
      <c r="AZ310" s="232"/>
      <c r="BA310" s="232"/>
      <c r="BB310" s="232"/>
      <c r="BC310" s="232"/>
      <c r="BD310" s="232"/>
      <c r="BE310" s="232"/>
      <c r="BF310" s="232"/>
      <c r="BG310" s="232"/>
      <c r="BH310" s="232"/>
      <c r="BI310" s="232"/>
      <c r="BJ310" s="44"/>
      <c r="BK310" s="44"/>
      <c r="BL310" s="44"/>
      <c r="BM310" s="44"/>
      <c r="BN310" s="44"/>
      <c r="BO310" s="44"/>
      <c r="BP310" s="44"/>
      <c r="BQ310" s="44"/>
      <c r="BR310" s="44"/>
      <c r="BS310" s="44"/>
      <c r="BT310" s="44"/>
      <c r="BU310" s="44"/>
      <c r="BV310" s="44"/>
      <c r="BW310" s="44"/>
      <c r="BX310" s="44"/>
      <c r="BY310" s="44"/>
      <c r="BZ310" s="44"/>
      <c r="CA310" s="44"/>
      <c r="CB310" s="44"/>
      <c r="CC310" s="44"/>
      <c r="CD310" s="44"/>
      <c r="CE310" s="44"/>
      <c r="CF310" s="44"/>
      <c r="CG310" s="46"/>
      <c r="CH310" s="44"/>
      <c r="CI310" s="44"/>
    </row>
    <row r="311" spans="2:87" s="5" customFormat="1" ht="13.5" customHeight="1">
      <c r="B311" s="5" t="s">
        <v>382</v>
      </c>
      <c r="C311" s="196">
        <f t="shared" ref="C311:K311" si="1274">C244*C$267</f>
        <v>4051.086956521739</v>
      </c>
      <c r="D311" s="196">
        <f t="shared" si="1274"/>
        <v>3715.0493898895988</v>
      </c>
      <c r="E311" s="291">
        <f t="shared" si="1274"/>
        <v>3662.7337398373979</v>
      </c>
      <c r="F311" s="291">
        <f t="shared" si="1274"/>
        <v>4428.6229078245333</v>
      </c>
      <c r="G311" s="291">
        <f t="shared" si="1274"/>
        <v>4654.5101871999996</v>
      </c>
      <c r="H311" s="291">
        <f t="shared" si="1274"/>
        <v>4652.2621378000003</v>
      </c>
      <c r="I311" s="291">
        <f t="shared" si="1274"/>
        <v>4720.3816386583476</v>
      </c>
      <c r="J311" s="291">
        <f t="shared" si="1274"/>
        <v>4720.3816386583476</v>
      </c>
      <c r="K311" s="291">
        <f t="shared" si="1274"/>
        <v>4266.1041060946154</v>
      </c>
      <c r="L311" s="291">
        <f t="shared" ref="L311:N311" si="1275">L244*L$267</f>
        <v>4668.7295561480951</v>
      </c>
      <c r="M311" s="291">
        <f t="shared" ref="M311" si="1276">M244*M$267</f>
        <v>4668.7295561480951</v>
      </c>
      <c r="N311" s="291">
        <f t="shared" si="1275"/>
        <v>4090.9203013799997</v>
      </c>
      <c r="O311" s="291">
        <f t="shared" ref="O311" si="1277">O244*O$267</f>
        <v>4090.9203013799997</v>
      </c>
      <c r="P311" s="291">
        <f t="shared" ref="P311:R312" si="1278">P244*P$267</f>
        <v>6096.8481154199999</v>
      </c>
      <c r="Q311" s="291">
        <f t="shared" si="1278"/>
        <v>6861.2184133296832</v>
      </c>
      <c r="R311" s="291">
        <f t="shared" si="1278"/>
        <v>8058.2823240680091</v>
      </c>
      <c r="S311" s="291">
        <f t="shared" ref="S311" si="1279">S244*S$267</f>
        <v>7678.8663247672685</v>
      </c>
      <c r="T311" s="292"/>
      <c r="U311" s="291">
        <f t="shared" ref="U311:AG311" si="1280">U244*U$267</f>
        <v>34931.07318886189</v>
      </c>
      <c r="V311" s="291">
        <f t="shared" si="1280"/>
        <v>38847.602736527944</v>
      </c>
      <c r="W311" s="291">
        <f t="shared" si="1280"/>
        <v>40656.826471780259</v>
      </c>
      <c r="X311" s="291">
        <f t="shared" si="1280"/>
        <v>3662.7337398373979</v>
      </c>
      <c r="Y311" s="291">
        <f t="shared" si="1280"/>
        <v>3702.8708133971295</v>
      </c>
      <c r="Z311" s="291">
        <f t="shared" si="1280"/>
        <v>3760.5027932960897</v>
      </c>
      <c r="AA311" s="291">
        <f t="shared" si="1280"/>
        <v>3839.508954329895</v>
      </c>
      <c r="AB311" s="291">
        <f t="shared" si="1280"/>
        <v>4428.6229078245333</v>
      </c>
      <c r="AC311" s="291">
        <f t="shared" si="1280"/>
        <v>4647.9673363499996</v>
      </c>
      <c r="AD311" s="291">
        <f t="shared" si="1280"/>
        <v>4950.1613458499996</v>
      </c>
      <c r="AE311" s="291">
        <f t="shared" si="1280"/>
        <v>4758.6449059500001</v>
      </c>
      <c r="AF311" s="291">
        <f t="shared" si="1280"/>
        <v>4654.5101871999996</v>
      </c>
      <c r="AG311" s="291">
        <f t="shared" si="1280"/>
        <v>4741.5366339200009</v>
      </c>
      <c r="AH311" s="291">
        <f t="shared" ref="AH311:AQ311" si="1281">AH244*AH$267</f>
        <v>4818.7228094499997</v>
      </c>
      <c r="AI311" s="291">
        <f t="shared" si="1281"/>
        <v>4763.1376343699994</v>
      </c>
      <c r="AJ311" s="291">
        <f t="shared" si="1281"/>
        <v>4720.3816386583476</v>
      </c>
      <c r="AK311" s="291">
        <f t="shared" si="1281"/>
        <v>4400.1061603375529</v>
      </c>
      <c r="AL311" s="291">
        <f t="shared" si="1281"/>
        <v>4449.364757839463</v>
      </c>
      <c r="AM311" s="291">
        <f t="shared" si="1281"/>
        <v>4251.746267171914</v>
      </c>
      <c r="AN311" s="291">
        <f t="shared" si="1281"/>
        <v>4266.1041060946154</v>
      </c>
      <c r="AO311" s="291">
        <f t="shared" si="1281"/>
        <v>4222.2289399460005</v>
      </c>
      <c r="AP311" s="291">
        <f t="shared" si="1281"/>
        <v>4311.7792500719042</v>
      </c>
      <c r="AQ311" s="291">
        <f t="shared" si="1281"/>
        <v>4327.4612643397613</v>
      </c>
      <c r="AR311" s="291">
        <f t="shared" ref="AR311:AS311" si="1282">AR244*AR$267</f>
        <v>4668.7295561480951</v>
      </c>
      <c r="AS311" s="291">
        <f t="shared" si="1282"/>
        <v>4554.9707962500006</v>
      </c>
      <c r="AT311" s="291">
        <f>AT244*AT$267</f>
        <v>4755.8674398924786</v>
      </c>
      <c r="AU311" s="291">
        <f>AU244*AU$267</f>
        <v>4995.4050520000001</v>
      </c>
      <c r="AV311" s="291">
        <f t="shared" ref="AV311:AW311" si="1283">AV244*AV$267</f>
        <v>4090.9203013799997</v>
      </c>
      <c r="AW311" s="291">
        <f t="shared" si="1283"/>
        <v>5226.9385011800005</v>
      </c>
      <c r="AX311" s="291">
        <f>AX244*AX$267</f>
        <v>5489.3230197802968</v>
      </c>
      <c r="AY311" s="291">
        <f>AY244*AY$267</f>
        <v>5793.1995361999998</v>
      </c>
      <c r="AZ311" s="291">
        <f t="shared" ref="AZ311:BA311" si="1284">AZ244*AZ$267</f>
        <v>6096.8481154199999</v>
      </c>
      <c r="BA311" s="291">
        <f t="shared" si="1284"/>
        <v>6682.6762856999994</v>
      </c>
      <c r="BB311" s="291">
        <f>BB244*BB$267</f>
        <v>6976.5247135842892</v>
      </c>
      <c r="BC311" s="291">
        <f>BC244*BC$267</f>
        <v>6971.1926163300004</v>
      </c>
      <c r="BD311" s="291">
        <f t="shared" ref="BD311:BE311" si="1285">BD244*BD$267</f>
        <v>6861.2184133296832</v>
      </c>
      <c r="BE311" s="291">
        <f t="shared" si="1285"/>
        <v>7012.389969694008</v>
      </c>
      <c r="BF311" s="291">
        <f t="shared" ref="BF311:BI312" si="1286">BF244*BF$267</f>
        <v>7971.4802901797621</v>
      </c>
      <c r="BG311" s="291">
        <f t="shared" si="1286"/>
        <v>7812.6854587253674</v>
      </c>
      <c r="BH311" s="291">
        <f t="shared" si="1286"/>
        <v>8058.2823240680091</v>
      </c>
      <c r="BI311" s="291">
        <f t="shared" si="1286"/>
        <v>7678.8663247672685</v>
      </c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43"/>
      <c r="CB311" s="43"/>
      <c r="CC311" s="43"/>
      <c r="CD311" s="43"/>
      <c r="CE311" s="43"/>
      <c r="CF311" s="43"/>
      <c r="CG311" s="46"/>
      <c r="CH311" s="43"/>
      <c r="CI311" s="43"/>
    </row>
    <row r="312" spans="2:87" ht="13.5" customHeight="1">
      <c r="B312" s="1" t="s">
        <v>383</v>
      </c>
      <c r="C312" s="58">
        <f t="shared" ref="C312:K312" si="1287">C245*C$267</f>
        <v>4225.815217391304</v>
      </c>
      <c r="D312" s="58">
        <f t="shared" si="1287"/>
        <v>3937.303893085415</v>
      </c>
      <c r="E312" s="232">
        <f t="shared" si="1287"/>
        <v>3992.4990321331779</v>
      </c>
      <c r="F312" s="232">
        <f t="shared" si="1287"/>
        <v>4795.54745501667</v>
      </c>
      <c r="G312" s="232">
        <f t="shared" si="1287"/>
        <v>5040.5264724999997</v>
      </c>
      <c r="H312" s="232">
        <f t="shared" si="1287"/>
        <v>5038.2784230999996</v>
      </c>
      <c r="I312" s="232">
        <f t="shared" si="1287"/>
        <v>5050.632472040108</v>
      </c>
      <c r="J312" s="232">
        <f t="shared" si="1287"/>
        <v>5050.632472040108</v>
      </c>
      <c r="K312" s="232">
        <f t="shared" si="1287"/>
        <v>4731.4754221840585</v>
      </c>
      <c r="L312" s="232">
        <f t="shared" ref="L312:N312" si="1288">L245*L$267</f>
        <v>5107.9850157926712</v>
      </c>
      <c r="M312" s="232">
        <f t="shared" ref="M312" si="1289">M245*M$267</f>
        <v>5107.9850157926712</v>
      </c>
      <c r="N312" s="232">
        <f t="shared" si="1288"/>
        <v>4722.0917552599994</v>
      </c>
      <c r="O312" s="232">
        <f t="shared" ref="O312" si="1290">O245*O$267</f>
        <v>4722.0917552599994</v>
      </c>
      <c r="P312" s="232">
        <f t="shared" si="1278"/>
        <v>6470.7929940599997</v>
      </c>
      <c r="Q312" s="232">
        <f t="shared" si="1278"/>
        <v>7248.2097244436764</v>
      </c>
      <c r="R312" s="232">
        <f t="shared" si="1278"/>
        <v>8532.1931392908318</v>
      </c>
      <c r="S312" s="232">
        <f t="shared" ref="S312" si="1291">S245*S$267</f>
        <v>8770.0061318914104</v>
      </c>
      <c r="U312" s="232">
        <f t="shared" ref="U312:AG312" si="1292">U245*U$267</f>
        <v>38520.945121894278</v>
      </c>
      <c r="V312" s="232">
        <f t="shared" si="1292"/>
        <v>41442.373599938743</v>
      </c>
      <c r="W312" s="232">
        <f t="shared" si="1292"/>
        <v>45640.736389732978</v>
      </c>
      <c r="X312" s="232">
        <f t="shared" si="1292"/>
        <v>3992.4990321331779</v>
      </c>
      <c r="Y312" s="232">
        <f t="shared" si="1292"/>
        <v>4116.6932482721959</v>
      </c>
      <c r="Z312" s="232">
        <f t="shared" si="1292"/>
        <v>4074.9720670391066</v>
      </c>
      <c r="AA312" s="232">
        <f t="shared" si="1292"/>
        <v>4151.9076376944586</v>
      </c>
      <c r="AB312" s="232">
        <f t="shared" si="1292"/>
        <v>4795.54745501667</v>
      </c>
      <c r="AC312" s="232">
        <f t="shared" si="1292"/>
        <v>4923.8373190499997</v>
      </c>
      <c r="AD312" s="232">
        <f t="shared" si="1292"/>
        <v>5375.8511536799997</v>
      </c>
      <c r="AE312" s="232">
        <f t="shared" si="1292"/>
        <v>5184.6805518300007</v>
      </c>
      <c r="AF312" s="232">
        <f t="shared" si="1292"/>
        <v>5040.5264724999997</v>
      </c>
      <c r="AG312" s="232">
        <f t="shared" si="1292"/>
        <v>5107.2257339800008</v>
      </c>
      <c r="AH312" s="232">
        <f t="shared" ref="AH312:AQ312" si="1293">AH245*AH$267</f>
        <v>5114.7114376600002</v>
      </c>
      <c r="AI312" s="232">
        <f t="shared" si="1293"/>
        <v>5627.5776643499994</v>
      </c>
      <c r="AJ312" s="232">
        <f t="shared" si="1293"/>
        <v>5050.632472040108</v>
      </c>
      <c r="AK312" s="232">
        <f t="shared" si="1293"/>
        <v>5473.6428270042197</v>
      </c>
      <c r="AL312" s="232">
        <f t="shared" si="1293"/>
        <v>4898.6553591765396</v>
      </c>
      <c r="AM312" s="232">
        <f t="shared" si="1293"/>
        <v>4795.8096008971452</v>
      </c>
      <c r="AN312" s="232">
        <f t="shared" si="1293"/>
        <v>4731.4754221840585</v>
      </c>
      <c r="AO312" s="232">
        <f t="shared" si="1293"/>
        <v>4779.0887624040006</v>
      </c>
      <c r="AP312" s="232">
        <f t="shared" si="1293"/>
        <v>4912.919936017438</v>
      </c>
      <c r="AQ312" s="232">
        <f t="shared" si="1293"/>
        <v>4871.9337075909207</v>
      </c>
      <c r="AR312" s="232">
        <f t="shared" ref="AR312:AS312" si="1294">AR245*AR$267</f>
        <v>5107.9850157926712</v>
      </c>
      <c r="AS312" s="232">
        <f t="shared" si="1294"/>
        <v>5012.1891142500008</v>
      </c>
      <c r="AT312" s="232">
        <f>AT245*AT$267</f>
        <v>5093.0009955697151</v>
      </c>
      <c r="AU312" s="232">
        <f>AU245*AU$267</f>
        <v>5358.4597849000002</v>
      </c>
      <c r="AV312" s="232">
        <f t="shared" ref="AV312:AW312" si="1295">AV245*AV$267</f>
        <v>4722.0917552599994</v>
      </c>
      <c r="AW312" s="232">
        <f t="shared" si="1295"/>
        <v>5557.2183220400002</v>
      </c>
      <c r="AX312" s="232">
        <f>AX245*AX$267</f>
        <v>5868.0971319445653</v>
      </c>
      <c r="AY312" s="232">
        <f>AY245*AY$267</f>
        <v>6151.5337674600005</v>
      </c>
      <c r="AZ312" s="232">
        <f t="shared" ref="AZ312:BA312" si="1296">AZ245*AZ$267</f>
        <v>6470.7929940599997</v>
      </c>
      <c r="BA312" s="232">
        <f t="shared" si="1296"/>
        <v>7742.0032892999998</v>
      </c>
      <c r="BB312" s="232">
        <f>BB245*BB$267</f>
        <v>7391.9977086743047</v>
      </c>
      <c r="BC312" s="232">
        <f>BC245*BC$267</f>
        <v>7399.7402631000004</v>
      </c>
      <c r="BD312" s="232">
        <f t="shared" ref="BD312:BE312" si="1297">BD245*BD$267</f>
        <v>7248.2097244436764</v>
      </c>
      <c r="BE312" s="232">
        <f t="shared" si="1297"/>
        <v>7881.4360641313924</v>
      </c>
      <c r="BF312" s="232">
        <f t="shared" si="1286"/>
        <v>8371.2120872672967</v>
      </c>
      <c r="BG312" s="232">
        <f t="shared" si="1286"/>
        <v>8556.2546211099416</v>
      </c>
      <c r="BH312" s="232">
        <f t="shared" si="1286"/>
        <v>8532.1931392908318</v>
      </c>
      <c r="BI312" s="232">
        <f t="shared" si="1286"/>
        <v>8770.0061318914104</v>
      </c>
      <c r="BJ312" s="44"/>
      <c r="BK312" s="44"/>
      <c r="BL312" s="44"/>
      <c r="BM312" s="44"/>
      <c r="BN312" s="44"/>
      <c r="BO312" s="44"/>
      <c r="BP312" s="44"/>
      <c r="BQ312" s="44"/>
      <c r="BR312" s="44"/>
      <c r="BS312" s="44"/>
      <c r="BT312" s="44"/>
      <c r="BU312" s="44"/>
      <c r="BV312" s="44"/>
      <c r="BW312" s="44"/>
      <c r="BX312" s="44"/>
      <c r="BY312" s="44"/>
      <c r="BZ312" s="44"/>
      <c r="CA312" s="44"/>
      <c r="CB312" s="44"/>
      <c r="CC312" s="44"/>
      <c r="CD312" s="44"/>
      <c r="CE312" s="44"/>
      <c r="CF312" s="44"/>
      <c r="CG312" s="114"/>
      <c r="CH312" s="44"/>
      <c r="CI312" s="44"/>
    </row>
    <row r="313" spans="2:87" ht="13.5" customHeight="1">
      <c r="B313" s="15"/>
      <c r="C313" s="42"/>
      <c r="D313" s="4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32"/>
      <c r="S313" s="232"/>
      <c r="U313" s="232"/>
      <c r="V313" s="232"/>
      <c r="W313" s="232"/>
      <c r="X313" s="232"/>
      <c r="Y313" s="232"/>
      <c r="Z313" s="232"/>
      <c r="AA313" s="232"/>
      <c r="AB313" s="232"/>
      <c r="AC313" s="232"/>
      <c r="AD313" s="232"/>
      <c r="AE313" s="232"/>
      <c r="AF313" s="232"/>
      <c r="AG313" s="232"/>
      <c r="AH313" s="232"/>
      <c r="AI313" s="232"/>
      <c r="AJ313" s="232"/>
      <c r="AK313" s="232"/>
      <c r="AL313" s="232"/>
      <c r="AN313" s="232"/>
      <c r="AO313" s="232"/>
      <c r="AP313" s="232"/>
      <c r="AQ313" s="232"/>
      <c r="AR313" s="232"/>
      <c r="AS313" s="232"/>
      <c r="AT313" s="232"/>
      <c r="AU313" s="232"/>
      <c r="AV313" s="232"/>
      <c r="AW313" s="232"/>
      <c r="AX313" s="232"/>
      <c r="AY313" s="232"/>
      <c r="AZ313" s="232"/>
      <c r="BA313" s="232"/>
      <c r="BB313" s="232"/>
      <c r="BC313" s="232"/>
      <c r="BD313" s="232"/>
      <c r="BE313" s="232"/>
      <c r="BF313" s="232"/>
      <c r="BG313" s="232"/>
      <c r="BH313" s="232"/>
      <c r="BI313" s="232"/>
      <c r="BJ313" s="44"/>
      <c r="BK313" s="44"/>
      <c r="BL313" s="44"/>
      <c r="BM313" s="44"/>
      <c r="BN313" s="44"/>
      <c r="BO313" s="44"/>
      <c r="BP313" s="44"/>
      <c r="BQ313" s="44"/>
      <c r="BR313" s="44"/>
      <c r="BS313" s="44"/>
      <c r="BT313" s="44"/>
      <c r="BU313" s="44"/>
      <c r="BV313" s="44"/>
      <c r="BW313" s="44"/>
      <c r="BX313" s="44"/>
      <c r="BY313" s="44"/>
      <c r="BZ313" s="44"/>
      <c r="CA313" s="44"/>
      <c r="CB313" s="44"/>
      <c r="CC313" s="44"/>
      <c r="CD313" s="44"/>
      <c r="CE313" s="44"/>
      <c r="CF313" s="44"/>
      <c r="CG313" s="46"/>
      <c r="CH313" s="44"/>
      <c r="CI313" s="44"/>
    </row>
    <row r="314" spans="2:87" s="5" customFormat="1" ht="13.5" customHeight="1">
      <c r="B314" s="5" t="s">
        <v>385</v>
      </c>
      <c r="C314" s="196">
        <f t="shared" ref="C314:K314" si="1298">C247*C$267</f>
        <v>5945.108695652174</v>
      </c>
      <c r="D314" s="196">
        <f t="shared" si="1298"/>
        <v>5637.6525276002321</v>
      </c>
      <c r="E314" s="291">
        <f t="shared" si="1298"/>
        <v>5544.6539876113038</v>
      </c>
      <c r="F314" s="291">
        <f t="shared" si="1298"/>
        <v>6769.2157771017337</v>
      </c>
      <c r="G314" s="291">
        <f t="shared" si="1298"/>
        <v>7191.7110855999999</v>
      </c>
      <c r="H314" s="291">
        <f t="shared" si="1298"/>
        <v>7189.4630361999998</v>
      </c>
      <c r="I314" s="291">
        <f t="shared" si="1298"/>
        <v>6059.0947176011277</v>
      </c>
      <c r="J314" s="291">
        <f t="shared" si="1298"/>
        <v>6059.0947176011277</v>
      </c>
      <c r="K314" s="291">
        <f t="shared" si="1298"/>
        <v>5726.7964226711456</v>
      </c>
      <c r="L314" s="291">
        <f t="shared" ref="L314:N314" si="1299">L247*L$267</f>
        <v>6232.8981686526768</v>
      </c>
      <c r="M314" s="291">
        <f t="shared" ref="M314" si="1300">M247*M$267</f>
        <v>6232.8981686526768</v>
      </c>
      <c r="N314" s="291">
        <f t="shared" si="1299"/>
        <v>5586.9576004</v>
      </c>
      <c r="O314" s="291">
        <f t="shared" ref="O314" si="1301">O247*O$267</f>
        <v>5586.9576004</v>
      </c>
      <c r="P314" s="291">
        <f t="shared" ref="P314:R315" si="1302">P247*P$267</f>
        <v>7675.1421102000004</v>
      </c>
      <c r="Q314" s="291">
        <f t="shared" si="1302"/>
        <v>8580.7711446370504</v>
      </c>
      <c r="R314" s="291">
        <f t="shared" si="1302"/>
        <v>9989.9992226454506</v>
      </c>
      <c r="S314" s="291">
        <f t="shared" ref="S314" si="1303">S247*S$267</f>
        <v>9599.6624115056584</v>
      </c>
      <c r="T314" s="292"/>
      <c r="U314" s="291">
        <f t="shared" ref="U314:AG314" si="1304">U247*U$267</f>
        <v>56720.200663774252</v>
      </c>
      <c r="V314" s="291">
        <f t="shared" si="1304"/>
        <v>60636.730211440306</v>
      </c>
      <c r="W314" s="291">
        <f t="shared" si="1304"/>
        <v>62445.953946692622</v>
      </c>
      <c r="X314" s="291">
        <f t="shared" si="1304"/>
        <v>5544.6539876113038</v>
      </c>
      <c r="Y314" s="291">
        <f t="shared" si="1304"/>
        <v>5865.2287081339709</v>
      </c>
      <c r="Z314" s="291">
        <f t="shared" si="1304"/>
        <v>6132.5644692737433</v>
      </c>
      <c r="AA314" s="291">
        <f t="shared" si="1304"/>
        <v>6270.8804862099469</v>
      </c>
      <c r="AB314" s="291">
        <f t="shared" si="1304"/>
        <v>6769.2157771017337</v>
      </c>
      <c r="AC314" s="291">
        <f t="shared" si="1304"/>
        <v>7231.7027308500001</v>
      </c>
      <c r="AD314" s="291">
        <f t="shared" si="1304"/>
        <v>7477.0414271700001</v>
      </c>
      <c r="AE314" s="291">
        <f t="shared" si="1304"/>
        <v>7370.9997125700011</v>
      </c>
      <c r="AF314" s="291">
        <f t="shared" si="1304"/>
        <v>7191.7110855999999</v>
      </c>
      <c r="AG314" s="291">
        <f t="shared" si="1304"/>
        <v>5870.1795438200006</v>
      </c>
      <c r="AH314" s="291">
        <f t="shared" ref="AH314:AQ314" si="1305">AH247*AH$267</f>
        <v>5948.2056584500006</v>
      </c>
      <c r="AI314" s="291">
        <f t="shared" si="1305"/>
        <v>5910.29959392</v>
      </c>
      <c r="AJ314" s="291">
        <f t="shared" si="1305"/>
        <v>6059.0947176011277</v>
      </c>
      <c r="AK314" s="291">
        <f t="shared" si="1305"/>
        <v>5666.7581856540082</v>
      </c>
      <c r="AL314" s="291">
        <f t="shared" si="1305"/>
        <v>5731.2670068766456</v>
      </c>
      <c r="AM314" s="291">
        <f t="shared" si="1305"/>
        <v>5617.1837157353066</v>
      </c>
      <c r="AN314" s="291">
        <f t="shared" si="1305"/>
        <v>5726.7964226711456</v>
      </c>
      <c r="AO314" s="291">
        <f t="shared" si="1305"/>
        <v>5679.3233894200002</v>
      </c>
      <c r="AP314" s="291">
        <f t="shared" si="1305"/>
        <v>5753.6586116591552</v>
      </c>
      <c r="AQ314" s="291">
        <f t="shared" si="1305"/>
        <v>5754.9394679033448</v>
      </c>
      <c r="AR314" s="291">
        <f t="shared" ref="AR314:AS314" si="1306">AR247*AR$267</f>
        <v>6232.8981686526768</v>
      </c>
      <c r="AS314" s="291">
        <f t="shared" si="1306"/>
        <v>6096.9816922500004</v>
      </c>
      <c r="AT314" s="291">
        <f>AT247*AT$267</f>
        <v>6262.5311364428289</v>
      </c>
      <c r="AU314" s="291">
        <f>AU247*AU$267</f>
        <v>6507.5012441500003</v>
      </c>
      <c r="AV314" s="291">
        <f t="shared" ref="AV314:AW314" si="1307">AV247*AV$267</f>
        <v>5586.9576004</v>
      </c>
      <c r="AW314" s="291">
        <f t="shared" si="1307"/>
        <v>6752.9111183599998</v>
      </c>
      <c r="AX314" s="291">
        <f>AX247*AX$267</f>
        <v>7038.187302532835</v>
      </c>
      <c r="AY314" s="291">
        <f>AY247*AY$267</f>
        <v>7358.5436917999996</v>
      </c>
      <c r="AZ314" s="291">
        <f t="shared" ref="AZ314:BA314" si="1308">AZ247*AZ$267</f>
        <v>7675.1421102000004</v>
      </c>
      <c r="BA314" s="291">
        <f t="shared" si="1308"/>
        <v>8308.235665799999</v>
      </c>
      <c r="BB314" s="291">
        <f>BB247*BB$267</f>
        <v>8623.0216039279876</v>
      </c>
      <c r="BC314" s="291">
        <f>BC247*BC$267</f>
        <v>8662.5903455099997</v>
      </c>
      <c r="BD314" s="291">
        <f>BD247*BD$267</f>
        <v>8580.7711446370504</v>
      </c>
      <c r="BE314" s="291">
        <f t="shared" ref="BE314" si="1309">BE247*BE$267</f>
        <v>8795.2305210675531</v>
      </c>
      <c r="BF314" s="291">
        <f t="shared" ref="BF314:BI315" si="1310">BF247*BF$267</f>
        <v>9881.4364965061068</v>
      </c>
      <c r="BG314" s="291">
        <f t="shared" si="1310"/>
        <v>9800.4794486886167</v>
      </c>
      <c r="BH314" s="291">
        <f t="shared" si="1310"/>
        <v>9989.9992226454506</v>
      </c>
      <c r="BI314" s="291">
        <f t="shared" si="1310"/>
        <v>9599.6624115056584</v>
      </c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43"/>
      <c r="CB314" s="43"/>
      <c r="CC314" s="43"/>
      <c r="CD314" s="43"/>
      <c r="CE314" s="43"/>
      <c r="CF314" s="43"/>
      <c r="CG314" s="46"/>
      <c r="CH314" s="43"/>
      <c r="CI314" s="43"/>
    </row>
    <row r="315" spans="2:87" ht="13.5" customHeight="1">
      <c r="B315" s="1" t="s">
        <v>386</v>
      </c>
      <c r="C315" s="58">
        <f t="shared" ref="C315:K315" si="1311">C248*C$267</f>
        <v>6119.836956521739</v>
      </c>
      <c r="D315" s="58">
        <f t="shared" si="1311"/>
        <v>5859.9070307960483</v>
      </c>
      <c r="E315" s="232">
        <f t="shared" si="1311"/>
        <v>5874.4192799070843</v>
      </c>
      <c r="F315" s="232">
        <f t="shared" si="1311"/>
        <v>7136.1403242938695</v>
      </c>
      <c r="G315" s="232">
        <f t="shared" si="1311"/>
        <v>7577.7273708999992</v>
      </c>
      <c r="H315" s="232">
        <f t="shared" si="1311"/>
        <v>7575.4793215000009</v>
      </c>
      <c r="I315" s="232">
        <f t="shared" si="1311"/>
        <v>6389.3455509828882</v>
      </c>
      <c r="J315" s="232">
        <f t="shared" si="1311"/>
        <v>6389.3455509828882</v>
      </c>
      <c r="K315" s="232">
        <f t="shared" si="1311"/>
        <v>6192.1677387605887</v>
      </c>
      <c r="L315" s="232">
        <f t="shared" ref="L315:N315" si="1312">L248*L$267</f>
        <v>6672.1536282972538</v>
      </c>
      <c r="M315" s="232">
        <f t="shared" ref="M315" si="1313">M248*M$267</f>
        <v>6672.1536282972538</v>
      </c>
      <c r="N315" s="232">
        <f t="shared" si="1312"/>
        <v>6218.1290542799998</v>
      </c>
      <c r="O315" s="232">
        <f t="shared" ref="O315" si="1314">O248*O$267</f>
        <v>6218.1290542799998</v>
      </c>
      <c r="P315" s="232">
        <f t="shared" si="1302"/>
        <v>8049.0869888399993</v>
      </c>
      <c r="Q315" s="232">
        <f t="shared" si="1302"/>
        <v>8967.7624557510426</v>
      </c>
      <c r="R315" s="232">
        <f t="shared" si="1302"/>
        <v>10463.910037868272</v>
      </c>
      <c r="S315" s="232">
        <f t="shared" ref="S315" si="1315">S248*S$267</f>
        <v>10690.802218629802</v>
      </c>
      <c r="U315" s="232">
        <f t="shared" ref="U315:AG315" si="1316">U248*U$267</f>
        <v>60310.07259680664</v>
      </c>
      <c r="V315" s="232">
        <f t="shared" si="1316"/>
        <v>63231.501074851105</v>
      </c>
      <c r="W315" s="232">
        <f t="shared" si="1316"/>
        <v>67429.863864645347</v>
      </c>
      <c r="X315" s="232">
        <f t="shared" si="1316"/>
        <v>5874.4192799070843</v>
      </c>
      <c r="Y315" s="232">
        <f t="shared" si="1316"/>
        <v>6279.0511430090382</v>
      </c>
      <c r="Z315" s="232">
        <f t="shared" si="1316"/>
        <v>6447.0337430167601</v>
      </c>
      <c r="AA315" s="232">
        <f t="shared" si="1316"/>
        <v>6583.2791695745109</v>
      </c>
      <c r="AB315" s="232">
        <f t="shared" si="1316"/>
        <v>7136.1403242938695</v>
      </c>
      <c r="AC315" s="232">
        <f t="shared" si="1316"/>
        <v>7507.572713550001</v>
      </c>
      <c r="AD315" s="232">
        <f t="shared" si="1316"/>
        <v>7902.7312350000002</v>
      </c>
      <c r="AE315" s="232">
        <f t="shared" si="1316"/>
        <v>7797.0353584499999</v>
      </c>
      <c r="AF315" s="232">
        <f t="shared" si="1316"/>
        <v>7577.7273708999992</v>
      </c>
      <c r="AG315" s="232">
        <f t="shared" si="1316"/>
        <v>6235.8686438800005</v>
      </c>
      <c r="AH315" s="232">
        <f t="shared" ref="AH315:AQ315" si="1317">AH248*AH$267</f>
        <v>6244.1942866600002</v>
      </c>
      <c r="AI315" s="232">
        <f t="shared" si="1317"/>
        <v>6774.7396238999991</v>
      </c>
      <c r="AJ315" s="232">
        <f t="shared" si="1317"/>
        <v>6389.3455509828882</v>
      </c>
      <c r="AK315" s="232">
        <f t="shared" si="1317"/>
        <v>6740.2948523206751</v>
      </c>
      <c r="AL315" s="232">
        <f t="shared" si="1317"/>
        <v>6180.5576082137222</v>
      </c>
      <c r="AM315" s="232">
        <f t="shared" si="1317"/>
        <v>6161.2470494605377</v>
      </c>
      <c r="AN315" s="232">
        <f t="shared" si="1317"/>
        <v>6192.1677387605887</v>
      </c>
      <c r="AO315" s="232">
        <f t="shared" si="1317"/>
        <v>6236.1832118780003</v>
      </c>
      <c r="AP315" s="232">
        <f t="shared" si="1317"/>
        <v>6354.7992976046908</v>
      </c>
      <c r="AQ315" s="232">
        <f t="shared" si="1317"/>
        <v>6299.4119111545033</v>
      </c>
      <c r="AR315" s="232">
        <f t="shared" ref="AR315:AS315" si="1318">AR248*AR$267</f>
        <v>6672.1536282972538</v>
      </c>
      <c r="AS315" s="232">
        <f t="shared" si="1318"/>
        <v>6554.2000102500006</v>
      </c>
      <c r="AT315" s="232">
        <f>AT248*AT$267</f>
        <v>6599.6646921200654</v>
      </c>
      <c r="AU315" s="232">
        <f>AU248*AU$267</f>
        <v>6870.5559770499995</v>
      </c>
      <c r="AV315" s="232">
        <f t="shared" ref="AV315:AW315" si="1319">AV248*AV$267</f>
        <v>6218.1290542799998</v>
      </c>
      <c r="AW315" s="232">
        <f t="shared" si="1319"/>
        <v>7083.1909392199996</v>
      </c>
      <c r="AX315" s="232">
        <f>AX248*AX$267</f>
        <v>7416.9614146971053</v>
      </c>
      <c r="AY315" s="232">
        <f>AY248*AY$267</f>
        <v>7716.8779230600012</v>
      </c>
      <c r="AZ315" s="232">
        <f t="shared" ref="AZ315:BA315" si="1320">AZ248*AZ$267</f>
        <v>8049.0869888399993</v>
      </c>
      <c r="BA315" s="232">
        <f t="shared" si="1320"/>
        <v>9367.5626694000002</v>
      </c>
      <c r="BB315" s="232">
        <f>BB248*BB$267</f>
        <v>9038.494599018004</v>
      </c>
      <c r="BC315" s="232">
        <f>BC248*BC$267</f>
        <v>9091.1379922800006</v>
      </c>
      <c r="BD315" s="232">
        <f t="shared" ref="BD315:BE315" si="1321">BD248*BD$267</f>
        <v>8967.7624557510426</v>
      </c>
      <c r="BE315" s="232">
        <f t="shared" si="1321"/>
        <v>9664.2766155049376</v>
      </c>
      <c r="BF315" s="232">
        <f t="shared" si="1310"/>
        <v>10281.168293593641</v>
      </c>
      <c r="BG315" s="232">
        <f t="shared" si="1310"/>
        <v>10544.048611073191</v>
      </c>
      <c r="BH315" s="232">
        <f t="shared" si="1310"/>
        <v>10463.910037868272</v>
      </c>
      <c r="BI315" s="232">
        <f t="shared" si="1310"/>
        <v>10690.802218629802</v>
      </c>
      <c r="BJ315" s="44"/>
      <c r="BK315" s="44"/>
      <c r="BL315" s="44"/>
      <c r="BM315" s="44"/>
      <c r="BN315" s="44"/>
      <c r="BO315" s="44"/>
      <c r="BP315" s="44"/>
      <c r="BQ315" s="44"/>
      <c r="BR315" s="44"/>
      <c r="BS315" s="44"/>
      <c r="BT315" s="44"/>
      <c r="BU315" s="44"/>
      <c r="BV315" s="44"/>
      <c r="BW315" s="44"/>
      <c r="BX315" s="44"/>
      <c r="BY315" s="44"/>
      <c r="BZ315" s="44"/>
      <c r="CA315" s="44"/>
      <c r="CB315" s="44"/>
      <c r="CC315" s="44"/>
      <c r="CD315" s="44"/>
      <c r="CE315" s="44"/>
      <c r="CF315" s="44"/>
      <c r="CG315" s="114"/>
      <c r="CH315" s="44"/>
      <c r="CI315" s="44"/>
    </row>
    <row r="316" spans="2:87" ht="13.5" customHeight="1">
      <c r="B316" s="15"/>
      <c r="C316" s="42"/>
      <c r="D316" s="4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32"/>
      <c r="S316" s="232"/>
      <c r="U316" s="232"/>
      <c r="V316" s="232"/>
      <c r="W316" s="232"/>
      <c r="X316" s="232"/>
      <c r="Y316" s="232"/>
      <c r="Z316" s="232"/>
      <c r="AA316" s="232"/>
      <c r="AB316" s="232"/>
      <c r="AC316" s="232"/>
      <c r="AD316" s="232"/>
      <c r="AE316" s="232"/>
      <c r="AF316" s="232"/>
      <c r="AG316" s="232"/>
      <c r="AH316" s="232"/>
      <c r="AI316" s="232"/>
      <c r="AJ316" s="232"/>
      <c r="AK316" s="232"/>
      <c r="AL316" s="232"/>
      <c r="AN316" s="232"/>
      <c r="AO316" s="232"/>
      <c r="AP316" s="232"/>
      <c r="AQ316" s="232"/>
      <c r="AR316" s="232"/>
      <c r="AS316" s="232"/>
      <c r="AT316" s="232"/>
      <c r="AU316" s="232"/>
      <c r="AV316" s="232"/>
      <c r="AW316" s="232"/>
      <c r="AX316" s="232"/>
      <c r="AY316" s="232"/>
      <c r="AZ316" s="232"/>
      <c r="BA316" s="232"/>
      <c r="BB316" s="232"/>
      <c r="BC316" s="232"/>
      <c r="BD316" s="232"/>
      <c r="BE316" s="232"/>
      <c r="BF316" s="232"/>
      <c r="BG316" s="232"/>
      <c r="BH316" s="232"/>
      <c r="BI316" s="232"/>
      <c r="BJ316" s="44"/>
      <c r="BK316" s="44"/>
      <c r="BL316" s="44"/>
      <c r="BM316" s="44"/>
      <c r="BN316" s="44"/>
      <c r="BO316" s="44"/>
      <c r="BP316" s="44"/>
      <c r="BQ316" s="44"/>
      <c r="BR316" s="44"/>
      <c r="BS316" s="44"/>
      <c r="BT316" s="44"/>
      <c r="BU316" s="44"/>
      <c r="BV316" s="44"/>
      <c r="BW316" s="44"/>
      <c r="BX316" s="44"/>
      <c r="BY316" s="44"/>
      <c r="BZ316" s="44"/>
      <c r="CA316" s="44"/>
      <c r="CB316" s="44"/>
      <c r="CC316" s="44"/>
      <c r="CD316" s="44"/>
      <c r="CE316" s="44"/>
      <c r="CF316" s="44"/>
      <c r="CG316" s="46"/>
      <c r="CH316" s="44"/>
      <c r="CI316" s="44"/>
    </row>
    <row r="317" spans="2:87" s="5" customFormat="1" ht="13.5" customHeight="1">
      <c r="B317" s="5" t="s">
        <v>408</v>
      </c>
      <c r="C317" s="196">
        <f t="shared" ref="C317:K317" si="1322">C250*C$266</f>
        <v>1384.9624060150375</v>
      </c>
      <c r="D317" s="196">
        <f t="shared" si="1322"/>
        <v>1474.384858044164</v>
      </c>
      <c r="E317" s="291">
        <f t="shared" si="1322"/>
        <v>1570.3741819292802</v>
      </c>
      <c r="F317" s="291">
        <f t="shared" si="1322"/>
        <v>1445.7702879874614</v>
      </c>
      <c r="G317" s="291">
        <f t="shared" si="1322"/>
        <v>1650.5623000000001</v>
      </c>
      <c r="H317" s="291">
        <f t="shared" si="1322"/>
        <v>1650.3020000000001</v>
      </c>
      <c r="I317" s="291">
        <f t="shared" si="1322"/>
        <v>1735.3077467416622</v>
      </c>
      <c r="J317" s="291">
        <f t="shared" si="1322"/>
        <v>1922.6353246868841</v>
      </c>
      <c r="K317" s="291">
        <f t="shared" si="1322"/>
        <v>2060.8388251220549</v>
      </c>
      <c r="L317" s="291">
        <f t="shared" ref="L317:M317" si="1323">L250*L$266</f>
        <v>2429.1992680997337</v>
      </c>
      <c r="M317" s="291">
        <f t="shared" si="1323"/>
        <v>2339.9899900040787</v>
      </c>
      <c r="N317" s="291">
        <f t="shared" ref="N317:O317" si="1324">N250*N$266</f>
        <v>2661.8079925730499</v>
      </c>
      <c r="O317" s="291">
        <f t="shared" si="1324"/>
        <v>2661.8079925730499</v>
      </c>
      <c r="P317" s="291">
        <f t="shared" ref="P317:R318" si="1325">P250*P$266</f>
        <v>3090.6937675472536</v>
      </c>
      <c r="Q317" s="291">
        <f t="shared" si="1325"/>
        <v>3045.340171710192</v>
      </c>
      <c r="R317" s="291">
        <f t="shared" si="1325"/>
        <v>3101.0499096631479</v>
      </c>
      <c r="S317" s="291">
        <f t="shared" ref="S317" si="1326">S250*S$266</f>
        <v>3284.7694467161168</v>
      </c>
      <c r="T317" s="292"/>
      <c r="U317" s="368"/>
      <c r="V317" s="368"/>
      <c r="W317" s="368"/>
      <c r="X317" s="291">
        <f t="shared" ref="X317" si="1327">SUM(U285:X285)</f>
        <v>1563.4110980635403</v>
      </c>
      <c r="Y317" s="291">
        <f t="shared" ref="Y317" si="1328">SUM(V285:Y285)</f>
        <v>1528.5534180635402</v>
      </c>
      <c r="Z317" s="291">
        <f t="shared" ref="Z317" si="1329">SUM(W285:Z285)</f>
        <v>1518.6099489687203</v>
      </c>
      <c r="AA317" s="291">
        <f t="shared" ref="AA317" si="1330">SUM(X285:AA285)</f>
        <v>1489.3697787424253</v>
      </c>
      <c r="AB317" s="291">
        <f t="shared" ref="AB317" si="1331">SUM(Y285:AB285)</f>
        <v>1450.2341574855041</v>
      </c>
      <c r="AC317" s="291">
        <f t="shared" ref="AC317" si="1332">SUM(Z285:AC285)</f>
        <v>1511.293997485504</v>
      </c>
      <c r="AD317" s="291">
        <f t="shared" ref="AD317" si="1333">SUM(AA285:AD285)</f>
        <v>1516.1346665803239</v>
      </c>
      <c r="AE317" s="291">
        <f t="shared" ref="AE317" si="1334">SUM(AB285:AE285)</f>
        <v>1555.9610368066189</v>
      </c>
      <c r="AF317" s="291">
        <f t="shared" ref="AF317" si="1335">SUM(AC285:AF285)</f>
        <v>1636.3974800000001</v>
      </c>
      <c r="AG317" s="291">
        <f t="shared" ref="AG317" si="1336">SUM(AD285:AG285)</f>
        <v>1705.78117</v>
      </c>
      <c r="AH317" s="291">
        <f t="shared" ref="AH317" si="1337">SUM(AE285:AH285)</f>
        <v>1789.5676100000001</v>
      </c>
      <c r="AI317" s="291">
        <f t="shared" ref="AI317" si="1338">SUM(AF285:AI285)</f>
        <v>1878.89419</v>
      </c>
      <c r="AJ317" s="291">
        <f t="shared" ref="AJ317" si="1339">SUM(AG285:AJ285)</f>
        <v>1965.0016846563985</v>
      </c>
      <c r="AK317" s="291">
        <f t="shared" ref="AK317" si="1340">SUM(AH285:AK285)</f>
        <v>1971.7097948649339</v>
      </c>
      <c r="AL317" s="291">
        <f t="shared" ref="AL317" si="1341">SUM(AI285:AL285)</f>
        <v>1999.6821024859464</v>
      </c>
      <c r="AM317" s="291">
        <f t="shared" ref="AM317" si="1342">SUM(AJ285:AM285)</f>
        <v>2009.0628158175098</v>
      </c>
      <c r="AN317" s="291">
        <f t="shared" ref="AN317" si="1343">SUM(AK285:AN285)</f>
        <v>2058.2181476048927</v>
      </c>
      <c r="AO317" s="291">
        <f t="shared" ref="AO317" si="1344">SUM(AL285:AO285)</f>
        <v>2153.1474873963566</v>
      </c>
      <c r="AP317" s="291">
        <f t="shared" ref="AP317" si="1345">SUM(AM285:AP285)</f>
        <v>2266.7031387355973</v>
      </c>
      <c r="AQ317" s="291">
        <f t="shared" ref="AQ317" si="1346">SUM(AN285:AQ285)</f>
        <v>2373.1581068382211</v>
      </c>
      <c r="AR317" s="291">
        <f t="shared" ref="AR317" si="1347">SUM(AO285:AR285)</f>
        <v>2341.283547502258</v>
      </c>
      <c r="AS317" s="291">
        <f t="shared" ref="AS317:BF317" si="1348">SUM(AP285:AS285)</f>
        <v>2403.2885575022583</v>
      </c>
      <c r="AT317" s="291">
        <f t="shared" si="1348"/>
        <v>2452.3144818990659</v>
      </c>
      <c r="AU317" s="291">
        <f t="shared" si="1348"/>
        <v>2529.2392632830879</v>
      </c>
      <c r="AV317" s="291">
        <f t="shared" si="1348"/>
        <v>2663.8370061752703</v>
      </c>
      <c r="AW317" s="291">
        <f t="shared" si="1348"/>
        <v>2772.9742561752701</v>
      </c>
      <c r="AX317" s="291">
        <f t="shared" si="1348"/>
        <v>2915.6281612887374</v>
      </c>
      <c r="AY317" s="291">
        <f t="shared" si="1348"/>
        <v>3032.4582384242167</v>
      </c>
      <c r="AZ317" s="291">
        <f t="shared" si="1348"/>
        <v>3094.2304484242168</v>
      </c>
      <c r="BA317" s="291">
        <f t="shared" si="1348"/>
        <v>3104.6131884242168</v>
      </c>
      <c r="BB317" s="291">
        <f t="shared" si="1348"/>
        <v>3121.8182472650296</v>
      </c>
      <c r="BC317" s="291">
        <f t="shared" si="1348"/>
        <v>3110.8695273113412</v>
      </c>
      <c r="BD317" s="291">
        <f t="shared" si="1348"/>
        <v>3033.239068537865</v>
      </c>
      <c r="BE317" s="291">
        <f t="shared" si="1348"/>
        <v>2962.108628743697</v>
      </c>
      <c r="BF317" s="291">
        <f t="shared" si="1348"/>
        <v>2916.7504090104671</v>
      </c>
      <c r="BG317" s="291">
        <f>SUM(BD285:BG285)</f>
        <v>2937.3181630886761</v>
      </c>
      <c r="BH317" s="291">
        <f>SUM(BE285:BH285)</f>
        <v>3111.5897124050321</v>
      </c>
      <c r="BI317" s="291">
        <f t="shared" ref="BI317" si="1349">SUM(BF285:BI285)</f>
        <v>3282.4984103851384</v>
      </c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6"/>
      <c r="CH317" s="43"/>
      <c r="CI317" s="43"/>
    </row>
    <row r="318" spans="2:87" ht="13.5" customHeight="1">
      <c r="B318" s="1" t="s">
        <v>409</v>
      </c>
      <c r="C318" s="58">
        <f t="shared" ref="C318:K318" si="1350">C251*C$266</f>
        <v>1646.9924812030074</v>
      </c>
      <c r="D318" s="58">
        <f t="shared" si="1350"/>
        <v>1735.3312302839115</v>
      </c>
      <c r="E318" s="232">
        <f t="shared" si="1350"/>
        <v>1830.9240112131299</v>
      </c>
      <c r="F318" s="232">
        <f t="shared" si="1350"/>
        <v>1750.626911360114</v>
      </c>
      <c r="G318" s="232">
        <f t="shared" si="1350"/>
        <v>1974.9401948200002</v>
      </c>
      <c r="H318" s="232">
        <f t="shared" si="1350"/>
        <v>1974.6798948200001</v>
      </c>
      <c r="I318" s="232">
        <f t="shared" si="1350"/>
        <v>1966.1733468661212</v>
      </c>
      <c r="J318" s="232">
        <f t="shared" si="1350"/>
        <v>1922.6353246868841</v>
      </c>
      <c r="K318" s="232">
        <f t="shared" si="1350"/>
        <v>2060.8388251220549</v>
      </c>
      <c r="L318" s="232">
        <f t="shared" ref="L318:N318" si="1351">L251*L$266</f>
        <v>2429.1992680997337</v>
      </c>
      <c r="M318" s="232">
        <f t="shared" ref="M318" si="1352">M251*M$266</f>
        <v>2339.9899900040787</v>
      </c>
      <c r="N318" s="232">
        <f t="shared" si="1351"/>
        <v>2661.8079925730499</v>
      </c>
      <c r="O318" s="232">
        <f t="shared" ref="O318" si="1353">O251*O$266</f>
        <v>2661.8079925730499</v>
      </c>
      <c r="P318" s="232">
        <f t="shared" si="1325"/>
        <v>3090.6937675472536</v>
      </c>
      <c r="Q318" s="232">
        <f t="shared" si="1325"/>
        <v>3045.340171710192</v>
      </c>
      <c r="R318" s="232">
        <f t="shared" si="1325"/>
        <v>3101.0499096631479</v>
      </c>
      <c r="S318" s="232">
        <f t="shared" ref="S318" si="1354">S251*S$266</f>
        <v>3284.7694467161168</v>
      </c>
      <c r="U318" s="295"/>
      <c r="V318" s="295"/>
      <c r="W318" s="295"/>
      <c r="X318" s="232">
        <f>X251*AVERAGE(U$266:X$266)</f>
        <v>1832.1063805685833</v>
      </c>
      <c r="Y318" s="232">
        <f t="shared" ref="Y318:BI318" si="1355">Y251*AVERAGE(V$266:Y$266)</f>
        <v>1791.9623316387999</v>
      </c>
      <c r="Z318" s="232">
        <f t="shared" si="1355"/>
        <v>1790.9665396954699</v>
      </c>
      <c r="AA318" s="232">
        <f t="shared" si="1355"/>
        <v>1778.5791528947757</v>
      </c>
      <c r="AB318" s="232">
        <f t="shared" si="1355"/>
        <v>1750.626911360114</v>
      </c>
      <c r="AC318" s="232">
        <f t="shared" si="1355"/>
        <v>1828.4930252743286</v>
      </c>
      <c r="AD318" s="232">
        <f t="shared" si="1355"/>
        <v>1835.7479614686567</v>
      </c>
      <c r="AE318" s="232">
        <f t="shared" si="1355"/>
        <v>1876.0778795534566</v>
      </c>
      <c r="AF318" s="232">
        <f t="shared" si="1355"/>
        <v>1961.852327605</v>
      </c>
      <c r="AG318" s="232">
        <f t="shared" si="1355"/>
        <v>1945.7188611737499</v>
      </c>
      <c r="AH318" s="232">
        <f t="shared" si="1355"/>
        <v>1953.0770152374998</v>
      </c>
      <c r="AI318" s="232">
        <f t="shared" si="1355"/>
        <v>1960.8178491824997</v>
      </c>
      <c r="AJ318" s="232">
        <f t="shared" si="1355"/>
        <v>1966.1733468661212</v>
      </c>
      <c r="AK318" s="232">
        <f t="shared" si="1355"/>
        <v>1969.0348358627566</v>
      </c>
      <c r="AL318" s="232">
        <f t="shared" si="1355"/>
        <v>2001.1865703601536</v>
      </c>
      <c r="AM318" s="232">
        <f t="shared" si="1355"/>
        <v>2013.3680830749724</v>
      </c>
      <c r="AN318" s="232">
        <f t="shared" si="1355"/>
        <v>2060.8388251220549</v>
      </c>
      <c r="AO318" s="232">
        <f t="shared" si="1355"/>
        <v>2153.5960144565734</v>
      </c>
      <c r="AP318" s="232">
        <f t="shared" si="1355"/>
        <v>2268.1802167071069</v>
      </c>
      <c r="AQ318" s="232">
        <f t="shared" si="1355"/>
        <v>2372.9706660525553</v>
      </c>
      <c r="AR318" s="232">
        <f t="shared" si="1355"/>
        <v>2339.9899900040787</v>
      </c>
      <c r="AS318" s="232">
        <f t="shared" si="1355"/>
        <v>2403.018704329103</v>
      </c>
      <c r="AT318" s="232">
        <f t="shared" si="1355"/>
        <v>2451.5573570452289</v>
      </c>
      <c r="AU318" s="232">
        <f t="shared" si="1355"/>
        <v>2528.184452362465</v>
      </c>
      <c r="AV318" s="232">
        <f t="shared" si="1355"/>
        <v>2661.8079925730499</v>
      </c>
      <c r="AW318" s="232">
        <f t="shared" si="1355"/>
        <v>2775.5864916502815</v>
      </c>
      <c r="AX318" s="232">
        <f t="shared" si="1355"/>
        <v>2918.2777517785021</v>
      </c>
      <c r="AY318" s="232">
        <f t="shared" si="1355"/>
        <v>3029.8835706582258</v>
      </c>
      <c r="AZ318" s="232">
        <f t="shared" si="1355"/>
        <v>3090.6937675472536</v>
      </c>
      <c r="BA318" s="232">
        <f t="shared" si="1355"/>
        <v>3107.0466295833271</v>
      </c>
      <c r="BB318" s="232">
        <f t="shared" si="1355"/>
        <v>3123.5216778053377</v>
      </c>
      <c r="BC318" s="232">
        <f t="shared" si="1355"/>
        <v>3122.0808361251347</v>
      </c>
      <c r="BD318" s="232">
        <f t="shared" si="1355"/>
        <v>3045.340171710192</v>
      </c>
      <c r="BE318" s="232">
        <f t="shared" si="1355"/>
        <v>2957.6876812262149</v>
      </c>
      <c r="BF318" s="232">
        <f t="shared" si="1355"/>
        <v>2910.7793402960192</v>
      </c>
      <c r="BG318" s="232">
        <f t="shared" si="1355"/>
        <v>2929.8745941777547</v>
      </c>
      <c r="BH318" s="232">
        <f t="shared" si="1355"/>
        <v>3101.0499096631479</v>
      </c>
      <c r="BI318" s="232">
        <f t="shared" si="1355"/>
        <v>3284.7694467161168</v>
      </c>
      <c r="BJ318" s="44"/>
      <c r="BK318" s="44"/>
      <c r="BL318" s="44"/>
      <c r="BM318" s="44"/>
      <c r="BN318" s="44"/>
      <c r="BO318" s="44"/>
      <c r="BP318" s="44"/>
      <c r="BQ318" s="44"/>
      <c r="BR318" s="44"/>
      <c r="BS318" s="44"/>
      <c r="BT318" s="44"/>
      <c r="BU318" s="44"/>
      <c r="BV318" s="44"/>
      <c r="BW318" s="44"/>
      <c r="BX318" s="44"/>
      <c r="BY318" s="44"/>
      <c r="BZ318" s="44"/>
      <c r="CA318" s="44"/>
      <c r="CB318" s="44"/>
      <c r="CC318" s="44"/>
      <c r="CD318" s="44"/>
      <c r="CE318" s="44"/>
      <c r="CF318" s="44"/>
      <c r="CG318" s="46"/>
      <c r="CH318" s="44"/>
      <c r="CI318" s="44"/>
    </row>
    <row r="319" spans="2:87" ht="13.5" customHeight="1"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U319"/>
      <c r="V319"/>
      <c r="W319"/>
      <c r="X319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  <c r="AK319" s="57"/>
      <c r="AL319" s="57"/>
      <c r="AN319" s="57"/>
      <c r="AO319" s="57"/>
      <c r="AP319" s="57"/>
      <c r="AQ319" s="57"/>
      <c r="AR319" s="57"/>
      <c r="AS319" s="57"/>
      <c r="AT319" s="57"/>
      <c r="AU319" s="57"/>
      <c r="AV319" s="57"/>
      <c r="AW319" s="57"/>
      <c r="AX319" s="57"/>
      <c r="AY319" s="57"/>
      <c r="AZ319" s="57"/>
      <c r="BA319" s="57"/>
      <c r="BB319" s="57"/>
      <c r="BC319" s="57"/>
      <c r="BD319" s="57"/>
      <c r="BE319" s="57"/>
      <c r="BF319" s="57"/>
      <c r="BG319" s="57"/>
      <c r="BH319" s="57"/>
      <c r="BI319" s="57"/>
      <c r="BJ319" s="44"/>
      <c r="BK319" s="44"/>
      <c r="BL319" s="44"/>
      <c r="BM319" s="44"/>
      <c r="BN319" s="44"/>
      <c r="BO319" s="44"/>
      <c r="BP319" s="44"/>
      <c r="BQ319" s="44"/>
      <c r="BR319" s="44"/>
      <c r="BS319" s="44"/>
      <c r="BT319" s="44"/>
      <c r="BU319" s="44"/>
      <c r="BV319" s="44"/>
      <c r="BW319" s="44"/>
      <c r="BX319" s="44"/>
      <c r="BY319" s="44"/>
      <c r="BZ319" s="44"/>
      <c r="CA319" s="44"/>
      <c r="CB319" s="44"/>
      <c r="CC319" s="44"/>
      <c r="CD319" s="44"/>
      <c r="CE319" s="44"/>
      <c r="CF319" s="44"/>
      <c r="CG319" s="46"/>
      <c r="CH319" s="44"/>
      <c r="CI319" s="44"/>
    </row>
    <row r="320" spans="2:87" s="5" customFormat="1" ht="13.5" customHeight="1">
      <c r="B320" s="5" t="str">
        <f>+B192</f>
        <v>Total Net Leverage</v>
      </c>
      <c r="C320" s="43">
        <f t="shared" ref="C320:G321" si="1356">C308/C$317</f>
        <v>2.9250519284331777</v>
      </c>
      <c r="D320" s="43">
        <f t="shared" si="1356"/>
        <v>2.5197283935876649</v>
      </c>
      <c r="E320" s="43">
        <f t="shared" si="1356"/>
        <v>2.3323955411299195</v>
      </c>
      <c r="F320" s="43">
        <f t="shared" si="1356"/>
        <v>3.0631580581098103</v>
      </c>
      <c r="G320" s="43">
        <f t="shared" si="1356"/>
        <v>2.5367930895428787</v>
      </c>
      <c r="H320" s="43">
        <f t="shared" ref="H320:K321" si="1357">H308/H$317</f>
        <v>2.5371932146358662</v>
      </c>
      <c r="I320" s="43">
        <f t="shared" si="1357"/>
        <v>2.4483011877838838</v>
      </c>
      <c r="J320" s="43">
        <f t="shared" si="1357"/>
        <v>2.2097565580774381</v>
      </c>
      <c r="K320" s="43">
        <f t="shared" si="1357"/>
        <v>1.8508992693903052</v>
      </c>
      <c r="L320" s="43">
        <f t="shared" ref="L320:M320" si="1358">L308/L$317</f>
        <v>1.738631853337274</v>
      </c>
      <c r="M320" s="43">
        <f t="shared" si="1358"/>
        <v>1.8049150823993174</v>
      </c>
      <c r="N320" s="43">
        <f t="shared" ref="N320:O320" si="1359">N308/N$317</f>
        <v>1.381565046622752</v>
      </c>
      <c r="O320" s="43">
        <f t="shared" si="1359"/>
        <v>1.381565046622752</v>
      </c>
      <c r="P320" s="43">
        <f t="shared" ref="P320:R321" si="1360">P308/P$317</f>
        <v>1.9726471057850559</v>
      </c>
      <c r="Q320" s="43">
        <f t="shared" si="1360"/>
        <v>2.253022002949701</v>
      </c>
      <c r="R320" s="43">
        <f t="shared" si="1360"/>
        <v>2.5985658273211545</v>
      </c>
      <c r="S320" s="43">
        <f t="shared" ref="S320" si="1361">S308/S$317</f>
        <v>2.337718506376167</v>
      </c>
      <c r="U320" s="367"/>
      <c r="V320" s="298"/>
      <c r="W320" s="298"/>
      <c r="X320" s="43">
        <f t="shared" ref="X320:AG320" si="1362">X308/X$317</f>
        <v>2.3427835099636325</v>
      </c>
      <c r="Y320" s="43">
        <f t="shared" si="1362"/>
        <v>2.4224673927903284</v>
      </c>
      <c r="Z320" s="43">
        <f t="shared" si="1362"/>
        <v>2.4762795712288246</v>
      </c>
      <c r="AA320" s="43">
        <f t="shared" si="1362"/>
        <v>2.5779420323486417</v>
      </c>
      <c r="AB320" s="43">
        <f t="shared" si="1362"/>
        <v>3.0537295546142174</v>
      </c>
      <c r="AC320" s="43">
        <f t="shared" si="1362"/>
        <v>3.0754885178418649</v>
      </c>
      <c r="AD320" s="43">
        <f t="shared" si="1362"/>
        <v>2.9431337689511206</v>
      </c>
      <c r="AE320" s="43">
        <f t="shared" si="1362"/>
        <v>2.7457868377079309</v>
      </c>
      <c r="AF320" s="43">
        <f t="shared" si="1362"/>
        <v>2.5587518238539451</v>
      </c>
      <c r="AG320" s="43">
        <f t="shared" si="1362"/>
        <v>2.5014814112234576</v>
      </c>
      <c r="AH320" s="43">
        <f t="shared" ref="AH320:AJ321" si="1363">AH308/AH$317</f>
        <v>2.4255280901234011</v>
      </c>
      <c r="AI320" s="43">
        <f t="shared" si="1363"/>
        <v>2.2893681026551045</v>
      </c>
      <c r="AJ320" s="43">
        <f t="shared" si="1363"/>
        <v>2.1621131679900274</v>
      </c>
      <c r="AK320" s="43"/>
      <c r="AL320" s="43"/>
      <c r="AM320" s="43"/>
      <c r="AN320" s="46"/>
      <c r="AO320" s="43"/>
      <c r="AP320" s="43"/>
      <c r="AQ320" s="43"/>
      <c r="AR320" s="46"/>
      <c r="AS320" s="43">
        <f t="shared" ref="AS320:AW320" si="1364">AS308/AS$317</f>
        <v>1.7129138591781987</v>
      </c>
      <c r="AT320" s="43">
        <f t="shared" si="1364"/>
        <v>1.763952268192686</v>
      </c>
      <c r="AU320" s="43">
        <f t="shared" si="1364"/>
        <v>1.8100257214327464</v>
      </c>
      <c r="AV320" s="46">
        <f t="shared" si="1364"/>
        <v>1.3805127246280311</v>
      </c>
      <c r="AW320" s="43">
        <f t="shared" si="1364"/>
        <v>1.7236824147414262</v>
      </c>
      <c r="AX320" s="43">
        <f t="shared" ref="AX320:BA320" si="1365">AX308/AX$317</f>
        <v>1.8827239675699798</v>
      </c>
      <c r="AY320" s="43">
        <f t="shared" si="1365"/>
        <v>1.9103971368160941</v>
      </c>
      <c r="AZ320" s="46">
        <f t="shared" si="1365"/>
        <v>1.9703923857788004</v>
      </c>
      <c r="BA320" s="43">
        <f t="shared" si="1365"/>
        <v>2.1524988396676465</v>
      </c>
      <c r="BB320" s="43">
        <f t="shared" ref="BB320:BE320" si="1366">BB308/BB$317</f>
        <v>2.234763256860421</v>
      </c>
      <c r="BC320" s="43">
        <f t="shared" si="1366"/>
        <v>2.2409144951685116</v>
      </c>
      <c r="BD320" s="43">
        <f t="shared" si="1366"/>
        <v>2.2620104311913165</v>
      </c>
      <c r="BE320" s="43">
        <f t="shared" si="1366"/>
        <v>2.3673642153590211</v>
      </c>
      <c r="BF320" s="43">
        <f t="shared" ref="BF320:BG320" si="1367">BF308/BF$317</f>
        <v>2.7330004876502807</v>
      </c>
      <c r="BG320" s="43">
        <f t="shared" si="1367"/>
        <v>2.6598022498557321</v>
      </c>
      <c r="BH320" s="43">
        <f t="shared" ref="BH320:BI320" si="1368">BH308/BH$317</f>
        <v>2.5897637763558308</v>
      </c>
      <c r="BI320" s="43">
        <f t="shared" si="1368"/>
        <v>2.3393358852735289</v>
      </c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43"/>
      <c r="CB320" s="43"/>
      <c r="CC320" s="43"/>
      <c r="CD320" s="43"/>
      <c r="CE320" s="43"/>
      <c r="CF320" s="43"/>
      <c r="CG320" s="46"/>
      <c r="CH320" s="43"/>
      <c r="CI320" s="43"/>
    </row>
    <row r="321" spans="2:87" ht="12.75">
      <c r="B321" s="1" t="str">
        <f>+B193</f>
        <v xml:space="preserve">Total Gross Leverage </v>
      </c>
      <c r="C321" s="44">
        <f t="shared" si="1356"/>
        <v>3.0512129419817779</v>
      </c>
      <c r="D321" s="44">
        <f t="shared" si="1356"/>
        <v>2.6704722797468365</v>
      </c>
      <c r="E321" s="44">
        <f t="shared" si="1356"/>
        <v>2.5423870807836391</v>
      </c>
      <c r="F321" s="44">
        <f t="shared" si="1356"/>
        <v>3.3169497913061692</v>
      </c>
      <c r="G321" s="44">
        <f t="shared" si="1356"/>
        <v>2.770662653448464</v>
      </c>
      <c r="H321" s="44">
        <f t="shared" si="1357"/>
        <v>2.7710996664852856</v>
      </c>
      <c r="I321" s="44">
        <f t="shared" si="1357"/>
        <v>2.638613732634711</v>
      </c>
      <c r="J321" s="44">
        <f t="shared" si="1357"/>
        <v>2.3815264351525633</v>
      </c>
      <c r="K321" s="44">
        <f t="shared" si="1357"/>
        <v>2.0767157235527902</v>
      </c>
      <c r="L321" s="44">
        <f t="shared" ref="L321:M321" si="1369">L309/L$317</f>
        <v>1.9194550016943821</v>
      </c>
      <c r="M321" s="44">
        <f t="shared" si="1369"/>
        <v>1.9926318938049126</v>
      </c>
      <c r="N321" s="44">
        <f t="shared" ref="N321:O321" si="1370">N309/N$317</f>
        <v>1.6186863775531155</v>
      </c>
      <c r="O321" s="44">
        <f t="shared" si="1370"/>
        <v>1.6186863775531155</v>
      </c>
      <c r="P321" s="44">
        <f t="shared" si="1360"/>
        <v>2.0936377010250231</v>
      </c>
      <c r="Q321" s="44">
        <f t="shared" si="1360"/>
        <v>2.3800985491789088</v>
      </c>
      <c r="R321" s="44">
        <f t="shared" si="1360"/>
        <v>2.7513885257711452</v>
      </c>
      <c r="S321" s="44">
        <f t="shared" ref="S321" si="1371">S309/S$317</f>
        <v>2.6699000566566551</v>
      </c>
      <c r="U321" s="296"/>
      <c r="V321" s="298"/>
      <c r="W321" s="298"/>
      <c r="X321" s="44">
        <f t="shared" ref="X321:AG321" si="1372">X309/X$317</f>
        <v>2.5537103050364265</v>
      </c>
      <c r="Y321" s="44">
        <f t="shared" si="1372"/>
        <v>2.6931955400600005</v>
      </c>
      <c r="Z321" s="44">
        <f t="shared" si="1372"/>
        <v>2.6833566247912426</v>
      </c>
      <c r="AA321" s="44">
        <f t="shared" si="1372"/>
        <v>2.7876942965770342</v>
      </c>
      <c r="AB321" s="44">
        <f t="shared" si="1372"/>
        <v>3.3067401083225447</v>
      </c>
      <c r="AC321" s="44">
        <f t="shared" si="1372"/>
        <v>3.2580274435300458</v>
      </c>
      <c r="AD321" s="44">
        <f t="shared" si="1372"/>
        <v>3.2239068540954325</v>
      </c>
      <c r="AE321" s="44">
        <f t="shared" si="1372"/>
        <v>3.0195955230168994</v>
      </c>
      <c r="AF321" s="44">
        <f t="shared" si="1372"/>
        <v>2.7946457860592648</v>
      </c>
      <c r="AG321" s="44">
        <f t="shared" si="1372"/>
        <v>2.7158635995671125</v>
      </c>
      <c r="AH321" s="44">
        <f t="shared" si="1363"/>
        <v>2.5909248186717013</v>
      </c>
      <c r="AI321" s="44">
        <f t="shared" si="1363"/>
        <v>2.7494472463241797</v>
      </c>
      <c r="AJ321" s="44">
        <f t="shared" si="1363"/>
        <v>2.3301796057750455</v>
      </c>
      <c r="AK321" s="43"/>
      <c r="AL321" s="43"/>
      <c r="AM321" s="43"/>
      <c r="AN321" s="114"/>
      <c r="AO321" s="43"/>
      <c r="AP321" s="43"/>
      <c r="AQ321" s="43"/>
      <c r="AR321" s="114"/>
      <c r="AS321" s="43">
        <f t="shared" ref="AS321:AW321" si="1373">AS309/AS$317</f>
        <v>1.9031608091637584</v>
      </c>
      <c r="AT321" s="43">
        <f t="shared" si="1373"/>
        <v>1.9014279297221002</v>
      </c>
      <c r="AU321" s="43">
        <f t="shared" si="1373"/>
        <v>1.9535687773114283</v>
      </c>
      <c r="AV321" s="114">
        <f t="shared" si="1373"/>
        <v>1.6174534430041283</v>
      </c>
      <c r="AW321" s="43">
        <f t="shared" si="1373"/>
        <v>1.8427891176343525</v>
      </c>
      <c r="AX321" s="43">
        <f t="shared" ref="AX321:BA321" si="1374">AX309/AX$317</f>
        <v>2.0126356336710667</v>
      </c>
      <c r="AY321" s="43">
        <f t="shared" si="1374"/>
        <v>2.0285633910845138</v>
      </c>
      <c r="AZ321" s="114">
        <f t="shared" si="1374"/>
        <v>2.0912446897274082</v>
      </c>
      <c r="BA321" s="43">
        <f t="shared" si="1374"/>
        <v>2.4937094637640014</v>
      </c>
      <c r="BB321" s="43">
        <f t="shared" ref="BB321:BE321" si="1375">BB309/BB$317</f>
        <v>2.3678501191253862</v>
      </c>
      <c r="BC321" s="43">
        <f t="shared" si="1375"/>
        <v>2.3786726502462607</v>
      </c>
      <c r="BD321" s="43">
        <f t="shared" si="1375"/>
        <v>2.3895939491302891</v>
      </c>
      <c r="BE321" s="43">
        <f t="shared" si="1375"/>
        <v>2.6607518669813617</v>
      </c>
      <c r="BF321" s="43">
        <f t="shared" ref="BF321:BG321" si="1376">BF309/BF$317</f>
        <v>2.8700474546628429</v>
      </c>
      <c r="BG321" s="43">
        <f t="shared" si="1376"/>
        <v>2.9129478476763953</v>
      </c>
      <c r="BH321" s="43">
        <f t="shared" ref="BH321:BI321" si="1377">BH309/BH$317</f>
        <v>2.742068822658521</v>
      </c>
      <c r="BI321" s="43">
        <f t="shared" si="1377"/>
        <v>2.6717472593878324</v>
      </c>
      <c r="BJ321" s="44"/>
      <c r="BK321" s="44"/>
      <c r="BL321" s="44"/>
      <c r="BM321" s="44"/>
      <c r="BN321" s="44"/>
      <c r="BO321" s="44"/>
      <c r="BP321" s="44"/>
      <c r="BQ321" s="44"/>
      <c r="BR321" s="44"/>
      <c r="BS321" s="44"/>
      <c r="BT321" s="44"/>
      <c r="BU321" s="44"/>
      <c r="BV321" s="44"/>
      <c r="BW321" s="44"/>
      <c r="BX321" s="44"/>
      <c r="BY321" s="44"/>
      <c r="BZ321" s="44"/>
      <c r="CA321" s="44"/>
      <c r="CB321" s="44"/>
      <c r="CC321" s="44"/>
      <c r="CD321" s="44"/>
      <c r="CE321" s="44"/>
      <c r="CF321" s="44"/>
      <c r="CG321" s="46"/>
      <c r="CH321" s="44"/>
      <c r="CI321" s="44"/>
    </row>
    <row r="322" spans="2:87" ht="12.75"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U322"/>
      <c r="V322"/>
      <c r="W322"/>
      <c r="X322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44"/>
      <c r="AJ322" s="44"/>
      <c r="AK322" s="44"/>
      <c r="AL322" s="44"/>
      <c r="AN322" s="44"/>
      <c r="AO322" s="44"/>
      <c r="AP322" s="44"/>
      <c r="AQ322" s="44"/>
      <c r="AR322" s="44"/>
      <c r="AS322" s="44"/>
      <c r="AT322" s="44"/>
      <c r="AU322" s="44"/>
      <c r="AV322" s="44"/>
      <c r="AW322" s="44"/>
      <c r="AX322" s="44"/>
      <c r="AY322" s="44"/>
      <c r="AZ322" s="44"/>
      <c r="BA322" s="44"/>
      <c r="BB322" s="44"/>
      <c r="BC322" s="44"/>
      <c r="BD322" s="44"/>
      <c r="BE322" s="44"/>
      <c r="BF322" s="44"/>
      <c r="BG322" s="44"/>
      <c r="BH322" s="44"/>
      <c r="BI322" s="44"/>
      <c r="BJ322" s="44"/>
      <c r="BK322" s="44"/>
      <c r="BL322" s="44"/>
      <c r="BM322" s="44"/>
      <c r="BN322" s="44"/>
      <c r="BO322" s="44"/>
      <c r="BP322" s="44"/>
      <c r="BQ322" s="44"/>
      <c r="BR322" s="44"/>
      <c r="BS322" s="44"/>
      <c r="BT322" s="44"/>
      <c r="BU322" s="44"/>
      <c r="BV322" s="44"/>
      <c r="BW322" s="44"/>
      <c r="BX322" s="44"/>
      <c r="BY322" s="44"/>
      <c r="BZ322" s="44"/>
      <c r="CA322" s="44"/>
      <c r="CB322" s="44"/>
      <c r="CC322" s="44"/>
      <c r="CD322" s="44"/>
      <c r="CE322" s="44"/>
      <c r="CF322" s="44"/>
      <c r="CG322" s="46"/>
      <c r="CH322" s="44"/>
      <c r="CI322" s="44"/>
    </row>
    <row r="323" spans="2:87" s="5" customFormat="1" ht="12.75">
      <c r="B323" s="5" t="str">
        <f>B195</f>
        <v>Net debt including perpetual bond</v>
      </c>
      <c r="C323" s="43">
        <f t="shared" ref="C323:G324" si="1378">C311/C$317</f>
        <v>2.9250519284331777</v>
      </c>
      <c r="D323" s="43">
        <f t="shared" si="1378"/>
        <v>2.5197283935876649</v>
      </c>
      <c r="E323" s="43">
        <f t="shared" si="1378"/>
        <v>2.3323955411299195</v>
      </c>
      <c r="F323" s="43">
        <f t="shared" si="1378"/>
        <v>3.0631580581098103</v>
      </c>
      <c r="G323" s="43">
        <f t="shared" si="1378"/>
        <v>2.8199542587395818</v>
      </c>
      <c r="H323" s="43">
        <f t="shared" ref="H323:K324" si="1379">H311/H$317</f>
        <v>2.8190368416205032</v>
      </c>
      <c r="I323" s="43">
        <f t="shared" si="1379"/>
        <v>2.7201985627746281</v>
      </c>
      <c r="J323" s="43">
        <f t="shared" si="1379"/>
        <v>2.4551622338610146</v>
      </c>
      <c r="K323" s="43">
        <f t="shared" si="1379"/>
        <v>2.0700813931152289</v>
      </c>
      <c r="L323" s="43">
        <f t="shared" ref="L323:M323" si="1380">L311/L$317</f>
        <v>1.9219211933157947</v>
      </c>
      <c r="M323" s="43">
        <f t="shared" si="1380"/>
        <v>1.9951921059884352</v>
      </c>
      <c r="N323" s="43">
        <f t="shared" ref="N323:O323" si="1381">N311/N$317</f>
        <v>1.5368953406085055</v>
      </c>
      <c r="O323" s="43">
        <f t="shared" si="1381"/>
        <v>1.5368953406085055</v>
      </c>
      <c r="P323" s="43">
        <f t="shared" ref="P323:R324" si="1382">P311/P$317</f>
        <v>1.9726471057850559</v>
      </c>
      <c r="Q323" s="43">
        <f t="shared" si="1382"/>
        <v>2.253022002949701</v>
      </c>
      <c r="R323" s="43">
        <f t="shared" si="1382"/>
        <v>2.5985658273211545</v>
      </c>
      <c r="S323" s="43">
        <f t="shared" ref="S323" si="1383">S311/S$317</f>
        <v>2.337718506376167</v>
      </c>
      <c r="U323" s="296"/>
      <c r="V323" s="298"/>
      <c r="W323" s="298"/>
      <c r="X323" s="43">
        <f t="shared" ref="X323:AG323" si="1384">X311/X$317</f>
        <v>2.3427835099636325</v>
      </c>
      <c r="Y323" s="43">
        <f t="shared" si="1384"/>
        <v>2.4224673927903284</v>
      </c>
      <c r="Z323" s="43">
        <f t="shared" si="1384"/>
        <v>2.4762795712288246</v>
      </c>
      <c r="AA323" s="43">
        <f t="shared" si="1384"/>
        <v>2.5779420323486417</v>
      </c>
      <c r="AB323" s="43">
        <f t="shared" si="1384"/>
        <v>3.0537295546142174</v>
      </c>
      <c r="AC323" s="43">
        <f t="shared" si="1384"/>
        <v>3.0754885178418649</v>
      </c>
      <c r="AD323" s="43">
        <f t="shared" si="1384"/>
        <v>3.2649879030964977</v>
      </c>
      <c r="AE323" s="43">
        <f t="shared" si="1384"/>
        <v>3.0583316634434614</v>
      </c>
      <c r="AF323" s="43">
        <f t="shared" si="1384"/>
        <v>2.8443640644081163</v>
      </c>
      <c r="AG323" s="43">
        <f t="shared" si="1384"/>
        <v>2.7796863497561066</v>
      </c>
      <c r="AH323" s="43">
        <f t="shared" ref="AH323:AJ324" si="1385">AH311/AH$317</f>
        <v>2.6926743547006864</v>
      </c>
      <c r="AI323" s="43">
        <f t="shared" si="1385"/>
        <v>2.5350749710764711</v>
      </c>
      <c r="AJ323" s="43">
        <f t="shared" si="1385"/>
        <v>2.4022277820508622</v>
      </c>
      <c r="AK323" s="43"/>
      <c r="AL323" s="43"/>
      <c r="AM323" s="43"/>
      <c r="AN323" s="114"/>
      <c r="AO323" s="43"/>
      <c r="AP323" s="43"/>
      <c r="AQ323" s="43"/>
      <c r="AR323" s="114"/>
      <c r="AS323" s="43">
        <f t="shared" ref="AS323:AW323" si="1386">AS311/AS$317</f>
        <v>1.895307486914509</v>
      </c>
      <c r="AT323" s="43">
        <f t="shared" si="1386"/>
        <v>1.9393383169231817</v>
      </c>
      <c r="AU323" s="43">
        <f t="shared" si="1386"/>
        <v>1.9750622744625974</v>
      </c>
      <c r="AV323" s="114">
        <f t="shared" si="1386"/>
        <v>1.5357247053391347</v>
      </c>
      <c r="AW323" s="43">
        <f t="shared" si="1386"/>
        <v>1.8849574566153577</v>
      </c>
      <c r="AX323" s="43">
        <f t="shared" ref="AX323:BA323" si="1387">AX311/AX$317</f>
        <v>1.8827239675699798</v>
      </c>
      <c r="AY323" s="43">
        <f t="shared" si="1387"/>
        <v>1.9103971368160941</v>
      </c>
      <c r="AZ323" s="114">
        <f t="shared" si="1387"/>
        <v>1.9703923857788004</v>
      </c>
      <c r="BA323" s="43">
        <f t="shared" si="1387"/>
        <v>2.1524988396676465</v>
      </c>
      <c r="BB323" s="43">
        <f t="shared" ref="BB323:BE323" si="1388">BB311/BB$317</f>
        <v>2.234763256860421</v>
      </c>
      <c r="BC323" s="43">
        <f t="shared" si="1388"/>
        <v>2.2409144951685116</v>
      </c>
      <c r="BD323" s="43">
        <f t="shared" si="1388"/>
        <v>2.2620104311913165</v>
      </c>
      <c r="BE323" s="43">
        <f t="shared" si="1388"/>
        <v>2.3673642153590211</v>
      </c>
      <c r="BF323" s="43">
        <f t="shared" ref="BF323:BG323" si="1389">BF311/BF$317</f>
        <v>2.7330004876502807</v>
      </c>
      <c r="BG323" s="43">
        <f t="shared" si="1389"/>
        <v>2.6598022498557321</v>
      </c>
      <c r="BH323" s="43">
        <f t="shared" ref="BH323:BI323" si="1390">BH311/BH$317</f>
        <v>2.5897637763558308</v>
      </c>
      <c r="BI323" s="43">
        <f t="shared" si="1390"/>
        <v>2.3393358852735289</v>
      </c>
      <c r="BJ323" s="44"/>
      <c r="BK323" s="44"/>
      <c r="BL323" s="44"/>
      <c r="BM323" s="44"/>
      <c r="BN323" s="44"/>
      <c r="BO323" s="44"/>
      <c r="BP323" s="44"/>
      <c r="BQ323" s="44"/>
      <c r="BR323" s="44"/>
      <c r="BS323" s="44"/>
      <c r="BT323" s="44"/>
      <c r="BU323" s="44"/>
      <c r="BV323" s="44"/>
      <c r="BW323" s="44"/>
      <c r="BX323" s="44"/>
      <c r="BY323" s="44"/>
      <c r="BZ323" s="44"/>
      <c r="CA323" s="44"/>
      <c r="CB323" s="44"/>
      <c r="CC323" s="44"/>
      <c r="CD323" s="44"/>
      <c r="CE323" s="44"/>
      <c r="CF323" s="44"/>
      <c r="CG323" s="46"/>
      <c r="CH323" s="44"/>
      <c r="CI323" s="44"/>
    </row>
    <row r="324" spans="2:87" ht="12.75">
      <c r="B324" s="1" t="str">
        <f>B196</f>
        <v>Gross debt including perpetual bond</v>
      </c>
      <c r="C324" s="44">
        <f t="shared" si="1378"/>
        <v>3.0512129419817779</v>
      </c>
      <c r="D324" s="44">
        <f t="shared" si="1378"/>
        <v>2.6704722797468365</v>
      </c>
      <c r="E324" s="44">
        <f t="shared" si="1378"/>
        <v>2.5423870807836391</v>
      </c>
      <c r="F324" s="44">
        <f t="shared" si="1378"/>
        <v>3.3169497913061692</v>
      </c>
      <c r="G324" s="44">
        <f t="shared" si="1378"/>
        <v>3.0538238226451675</v>
      </c>
      <c r="H324" s="44">
        <f t="shared" si="1379"/>
        <v>3.0529432934699221</v>
      </c>
      <c r="I324" s="44">
        <f t="shared" si="1379"/>
        <v>2.9105111076254553</v>
      </c>
      <c r="J324" s="44">
        <f t="shared" si="1379"/>
        <v>2.6269321109361403</v>
      </c>
      <c r="K324" s="44">
        <f t="shared" si="1379"/>
        <v>2.2958978472777138</v>
      </c>
      <c r="L324" s="44">
        <f t="shared" ref="L324:M324" si="1391">L312/L$317</f>
        <v>2.1027443416729024</v>
      </c>
      <c r="M324" s="44">
        <f t="shared" si="1391"/>
        <v>2.1829089173940304</v>
      </c>
      <c r="N324" s="44">
        <f t="shared" ref="N324:O324" si="1392">N312/N$317</f>
        <v>1.7740166715388686</v>
      </c>
      <c r="O324" s="44">
        <f t="shared" si="1392"/>
        <v>1.7740166715388686</v>
      </c>
      <c r="P324" s="44">
        <f t="shared" si="1382"/>
        <v>2.0936377010250231</v>
      </c>
      <c r="Q324" s="44">
        <f t="shared" si="1382"/>
        <v>2.3800985491789088</v>
      </c>
      <c r="R324" s="44">
        <f t="shared" si="1382"/>
        <v>2.7513885257711452</v>
      </c>
      <c r="S324" s="44">
        <f t="shared" ref="S324" si="1393">S312/S$317</f>
        <v>2.6699000566566551</v>
      </c>
      <c r="U324" s="296"/>
      <c r="V324" s="297"/>
      <c r="W324" s="297"/>
      <c r="X324" s="44">
        <f t="shared" ref="X324:AG324" si="1394">X312/X$317</f>
        <v>2.5537103050364265</v>
      </c>
      <c r="Y324" s="44">
        <f t="shared" si="1394"/>
        <v>2.6931955400600005</v>
      </c>
      <c r="Z324" s="44">
        <f t="shared" si="1394"/>
        <v>2.6833566247912426</v>
      </c>
      <c r="AA324" s="44">
        <f t="shared" si="1394"/>
        <v>2.7876942965770342</v>
      </c>
      <c r="AB324" s="44">
        <f t="shared" si="1394"/>
        <v>3.3067401083225447</v>
      </c>
      <c r="AC324" s="44">
        <f t="shared" si="1394"/>
        <v>3.2580274435300458</v>
      </c>
      <c r="AD324" s="44">
        <f t="shared" si="1394"/>
        <v>3.5457609882408097</v>
      </c>
      <c r="AE324" s="44">
        <f t="shared" si="1394"/>
        <v>3.3321403487524304</v>
      </c>
      <c r="AF324" s="44">
        <f t="shared" si="1394"/>
        <v>3.0802580266134361</v>
      </c>
      <c r="AG324" s="44">
        <f t="shared" si="1394"/>
        <v>2.9940685380997616</v>
      </c>
      <c r="AH324" s="44">
        <f t="shared" si="1385"/>
        <v>2.8580710832489866</v>
      </c>
      <c r="AI324" s="44">
        <f t="shared" si="1385"/>
        <v>2.9951541147455458</v>
      </c>
      <c r="AJ324" s="44">
        <f t="shared" si="1385"/>
        <v>2.5702942198358802</v>
      </c>
      <c r="AK324" s="43"/>
      <c r="AL324" s="43"/>
      <c r="AM324" s="43"/>
      <c r="AN324" s="114"/>
      <c r="AO324" s="43"/>
      <c r="AP324" s="43"/>
      <c r="AQ324" s="43"/>
      <c r="AR324" s="114"/>
      <c r="AS324" s="43">
        <f t="shared" ref="AS324:AW324" si="1395">AS312/AS$317</f>
        <v>2.0855544369000687</v>
      </c>
      <c r="AT324" s="43">
        <f t="shared" si="1395"/>
        <v>2.0768139784525959</v>
      </c>
      <c r="AU324" s="43">
        <f t="shared" si="1395"/>
        <v>2.1186053303412793</v>
      </c>
      <c r="AV324" s="114">
        <f t="shared" si="1395"/>
        <v>1.7726654237152315</v>
      </c>
      <c r="AW324" s="43">
        <f t="shared" si="1395"/>
        <v>2.0040641595082835</v>
      </c>
      <c r="AX324" s="43">
        <f t="shared" ref="AX324:BA324" si="1396">AX312/AX$317</f>
        <v>2.0126356336710667</v>
      </c>
      <c r="AY324" s="43">
        <f t="shared" si="1396"/>
        <v>2.0285633910845138</v>
      </c>
      <c r="AZ324" s="114">
        <f t="shared" si="1396"/>
        <v>2.0912446897274082</v>
      </c>
      <c r="BA324" s="43">
        <f t="shared" si="1396"/>
        <v>2.4937094637640014</v>
      </c>
      <c r="BB324" s="43">
        <f t="shared" ref="BB324:BE324" si="1397">BB312/BB$317</f>
        <v>2.3678501191253862</v>
      </c>
      <c r="BC324" s="43">
        <f t="shared" si="1397"/>
        <v>2.3786726502462607</v>
      </c>
      <c r="BD324" s="43">
        <f t="shared" si="1397"/>
        <v>2.3895939491302891</v>
      </c>
      <c r="BE324" s="43">
        <f t="shared" si="1397"/>
        <v>2.6607518669813617</v>
      </c>
      <c r="BF324" s="43">
        <f t="shared" ref="BF324:BG324" si="1398">BF312/BF$317</f>
        <v>2.8700474546628429</v>
      </c>
      <c r="BG324" s="43">
        <f t="shared" si="1398"/>
        <v>2.9129478476763953</v>
      </c>
      <c r="BH324" s="43">
        <f t="shared" ref="BH324:BI324" si="1399">BH312/BH$317</f>
        <v>2.742068822658521</v>
      </c>
      <c r="BI324" s="43">
        <f t="shared" si="1399"/>
        <v>2.6717472593878324</v>
      </c>
      <c r="BJ324" s="44"/>
      <c r="BK324" s="44"/>
      <c r="BL324" s="44"/>
      <c r="BM324" s="44"/>
      <c r="BN324" s="44"/>
      <c r="BO324" s="44"/>
      <c r="BP324" s="44"/>
      <c r="BQ324" s="44"/>
      <c r="BR324" s="44"/>
      <c r="BS324" s="44"/>
      <c r="BT324" s="44"/>
      <c r="BU324" s="44"/>
      <c r="BV324" s="44"/>
      <c r="BW324" s="44"/>
      <c r="BX324" s="44"/>
      <c r="BY324" s="44"/>
      <c r="BZ324" s="44"/>
      <c r="CA324" s="44"/>
      <c r="CB324" s="44"/>
      <c r="CC324" s="44"/>
      <c r="CD324" s="44"/>
      <c r="CE324" s="44"/>
      <c r="CF324" s="44"/>
      <c r="CG324" s="46"/>
      <c r="CH324" s="44"/>
      <c r="CI324" s="44"/>
    </row>
    <row r="325" spans="2:87" ht="12.75"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U325"/>
      <c r="V325"/>
      <c r="W325"/>
      <c r="X325" s="71"/>
      <c r="Y325" s="71"/>
      <c r="Z325" s="71"/>
      <c r="AA325" s="71"/>
      <c r="AB325" s="71"/>
      <c r="AC325" s="71"/>
      <c r="AD325" s="71"/>
      <c r="AE325" s="71"/>
      <c r="AF325" s="71"/>
      <c r="AG325" s="71"/>
      <c r="AH325" s="71"/>
      <c r="AI325" s="71"/>
      <c r="AJ325" s="71"/>
      <c r="AK325" s="71"/>
      <c r="AL325" s="71"/>
      <c r="AN325" s="71"/>
      <c r="AO325" s="71"/>
      <c r="AP325" s="71"/>
      <c r="AQ325" s="71"/>
      <c r="AR325" s="71"/>
      <c r="AS325" s="71"/>
      <c r="AT325" s="71"/>
      <c r="AU325" s="71"/>
      <c r="AV325" s="71"/>
      <c r="AW325" s="71"/>
      <c r="AX325" s="71"/>
      <c r="AY325" s="71"/>
      <c r="AZ325" s="71"/>
      <c r="BA325" s="71"/>
      <c r="BB325" s="71"/>
      <c r="BC325" s="71"/>
      <c r="BD325" s="71"/>
      <c r="BE325" s="71"/>
      <c r="BF325" s="71"/>
      <c r="BG325" s="71"/>
      <c r="BH325" s="71"/>
      <c r="BI325" s="71"/>
      <c r="BJ325" s="44"/>
      <c r="BK325" s="44"/>
      <c r="BL325" s="44"/>
      <c r="BM325" s="44"/>
      <c r="BN325" s="44"/>
      <c r="BO325" s="44"/>
      <c r="BP325" s="44"/>
      <c r="BQ325" s="44"/>
      <c r="BR325" s="44"/>
      <c r="BS325" s="44"/>
      <c r="BT325" s="44"/>
      <c r="BU325" s="44"/>
      <c r="BV325" s="44"/>
      <c r="BW325" s="44"/>
      <c r="BX325" s="44"/>
      <c r="BY325" s="44"/>
      <c r="BZ325" s="44"/>
      <c r="CA325" s="44"/>
      <c r="CB325" s="44"/>
      <c r="CC325" s="44"/>
      <c r="CD325" s="44"/>
      <c r="CE325" s="44"/>
      <c r="CF325" s="44"/>
      <c r="CG325" s="46"/>
      <c r="CH325" s="44"/>
      <c r="CI325" s="44"/>
    </row>
    <row r="326" spans="2:87" s="5" customFormat="1" ht="12.75">
      <c r="B326" s="5" t="str">
        <f>B198</f>
        <v>Lease adjusted net leverage (including leases)</v>
      </c>
      <c r="C326" s="43">
        <f t="shared" ref="C326:G327" si="1400">C314/C$318</f>
        <v>3.6096756746027809</v>
      </c>
      <c r="D326" s="43">
        <f t="shared" si="1400"/>
        <v>3.2487472300477616</v>
      </c>
      <c r="E326" s="43">
        <f t="shared" si="1400"/>
        <v>3.0283364867434002</v>
      </c>
      <c r="F326" s="43">
        <f t="shared" si="1400"/>
        <v>3.866738100034421</v>
      </c>
      <c r="G326" s="43">
        <f t="shared" si="1400"/>
        <v>3.6414829696934019</v>
      </c>
      <c r="H326" s="43">
        <f t="shared" ref="H326:K327" si="1401">H314/H$318</f>
        <v>3.640824548353113</v>
      </c>
      <c r="I326" s="43">
        <f t="shared" si="1401"/>
        <v>3.0816686266542592</v>
      </c>
      <c r="J326" s="43">
        <f t="shared" si="1401"/>
        <v>3.1514529249523164</v>
      </c>
      <c r="K326" s="43">
        <f t="shared" si="1401"/>
        <v>2.7788667181830542</v>
      </c>
      <c r="L326" s="43">
        <f t="shared" ref="L326:N326" si="1402">L314/L$318</f>
        <v>2.5658241588095101</v>
      </c>
      <c r="M326" s="43">
        <f t="shared" ref="M326" si="1403">M314/M$318</f>
        <v>2.6636430904739949</v>
      </c>
      <c r="N326" s="43">
        <f t="shared" si="1402"/>
        <v>2.0989333625823776</v>
      </c>
      <c r="O326" s="43">
        <f t="shared" ref="O326" si="1404">O314/O$318</f>
        <v>2.0989333625823776</v>
      </c>
      <c r="P326" s="43">
        <f t="shared" ref="P326:R327" si="1405">P314/P$318</f>
        <v>2.4833072078476812</v>
      </c>
      <c r="Q326" s="43">
        <f t="shared" si="1405"/>
        <v>2.8176724637688961</v>
      </c>
      <c r="R326" s="43">
        <f t="shared" si="1405"/>
        <v>3.2214893386642127</v>
      </c>
      <c r="S326" s="43">
        <f t="shared" ref="S326" si="1406">S314/S$318</f>
        <v>2.92247677264008</v>
      </c>
      <c r="U326" s="296"/>
      <c r="V326" s="298"/>
      <c r="W326" s="298"/>
      <c r="X326" s="43">
        <f t="shared" ref="X326:AG326" si="1407">X314/X$318</f>
        <v>3.02638211755507</v>
      </c>
      <c r="Y326" s="43">
        <f t="shared" si="1407"/>
        <v>3.2730758925998487</v>
      </c>
      <c r="Z326" s="43">
        <f t="shared" si="1407"/>
        <v>3.4241647363867025</v>
      </c>
      <c r="AA326" s="43">
        <f t="shared" si="1407"/>
        <v>3.5257809448646702</v>
      </c>
      <c r="AB326" s="43">
        <f t="shared" si="1407"/>
        <v>3.866738100034421</v>
      </c>
      <c r="AC326" s="43">
        <f t="shared" si="1407"/>
        <v>3.9550070089903837</v>
      </c>
      <c r="AD326" s="43">
        <f t="shared" si="1407"/>
        <v>4.073021778647723</v>
      </c>
      <c r="AE326" s="43">
        <f t="shared" si="1407"/>
        <v>3.9289412198199596</v>
      </c>
      <c r="AF326" s="43">
        <f t="shared" si="1407"/>
        <v>3.6657759528616167</v>
      </c>
      <c r="AG326" s="43">
        <f t="shared" si="1407"/>
        <v>3.0169721129592331</v>
      </c>
      <c r="AH326" s="43">
        <f t="shared" ref="AH326:AK327" si="1408">AH314/AH$318</f>
        <v>3.0455561209534183</v>
      </c>
      <c r="AI326" s="43">
        <f t="shared" si="1408"/>
        <v>3.014201240764975</v>
      </c>
      <c r="AJ326" s="43">
        <f t="shared" si="1408"/>
        <v>3.0816686266542592</v>
      </c>
      <c r="AK326" s="43">
        <f t="shared" si="1408"/>
        <v>2.8779369884388304</v>
      </c>
      <c r="AL326" s="43">
        <f t="shared" ref="AL326:AO327" si="1409">AL314/AL$318</f>
        <v>2.8639343736177429</v>
      </c>
      <c r="AM326" s="43">
        <f t="shared" si="1409"/>
        <v>2.7899437579025821</v>
      </c>
      <c r="AN326" s="43">
        <f t="shared" si="1409"/>
        <v>2.7788667181830542</v>
      </c>
      <c r="AO326" s="43">
        <f t="shared" si="1409"/>
        <v>2.6371349832076514</v>
      </c>
      <c r="AP326" s="43">
        <f>AP314/AP$318</f>
        <v>2.5366849464952073</v>
      </c>
      <c r="AQ326" s="43">
        <f>AQ314/AQ$318</f>
        <v>2.4252046391608819</v>
      </c>
      <c r="AR326" s="43">
        <f t="shared" ref="AR326:AS326" si="1410">AR314/AR$318</f>
        <v>2.6636430904739949</v>
      </c>
      <c r="AS326" s="43">
        <f t="shared" si="1410"/>
        <v>2.5372177425278144</v>
      </c>
      <c r="AT326" s="43">
        <f>AT314/AT$318</f>
        <v>2.5545113674153743</v>
      </c>
      <c r="AU326" s="43">
        <f>AU314/AU$318</f>
        <v>2.5739819885645834</v>
      </c>
      <c r="AV326" s="43">
        <f t="shared" ref="AV326:AW326" si="1411">AV314/AV$318</f>
        <v>2.0989333625823776</v>
      </c>
      <c r="AW326" s="43">
        <f t="shared" si="1411"/>
        <v>2.4329672804917419</v>
      </c>
      <c r="AX326" s="43">
        <f>AX314/AX$318</f>
        <v>2.411760600321033</v>
      </c>
      <c r="AY326" s="43">
        <f>AY314/AY$318</f>
        <v>2.4286555968886274</v>
      </c>
      <c r="AZ326" s="43">
        <f t="shared" ref="AZ326:BA326" si="1412">AZ314/AZ$318</f>
        <v>2.4833072078476812</v>
      </c>
      <c r="BA326" s="43">
        <f t="shared" si="1412"/>
        <v>2.6739977400706669</v>
      </c>
      <c r="BB326" s="43">
        <f>BB314/BB$318</f>
        <v>2.760672885736696</v>
      </c>
      <c r="BC326" s="43">
        <f>BC314/BC$318</f>
        <v>2.7746207738366189</v>
      </c>
      <c r="BD326" s="43">
        <f t="shared" ref="BD326:BE326" si="1413">BD314/BD$318</f>
        <v>2.8176724637688961</v>
      </c>
      <c r="BE326" s="43">
        <f t="shared" si="1413"/>
        <v>2.9736846716084564</v>
      </c>
      <c r="BF326" s="43">
        <f t="shared" ref="BF326:BI327" si="1414">BF314/BF$318</f>
        <v>3.3947734751687459</v>
      </c>
      <c r="BG326" s="43">
        <f t="shared" si="1414"/>
        <v>3.3450167007707852</v>
      </c>
      <c r="BH326" s="43">
        <f t="shared" si="1414"/>
        <v>3.2214893386642127</v>
      </c>
      <c r="BI326" s="43">
        <f>BI314/BI$318</f>
        <v>2.92247677264008</v>
      </c>
      <c r="BJ326" s="44"/>
      <c r="BK326" s="44"/>
      <c r="BL326" s="44"/>
      <c r="BM326" s="44"/>
      <c r="BN326" s="44"/>
      <c r="BO326" s="44"/>
      <c r="BP326" s="44"/>
      <c r="BQ326" s="44"/>
      <c r="BR326" s="44"/>
      <c r="BS326" s="44"/>
      <c r="BT326" s="44"/>
      <c r="BU326" s="44"/>
      <c r="BV326" s="44"/>
      <c r="BW326" s="44"/>
      <c r="BX326" s="44"/>
      <c r="BY326" s="44"/>
      <c r="BZ326" s="44"/>
      <c r="CA326" s="44"/>
      <c r="CB326" s="44"/>
      <c r="CC326" s="44"/>
      <c r="CD326" s="44"/>
      <c r="CE326" s="44"/>
      <c r="CF326" s="44"/>
      <c r="CG326" s="46"/>
      <c r="CH326" s="44"/>
      <c r="CI326" s="44"/>
    </row>
    <row r="327" spans="2:87" ht="12.75">
      <c r="B327" s="1" t="str">
        <f>B199</f>
        <v>Lease adjusted gross leverage (including leases)</v>
      </c>
      <c r="C327" s="44">
        <f t="shared" si="1400"/>
        <v>3.7157649633297938</v>
      </c>
      <c r="D327" s="44">
        <f t="shared" si="1400"/>
        <v>3.3768233571393336</v>
      </c>
      <c r="E327" s="44">
        <f t="shared" si="1400"/>
        <v>3.2084451587998037</v>
      </c>
      <c r="F327" s="44">
        <f t="shared" si="1400"/>
        <v>4.0763341851917438</v>
      </c>
      <c r="G327" s="44">
        <f t="shared" si="1400"/>
        <v>3.8369401720494363</v>
      </c>
      <c r="H327" s="44">
        <f t="shared" si="1401"/>
        <v>3.8363075156495356</v>
      </c>
      <c r="I327" s="44">
        <f t="shared" si="1401"/>
        <v>3.2496349119811079</v>
      </c>
      <c r="J327" s="44">
        <f t="shared" si="1401"/>
        <v>3.3232228020274421</v>
      </c>
      <c r="K327" s="44">
        <f t="shared" si="1401"/>
        <v>3.0046831723455387</v>
      </c>
      <c r="L327" s="44">
        <f t="shared" ref="L327:N327" si="1415">L315/L$318</f>
        <v>2.7466473071666182</v>
      </c>
      <c r="M327" s="44">
        <f t="shared" ref="M327" si="1416">M315/M$318</f>
        <v>2.8513599018795905</v>
      </c>
      <c r="N327" s="44">
        <f t="shared" si="1415"/>
        <v>2.3360546935127409</v>
      </c>
      <c r="O327" s="44">
        <f t="shared" ref="O327" si="1417">O315/O$318</f>
        <v>2.3360546935127409</v>
      </c>
      <c r="P327" s="44">
        <f t="shared" si="1405"/>
        <v>2.6042978030876482</v>
      </c>
      <c r="Q327" s="44">
        <f t="shared" si="1405"/>
        <v>2.9447490099981035</v>
      </c>
      <c r="R327" s="44">
        <f t="shared" si="1405"/>
        <v>3.374312037114203</v>
      </c>
      <c r="S327" s="44">
        <f t="shared" ref="S327" si="1418">S315/S$318</f>
        <v>3.254658322920569</v>
      </c>
      <c r="U327" s="296"/>
      <c r="V327" s="297"/>
      <c r="W327" s="297"/>
      <c r="X327" s="44">
        <f t="shared" ref="X327:AG327" si="1419">X315/X$318</f>
        <v>3.2063745545627067</v>
      </c>
      <c r="Y327" s="44">
        <f t="shared" si="1419"/>
        <v>3.504008444902226</v>
      </c>
      <c r="Z327" s="44">
        <f t="shared" si="1419"/>
        <v>3.5997510841899887</v>
      </c>
      <c r="AA327" s="44">
        <f t="shared" si="1419"/>
        <v>3.7014260281077247</v>
      </c>
      <c r="AB327" s="44">
        <f t="shared" si="1419"/>
        <v>4.0763341851917438</v>
      </c>
      <c r="AC327" s="44">
        <f t="shared" si="1419"/>
        <v>4.1058798747256038</v>
      </c>
      <c r="AD327" s="44">
        <f t="shared" si="1419"/>
        <v>4.3049108052270766</v>
      </c>
      <c r="AE327" s="44">
        <f t="shared" si="1419"/>
        <v>4.1560296848155618</v>
      </c>
      <c r="AF327" s="44">
        <f t="shared" si="1419"/>
        <v>3.8625370851183156</v>
      </c>
      <c r="AG327" s="44">
        <f t="shared" si="1419"/>
        <v>3.2049176108198019</v>
      </c>
      <c r="AH327" s="44">
        <f t="shared" si="1408"/>
        <v>3.1971060219049723</v>
      </c>
      <c r="AI327" s="44">
        <f t="shared" si="1408"/>
        <v>3.4550581160430123</v>
      </c>
      <c r="AJ327" s="44">
        <f t="shared" si="1408"/>
        <v>3.2496349119811079</v>
      </c>
      <c r="AK327" s="44">
        <f t="shared" si="1408"/>
        <v>3.4231465739240377</v>
      </c>
      <c r="AL327" s="44">
        <f t="shared" si="1409"/>
        <v>3.0884464745840301</v>
      </c>
      <c r="AM327" s="44">
        <f t="shared" si="1409"/>
        <v>3.0601692265085485</v>
      </c>
      <c r="AN327" s="44">
        <f t="shared" si="1409"/>
        <v>3.0046831723455387</v>
      </c>
      <c r="AO327" s="44">
        <f t="shared" si="1409"/>
        <v>2.895707073200358</v>
      </c>
      <c r="AP327" s="44">
        <f>AP315/AP$318</f>
        <v>2.8017170993716034</v>
      </c>
      <c r="AQ327" s="44">
        <f>AQ315/AQ$318</f>
        <v>2.6546522471909002</v>
      </c>
      <c r="AR327" s="44">
        <f t="shared" ref="AR327:AS327" si="1420">AR315/AR$318</f>
        <v>2.8513599018795905</v>
      </c>
      <c r="AS327" s="44">
        <f t="shared" si="1420"/>
        <v>2.7274860567845072</v>
      </c>
      <c r="AT327" s="44">
        <f>AT315/AT$318</f>
        <v>2.6920294861362724</v>
      </c>
      <c r="AU327" s="44">
        <f>AU315/AU$318</f>
        <v>2.7175849335794311</v>
      </c>
      <c r="AV327" s="44">
        <f t="shared" ref="AV327:AW327" si="1421">AV315/AV$318</f>
        <v>2.3360546935127409</v>
      </c>
      <c r="AW327" s="44">
        <f t="shared" si="1421"/>
        <v>2.5519618864438787</v>
      </c>
      <c r="AX327" s="44">
        <f>AX315/AX$318</f>
        <v>2.5415543157867497</v>
      </c>
      <c r="AY327" s="44">
        <f>AY315/AY$318</f>
        <v>2.5469222638754898</v>
      </c>
      <c r="AZ327" s="44">
        <f t="shared" ref="AZ327:BA327" si="1422">AZ315/AZ$318</f>
        <v>2.6042978030876482</v>
      </c>
      <c r="BA327" s="44">
        <f t="shared" si="1422"/>
        <v>3.0149411277603662</v>
      </c>
      <c r="BB327" s="44">
        <f>BB315/BB$318</f>
        <v>2.8936871683146665</v>
      </c>
      <c r="BC327" s="44">
        <f>BC315/BC$318</f>
        <v>2.9118842430624441</v>
      </c>
      <c r="BD327" s="44">
        <f t="shared" ref="BD327:BE327" si="1423">BD315/BD$318</f>
        <v>2.9447490099981035</v>
      </c>
      <c r="BE327" s="44">
        <f t="shared" si="1423"/>
        <v>3.2675108588538553</v>
      </c>
      <c r="BF327" s="44">
        <f t="shared" si="1414"/>
        <v>3.5321015754317093</v>
      </c>
      <c r="BG327" s="44">
        <f t="shared" si="1414"/>
        <v>3.5988054342074296</v>
      </c>
      <c r="BH327" s="44">
        <f t="shared" si="1414"/>
        <v>3.374312037114203</v>
      </c>
      <c r="BI327" s="44">
        <f t="shared" si="1414"/>
        <v>3.254658322920569</v>
      </c>
      <c r="BJ327" s="44"/>
      <c r="BK327" s="44"/>
      <c r="BL327" s="44"/>
      <c r="BM327" s="44"/>
      <c r="BN327" s="44"/>
      <c r="BO327" s="44"/>
      <c r="BP327" s="44"/>
      <c r="BQ327" s="44"/>
      <c r="BR327" s="44"/>
      <c r="BS327" s="44"/>
      <c r="BT327" s="44"/>
      <c r="BU327" s="44"/>
      <c r="BV327" s="44"/>
      <c r="BW327" s="44"/>
      <c r="BX327" s="44"/>
      <c r="BY327" s="44"/>
      <c r="BZ327" s="44"/>
      <c r="CA327" s="44"/>
      <c r="CB327" s="44"/>
      <c r="CC327" s="44"/>
      <c r="CD327" s="44"/>
      <c r="CE327" s="44"/>
      <c r="CF327" s="44"/>
      <c r="CG327" s="46"/>
      <c r="CH327" s="44"/>
      <c r="CI327" s="44"/>
    </row>
    <row r="328" spans="2:87" ht="12.75"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U328"/>
      <c r="V328"/>
      <c r="W328"/>
      <c r="X328" s="71"/>
      <c r="Y328" s="71"/>
      <c r="Z328" s="71"/>
      <c r="AA328" s="71"/>
      <c r="AB328" s="71"/>
      <c r="AC328" s="71"/>
      <c r="AD328" s="71"/>
      <c r="AE328" s="71"/>
      <c r="AF328" s="71"/>
      <c r="AG328" s="71"/>
      <c r="AH328" s="71"/>
      <c r="AI328" s="71"/>
      <c r="AJ328" s="71"/>
      <c r="AK328" s="71"/>
      <c r="AL328" s="71"/>
      <c r="AM328" s="71"/>
      <c r="AN328" s="71"/>
      <c r="AO328" s="71"/>
      <c r="AP328" s="71"/>
      <c r="AQ328" s="71"/>
      <c r="AR328" s="71"/>
      <c r="AS328" s="71"/>
      <c r="AT328" s="71"/>
      <c r="AU328" s="71"/>
      <c r="AV328" s="71"/>
      <c r="AW328" s="71"/>
      <c r="AX328" s="71"/>
      <c r="AY328" s="71"/>
      <c r="AZ328" s="71"/>
      <c r="BA328" s="71"/>
      <c r="BB328" s="71"/>
      <c r="BC328" s="71"/>
      <c r="BD328" s="71"/>
      <c r="BE328" s="71"/>
      <c r="BF328" s="71"/>
      <c r="BG328" s="71"/>
      <c r="BH328" s="71"/>
      <c r="BI328" s="71"/>
      <c r="BJ328" s="44"/>
      <c r="BK328" s="44"/>
      <c r="BL328" s="44"/>
      <c r="BM328" s="44"/>
      <c r="BN328" s="44"/>
      <c r="BO328" s="44"/>
      <c r="BP328" s="44"/>
      <c r="BQ328" s="44"/>
      <c r="BR328" s="44"/>
      <c r="BS328" s="44"/>
      <c r="BT328" s="44"/>
      <c r="BU328" s="44"/>
      <c r="BV328" s="44"/>
      <c r="BW328" s="44"/>
      <c r="BX328" s="44"/>
      <c r="BY328" s="44"/>
      <c r="BZ328" s="44"/>
      <c r="CA328" s="44"/>
      <c r="CB328" s="44"/>
      <c r="CC328" s="44"/>
      <c r="CD328" s="44"/>
      <c r="CE328" s="44"/>
      <c r="CF328" s="44"/>
      <c r="CG328" s="46"/>
      <c r="CH328" s="44"/>
      <c r="CI328" s="44"/>
    </row>
    <row r="329" spans="2:87" s="5" customFormat="1" ht="12.75">
      <c r="B329" s="5" t="str">
        <f>B201</f>
        <v>EBITDA - Capex / Interest</v>
      </c>
      <c r="C329" s="43">
        <f>(C317+C290)/-C288</f>
        <v>4.0358112276802185</v>
      </c>
      <c r="D329" s="43">
        <f t="shared" ref="D329:S329" si="1424">(D317+D290)/-D288</f>
        <v>3.5302811056693049</v>
      </c>
      <c r="E329" s="43">
        <f t="shared" si="1424"/>
        <v>3.7134770316655827</v>
      </c>
      <c r="F329" s="43">
        <f t="shared" si="1424"/>
        <v>3.0968196215536152</v>
      </c>
      <c r="G329" s="43">
        <f t="shared" si="1424"/>
        <v>2.3675647892827496</v>
      </c>
      <c r="H329" s="43">
        <f t="shared" si="1424"/>
        <v>2.4521304193273612</v>
      </c>
      <c r="I329" s="43">
        <f t="shared" si="1424"/>
        <v>3.3063280911377002</v>
      </c>
      <c r="J329" s="43">
        <f t="shared" si="1424"/>
        <v>4.0323441504695223</v>
      </c>
      <c r="K329" s="43">
        <f t="shared" si="1424"/>
        <v>4.6244925715576137</v>
      </c>
      <c r="L329" s="43">
        <f t="shared" si="1424"/>
        <v>3.8859094167255286</v>
      </c>
      <c r="M329" s="43">
        <f t="shared" si="1424"/>
        <v>3.6793530918078421</v>
      </c>
      <c r="N329" s="43">
        <f t="shared" si="1424"/>
        <v>3.7483055980067466</v>
      </c>
      <c r="O329" s="43">
        <f t="shared" si="1424"/>
        <v>3.7497094653209988</v>
      </c>
      <c r="P329" s="43">
        <f t="shared" si="1424"/>
        <v>2.5071935235050664</v>
      </c>
      <c r="Q329" s="43">
        <f t="shared" si="1424"/>
        <v>2.962951603686176</v>
      </c>
      <c r="R329" s="43">
        <f t="shared" ref="R329" si="1425">(R317+R290)/-R288</f>
        <v>3.1183989587115768</v>
      </c>
      <c r="S329" s="43">
        <f t="shared" si="1424"/>
        <v>3.4735906441688229</v>
      </c>
      <c r="T329" s="292"/>
      <c r="U329" s="367"/>
      <c r="V329" s="298"/>
      <c r="W329" s="298"/>
      <c r="X329" s="43">
        <f>(X317+SUM(U290:X290))/-SUM(U288:X288)</f>
        <v>3.7325125724656787</v>
      </c>
      <c r="Y329" s="43">
        <f t="shared" ref="Y329:BI329" si="1426">(Y317+SUM(V290:Y290))/-SUM(V288:Y288)</f>
        <v>3.2740448899017376</v>
      </c>
      <c r="Z329" s="43">
        <f t="shared" si="1426"/>
        <v>3.4518303015337986</v>
      </c>
      <c r="AA329" s="43">
        <f t="shared" si="1426"/>
        <v>3.2301652241776471</v>
      </c>
      <c r="AB329" s="43">
        <f t="shared" si="1426"/>
        <v>3.1271136992710997</v>
      </c>
      <c r="AC329" s="43">
        <f t="shared" si="1426"/>
        <v>2.9844015804661805</v>
      </c>
      <c r="AD329" s="43">
        <f t="shared" si="1426"/>
        <v>2.5089227669233192</v>
      </c>
      <c r="AE329" s="43">
        <f t="shared" si="1426"/>
        <v>2.387293192317141</v>
      </c>
      <c r="AF329" s="43">
        <f t="shared" si="1426"/>
        <v>2.3755295329148005</v>
      </c>
      <c r="AG329" s="43">
        <f t="shared" si="1426"/>
        <v>2.8544492383046012</v>
      </c>
      <c r="AH329" s="43">
        <f t="shared" si="1426"/>
        <v>3.0567633090664841</v>
      </c>
      <c r="AI329" s="43">
        <f t="shared" si="1426"/>
        <v>3.7301086338597647</v>
      </c>
      <c r="AJ329" s="43">
        <f t="shared" si="1426"/>
        <v>4.007109117896051</v>
      </c>
      <c r="AK329" s="43">
        <f t="shared" si="1426"/>
        <v>4.0560467061771988</v>
      </c>
      <c r="AL329" s="43">
        <f t="shared" si="1426"/>
        <v>4.5997533005667961</v>
      </c>
      <c r="AM329" s="43">
        <f t="shared" si="1426"/>
        <v>4.41237398760207</v>
      </c>
      <c r="AN329" s="43">
        <f t="shared" si="1426"/>
        <v>4.6036102548831277</v>
      </c>
      <c r="AO329" s="43">
        <f t="shared" si="1426"/>
        <v>4.6541952917457365</v>
      </c>
      <c r="AP329" s="43">
        <f t="shared" si="1426"/>
        <v>4.4356668569478028</v>
      </c>
      <c r="AQ329" s="43">
        <f t="shared" si="1426"/>
        <v>4.3660014724193994</v>
      </c>
      <c r="AR329" s="43">
        <f t="shared" si="1426"/>
        <v>3.6746217534229295</v>
      </c>
      <c r="AS329" s="43">
        <f t="shared" si="1426"/>
        <v>3.6659306095551365</v>
      </c>
      <c r="AT329" s="43">
        <f t="shared" si="1426"/>
        <v>4.0184399901042802</v>
      </c>
      <c r="AU329" s="43">
        <f t="shared" si="1426"/>
        <v>3.6226072431825069</v>
      </c>
      <c r="AV329" s="43">
        <f t="shared" si="1426"/>
        <v>3.7276080149586606</v>
      </c>
      <c r="AW329" s="43">
        <f t="shared" si="1426"/>
        <v>3.8007348347984462</v>
      </c>
      <c r="AX329" s="43">
        <f t="shared" si="1426"/>
        <v>2.9958274912785678</v>
      </c>
      <c r="AY329" s="43">
        <f t="shared" si="1426"/>
        <v>3.0270569722624505</v>
      </c>
      <c r="AZ329" s="43">
        <f t="shared" si="1426"/>
        <v>2.4810004859994841</v>
      </c>
      <c r="BA329" s="43">
        <f t="shared" si="1426"/>
        <v>2.4022936806849797</v>
      </c>
      <c r="BB329" s="43">
        <f t="shared" si="1426"/>
        <v>2.6694010322418165</v>
      </c>
      <c r="BC329" s="43">
        <f t="shared" si="1426"/>
        <v>2.4551509550374475</v>
      </c>
      <c r="BD329" s="43">
        <f t="shared" si="1426"/>
        <v>3.0150904419556617</v>
      </c>
      <c r="BE329" s="43">
        <f t="shared" si="1426"/>
        <v>2.581545561388455</v>
      </c>
      <c r="BF329" s="43">
        <f t="shared" si="1426"/>
        <v>2.8491742080161955</v>
      </c>
      <c r="BG329" s="43">
        <f t="shared" si="1426"/>
        <v>3.155625090879151</v>
      </c>
      <c r="BH329" s="43">
        <f t="shared" si="1426"/>
        <v>3.1195582476831101</v>
      </c>
      <c r="BI329" s="43">
        <f t="shared" si="1426"/>
        <v>3.4621374993305545</v>
      </c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6"/>
      <c r="CH329" s="43"/>
      <c r="CI329" s="43"/>
    </row>
    <row r="330" spans="2:87" ht="12.75">
      <c r="B330" s="1" t="str">
        <f>B202</f>
        <v>EBITDA/Interest</v>
      </c>
      <c r="C330" s="44">
        <f>C317/-C288</f>
        <v>6.4133899884266503</v>
      </c>
      <c r="D330" s="44">
        <f t="shared" ref="D330:S330" si="1427">D317/-D288</f>
        <v>5.9935389091446289</v>
      </c>
      <c r="E330" s="44">
        <f t="shared" si="1427"/>
        <v>6.7385618329403387</v>
      </c>
      <c r="F330" s="44">
        <f t="shared" si="1427"/>
        <v>6.1614272257049469</v>
      </c>
      <c r="G330" s="44">
        <f t="shared" si="1427"/>
        <v>4.5115784135238348</v>
      </c>
      <c r="H330" s="44">
        <f t="shared" si="1427"/>
        <v>4.5109773281410144</v>
      </c>
      <c r="I330" s="44">
        <f t="shared" si="1427"/>
        <v>5.3186783531414026</v>
      </c>
      <c r="J330" s="44">
        <f t="shared" si="1427"/>
        <v>6.0539282838161119</v>
      </c>
      <c r="K330" s="44">
        <f t="shared" si="1427"/>
        <v>6.426739605342755</v>
      </c>
      <c r="L330" s="44">
        <f t="shared" si="1427"/>
        <v>6.7672493095212252</v>
      </c>
      <c r="M330" s="44">
        <f t="shared" si="1427"/>
        <v>6.518730617158881</v>
      </c>
      <c r="N330" s="44">
        <f t="shared" si="1427"/>
        <v>8.3403388850802909</v>
      </c>
      <c r="O330" s="44">
        <f t="shared" si="1427"/>
        <v>8.3403388850802909</v>
      </c>
      <c r="P330" s="44">
        <f t="shared" si="1427"/>
        <v>6.9576630093621112</v>
      </c>
      <c r="Q330" s="44">
        <f t="shared" si="1427"/>
        <v>6.1555361987561099</v>
      </c>
      <c r="R330" s="44">
        <f t="shared" ref="R330" si="1428">R317/-R288</f>
        <v>4.9825235405717079</v>
      </c>
      <c r="S330" s="44">
        <f t="shared" si="1427"/>
        <v>5.0191073508270421</v>
      </c>
      <c r="U330" s="296"/>
      <c r="V330" s="297"/>
      <c r="W330" s="297"/>
      <c r="X330" s="44">
        <f>X317/-SUM(U288:X288)</f>
        <v>6.7319408408890729</v>
      </c>
      <c r="Y330" s="44">
        <f t="shared" ref="Y330:BF330" si="1429">Y317/-SUM(V288:Y288)</f>
        <v>6.2977770873965655</v>
      </c>
      <c r="Z330" s="44">
        <f t="shared" si="1429"/>
        <v>6.408788205373078</v>
      </c>
      <c r="AA330" s="44">
        <f t="shared" si="1429"/>
        <v>6.1260381810139402</v>
      </c>
      <c r="AB330" s="44">
        <f t="shared" si="1429"/>
        <v>6.1942364285104503</v>
      </c>
      <c r="AC330" s="44">
        <f t="shared" si="1429"/>
        <v>6.0200707046883775</v>
      </c>
      <c r="AD330" s="44">
        <f t="shared" si="1429"/>
        <v>5.3290313780388825</v>
      </c>
      <c r="AE330" s="44">
        <f t="shared" si="1429"/>
        <v>5.0278294966050225</v>
      </c>
      <c r="AF330" s="44">
        <f t="shared" si="1429"/>
        <v>4.5235759919832459</v>
      </c>
      <c r="AG330" s="44">
        <f t="shared" si="1429"/>
        <v>4.795061740050917</v>
      </c>
      <c r="AH330" s="44">
        <f t="shared" si="1429"/>
        <v>4.992664671001716</v>
      </c>
      <c r="AI330" s="44">
        <f t="shared" si="1429"/>
        <v>5.7894507689644819</v>
      </c>
      <c r="AJ330" s="44">
        <f t="shared" si="1429"/>
        <v>6.0173161046891384</v>
      </c>
      <c r="AK330" s="44">
        <f t="shared" si="1429"/>
        <v>6.1332578604487367</v>
      </c>
      <c r="AL330" s="44">
        <f t="shared" si="1429"/>
        <v>6.5389551235260361</v>
      </c>
      <c r="AM330" s="44">
        <f t="shared" si="1429"/>
        <v>6.1204389206285539</v>
      </c>
      <c r="AN330" s="44">
        <f t="shared" si="1429"/>
        <v>6.4216267640671516</v>
      </c>
      <c r="AO330" s="44">
        <f t="shared" si="1429"/>
        <v>6.4373459757112181</v>
      </c>
      <c r="AP330" s="44">
        <f t="shared" si="1429"/>
        <v>6.4576523875758429</v>
      </c>
      <c r="AQ330" s="44">
        <f t="shared" si="1429"/>
        <v>6.6522063518045282</v>
      </c>
      <c r="AR330" s="44">
        <f t="shared" si="1429"/>
        <v>6.5180905061444188</v>
      </c>
      <c r="AS330" s="44">
        <f t="shared" si="1429"/>
        <v>6.6691001695702266</v>
      </c>
      <c r="AT330" s="44">
        <f t="shared" si="1429"/>
        <v>7.7009347147243501</v>
      </c>
      <c r="AU330" s="44">
        <f t="shared" si="1429"/>
        <v>7.46984781682188</v>
      </c>
      <c r="AV330" s="44">
        <f t="shared" si="1429"/>
        <v>8.3468184893481823</v>
      </c>
      <c r="AW330" s="44">
        <f t="shared" si="1429"/>
        <v>8.7555633563288708</v>
      </c>
      <c r="AX330" s="44">
        <f t="shared" si="1429"/>
        <v>7.0677840312486166</v>
      </c>
      <c r="AY330" s="44">
        <f t="shared" si="1429"/>
        <v>7.6676467940549191</v>
      </c>
      <c r="AZ330" s="44">
        <f t="shared" si="1429"/>
        <v>6.9492321780269579</v>
      </c>
      <c r="BA330" s="44">
        <f t="shared" si="1429"/>
        <v>6.9382028412808934</v>
      </c>
      <c r="BB330" s="44">
        <f t="shared" si="1429"/>
        <v>7.2351563348230181</v>
      </c>
      <c r="BC330" s="44">
        <f t="shared" si="1429"/>
        <v>5.9353305035293307</v>
      </c>
      <c r="BD330" s="44">
        <f t="shared" si="1429"/>
        <v>6.1872673236292686</v>
      </c>
      <c r="BE330" s="44">
        <f t="shared" si="1429"/>
        <v>5.1886212034784567</v>
      </c>
      <c r="BF330" s="44">
        <f t="shared" si="1429"/>
        <v>5.2823957918075521</v>
      </c>
      <c r="BG330" s="44">
        <f>BG317/-SUM(BD288:BG288)</f>
        <v>5.3809526847591913</v>
      </c>
      <c r="BH330" s="44">
        <f>BH317/-SUM(BE288:BH288)</f>
        <v>4.993850052512717</v>
      </c>
      <c r="BI330" s="44">
        <f t="shared" ref="BI330" si="1430">BI317/-SUM(BF288:BI288)</f>
        <v>4.9916706095233083</v>
      </c>
      <c r="BJ330" s="44"/>
      <c r="BK330" s="44"/>
      <c r="BL330" s="44"/>
      <c r="BM330" s="44"/>
      <c r="BN330" s="44"/>
      <c r="BO330" s="44"/>
      <c r="BP330" s="44"/>
      <c r="BQ330" s="44"/>
      <c r="BR330" s="44"/>
      <c r="BS330" s="44"/>
      <c r="BT330" s="44"/>
      <c r="BU330" s="44"/>
      <c r="BV330" s="44"/>
      <c r="BW330" s="44"/>
      <c r="BX330" s="44"/>
      <c r="BY330" s="44"/>
      <c r="BZ330" s="44"/>
      <c r="CA330" s="44"/>
      <c r="CB330" s="44"/>
      <c r="CC330" s="44"/>
      <c r="CD330" s="44"/>
      <c r="CE330" s="44"/>
      <c r="CF330" s="44"/>
      <c r="CG330" s="46"/>
      <c r="CH330" s="44"/>
      <c r="CI330" s="44"/>
    </row>
    <row r="331" spans="2:87" ht="13.5" customHeight="1"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44"/>
      <c r="BK331" s="44"/>
      <c r="BL331" s="44"/>
      <c r="BM331" s="44"/>
      <c r="BN331" s="44"/>
      <c r="BO331" s="44"/>
      <c r="BP331" s="44"/>
      <c r="BQ331" s="44"/>
      <c r="BR331" s="44"/>
      <c r="BS331" s="44"/>
      <c r="BT331" s="44"/>
      <c r="BU331" s="44"/>
      <c r="BV331" s="44"/>
      <c r="BW331" s="44"/>
      <c r="BX331" s="44"/>
      <c r="BY331" s="44"/>
      <c r="BZ331" s="44"/>
      <c r="CA331" s="44"/>
      <c r="CB331" s="44"/>
      <c r="CC331" s="44"/>
      <c r="CD331" s="44"/>
      <c r="CE331" s="44"/>
      <c r="CF331" s="44"/>
      <c r="CG331" s="46"/>
      <c r="CH331" s="44"/>
      <c r="CI331" s="44"/>
    </row>
    <row r="332" spans="2:87" s="5" customFormat="1" ht="13.5" customHeight="1"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8"/>
      <c r="BC332" s="18"/>
      <c r="BD332" s="18"/>
      <c r="BE332" s="18"/>
      <c r="BF332" s="18"/>
      <c r="BG332" s="18"/>
      <c r="BH332" s="18"/>
      <c r="BI332" s="18"/>
      <c r="BJ332" s="44"/>
      <c r="BK332" s="44"/>
      <c r="BL332" s="44"/>
      <c r="BM332" s="44"/>
      <c r="BN332" s="44"/>
      <c r="BO332" s="44"/>
      <c r="BP332" s="44"/>
      <c r="BQ332" s="44"/>
      <c r="BR332" s="44"/>
      <c r="BS332" s="44"/>
      <c r="BT332" s="44"/>
      <c r="BU332" s="44"/>
      <c r="BV332" s="44"/>
      <c r="BW332" s="44"/>
      <c r="BX332" s="44"/>
      <c r="BY332" s="44"/>
      <c r="BZ332" s="44"/>
      <c r="CA332" s="44"/>
      <c r="CB332" s="44"/>
      <c r="CC332" s="44"/>
      <c r="CD332" s="44"/>
      <c r="CE332" s="44"/>
      <c r="CF332" s="44"/>
      <c r="CG332" s="46"/>
      <c r="CH332" s="44"/>
      <c r="CI332" s="44"/>
    </row>
    <row r="333" spans="2:87" s="5" customFormat="1" ht="13.5" customHeight="1">
      <c r="BJ333" s="44"/>
      <c r="BK333" s="44"/>
      <c r="BL333" s="44"/>
      <c r="BM333" s="44"/>
      <c r="BN333" s="44"/>
      <c r="BO333" s="44"/>
      <c r="BP333" s="44"/>
      <c r="BQ333" s="44"/>
      <c r="BR333" s="44"/>
      <c r="BS333" s="44"/>
      <c r="BT333" s="44"/>
      <c r="BU333" s="44"/>
      <c r="BV333" s="44"/>
      <c r="BW333" s="44"/>
      <c r="BX333" s="44"/>
      <c r="BY333" s="44"/>
      <c r="BZ333" s="44"/>
      <c r="CA333" s="44"/>
      <c r="CB333" s="44"/>
      <c r="CC333" s="44"/>
      <c r="CD333" s="44"/>
      <c r="CE333" s="44"/>
      <c r="CF333" s="44"/>
      <c r="CG333" s="46"/>
      <c r="CH333" s="44"/>
      <c r="CI333" s="44"/>
    </row>
    <row r="334" spans="2:87" ht="13.5" customHeight="1">
      <c r="B334" s="85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U334" s="6"/>
      <c r="Y334" s="6"/>
      <c r="Z334" s="6"/>
      <c r="AD334" s="6"/>
      <c r="BJ334" s="44"/>
      <c r="BK334" s="44"/>
      <c r="BL334" s="44"/>
      <c r="BM334" s="44"/>
      <c r="BN334" s="44"/>
      <c r="BO334" s="44"/>
      <c r="BP334" s="44"/>
      <c r="BQ334" s="44"/>
      <c r="BR334" s="44"/>
      <c r="BS334" s="44"/>
      <c r="BT334" s="44"/>
      <c r="BU334" s="44"/>
      <c r="BV334" s="44"/>
      <c r="BW334" s="44"/>
      <c r="BX334" s="44"/>
      <c r="BY334" s="44"/>
      <c r="BZ334" s="44"/>
      <c r="CA334" s="44"/>
      <c r="CB334" s="44"/>
      <c r="CC334" s="44"/>
      <c r="CD334" s="44"/>
      <c r="CE334" s="44"/>
      <c r="CF334" s="44"/>
      <c r="CG334" s="46"/>
      <c r="CH334" s="44"/>
      <c r="CI334" s="44"/>
    </row>
    <row r="335" spans="2:87" ht="13.5" customHeight="1"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U335" s="6"/>
      <c r="Y335" s="6"/>
      <c r="Z335" s="6"/>
      <c r="AD335" s="6"/>
      <c r="BJ335" s="44"/>
      <c r="BK335" s="44"/>
      <c r="BL335" s="44"/>
      <c r="BM335" s="44"/>
      <c r="BN335" s="44"/>
      <c r="BO335" s="44"/>
      <c r="BP335" s="44"/>
      <c r="BQ335" s="44"/>
      <c r="BR335" s="44"/>
      <c r="BS335" s="44"/>
      <c r="BT335" s="44"/>
      <c r="BU335" s="44"/>
      <c r="BV335" s="44"/>
      <c r="BW335" s="44"/>
      <c r="BX335" s="44"/>
      <c r="BY335" s="44"/>
      <c r="BZ335" s="44"/>
      <c r="CA335" s="44"/>
      <c r="CB335" s="44"/>
      <c r="CC335" s="44"/>
      <c r="CD335" s="44"/>
      <c r="CE335" s="44"/>
      <c r="CF335" s="44"/>
      <c r="CG335" s="46"/>
      <c r="CH335" s="44"/>
      <c r="CI335" s="44"/>
    </row>
    <row r="336" spans="2:87" ht="13.5" customHeight="1">
      <c r="B336" s="16" t="s">
        <v>414</v>
      </c>
      <c r="C336" s="38">
        <v>41975</v>
      </c>
      <c r="D336" s="38">
        <v>42341</v>
      </c>
      <c r="E336" s="38">
        <v>42708</v>
      </c>
      <c r="F336" s="38">
        <v>43070</v>
      </c>
      <c r="G336" s="38">
        <f t="shared" ref="G336:R336" si="1431">G3</f>
        <v>43439</v>
      </c>
      <c r="H336" s="38">
        <f t="shared" si="1431"/>
        <v>43439</v>
      </c>
      <c r="I336" s="38">
        <f t="shared" si="1431"/>
        <v>43804</v>
      </c>
      <c r="J336" s="38">
        <f t="shared" si="1431"/>
        <v>43804</v>
      </c>
      <c r="K336" s="38">
        <f t="shared" si="1431"/>
        <v>44170</v>
      </c>
      <c r="L336" s="38">
        <f t="shared" si="1431"/>
        <v>44535</v>
      </c>
      <c r="M336" s="38">
        <f t="shared" si="1431"/>
        <v>44535</v>
      </c>
      <c r="N336" s="38">
        <f t="shared" si="1431"/>
        <v>44900</v>
      </c>
      <c r="O336" s="38">
        <f t="shared" si="1431"/>
        <v>44900</v>
      </c>
      <c r="P336" s="38">
        <f t="shared" si="1431"/>
        <v>45265</v>
      </c>
      <c r="Q336" s="38">
        <f t="shared" si="1431"/>
        <v>45631</v>
      </c>
      <c r="R336" s="38">
        <f t="shared" si="1431"/>
        <v>45996</v>
      </c>
      <c r="S336" s="38" t="s">
        <v>277</v>
      </c>
      <c r="U336" s="38">
        <v>42437</v>
      </c>
      <c r="V336" s="38">
        <v>42527</v>
      </c>
      <c r="W336" s="38">
        <v>42622</v>
      </c>
      <c r="X336" s="38">
        <v>42714</v>
      </c>
      <c r="Y336" s="38">
        <v>42801</v>
      </c>
      <c r="Z336" s="38">
        <v>42892</v>
      </c>
      <c r="AA336" s="38">
        <v>42987</v>
      </c>
      <c r="AB336" s="38">
        <v>43079</v>
      </c>
      <c r="AC336" s="38">
        <v>43166</v>
      </c>
      <c r="AD336" s="38">
        <v>42892</v>
      </c>
      <c r="AE336" s="38">
        <f t="shared" ref="AE336:BH336" si="1432">AE3</f>
        <v>43373</v>
      </c>
      <c r="AF336" s="38">
        <f t="shared" si="1432"/>
        <v>43465</v>
      </c>
      <c r="AG336" s="38">
        <f t="shared" si="1432"/>
        <v>43555</v>
      </c>
      <c r="AH336" s="38">
        <f t="shared" si="1432"/>
        <v>43646</v>
      </c>
      <c r="AI336" s="38">
        <f t="shared" si="1432"/>
        <v>43738</v>
      </c>
      <c r="AJ336" s="38">
        <f t="shared" si="1432"/>
        <v>43830</v>
      </c>
      <c r="AK336" s="38">
        <f t="shared" si="1432"/>
        <v>43921</v>
      </c>
      <c r="AL336" s="38">
        <f t="shared" si="1432"/>
        <v>44012</v>
      </c>
      <c r="AM336" s="38">
        <f t="shared" si="1432"/>
        <v>44104</v>
      </c>
      <c r="AN336" s="38">
        <f t="shared" si="1432"/>
        <v>44196</v>
      </c>
      <c r="AO336" s="38">
        <f t="shared" si="1432"/>
        <v>44286</v>
      </c>
      <c r="AP336" s="38">
        <f t="shared" si="1432"/>
        <v>44377</v>
      </c>
      <c r="AQ336" s="38">
        <f t="shared" si="1432"/>
        <v>44469</v>
      </c>
      <c r="AR336" s="38">
        <f t="shared" si="1432"/>
        <v>44561</v>
      </c>
      <c r="AS336" s="38">
        <f t="shared" si="1432"/>
        <v>44651</v>
      </c>
      <c r="AT336" s="38">
        <f t="shared" si="1432"/>
        <v>44742</v>
      </c>
      <c r="AU336" s="38">
        <f t="shared" si="1432"/>
        <v>44834</v>
      </c>
      <c r="AV336" s="38">
        <f t="shared" si="1432"/>
        <v>44926</v>
      </c>
      <c r="AW336" s="38">
        <f t="shared" si="1432"/>
        <v>45016</v>
      </c>
      <c r="AX336" s="38">
        <f t="shared" si="1432"/>
        <v>45107</v>
      </c>
      <c r="AY336" s="38">
        <f t="shared" si="1432"/>
        <v>45199</v>
      </c>
      <c r="AZ336" s="38">
        <f t="shared" si="1432"/>
        <v>45291</v>
      </c>
      <c r="BA336" s="197">
        <f t="shared" si="1432"/>
        <v>45382</v>
      </c>
      <c r="BB336" s="197">
        <f t="shared" si="1432"/>
        <v>45473</v>
      </c>
      <c r="BC336" s="197">
        <f t="shared" si="1432"/>
        <v>45565</v>
      </c>
      <c r="BD336" s="197">
        <f t="shared" si="1432"/>
        <v>45657</v>
      </c>
      <c r="BE336" s="197">
        <f t="shared" si="1432"/>
        <v>45747</v>
      </c>
      <c r="BF336" s="197">
        <f t="shared" si="1432"/>
        <v>45838</v>
      </c>
      <c r="BG336" s="197">
        <f t="shared" si="1432"/>
        <v>45930</v>
      </c>
      <c r="BH336" s="197">
        <f t="shared" si="1432"/>
        <v>46022</v>
      </c>
      <c r="BI336" s="197">
        <f t="shared" ref="BI336" si="1433">BI3</f>
        <v>46112</v>
      </c>
      <c r="BJ336" s="44"/>
      <c r="BK336" s="44"/>
      <c r="BL336" s="44"/>
      <c r="BM336" s="44"/>
      <c r="BN336" s="44"/>
      <c r="BO336" s="44"/>
      <c r="BP336" s="44"/>
      <c r="BQ336" s="44"/>
      <c r="BR336" s="44"/>
      <c r="BS336" s="44"/>
      <c r="BT336" s="44"/>
      <c r="BU336" s="44"/>
      <c r="BV336" s="44"/>
      <c r="BW336" s="44"/>
      <c r="BX336" s="44"/>
      <c r="BY336" s="44"/>
      <c r="BZ336" s="44"/>
      <c r="CA336" s="44"/>
      <c r="CB336" s="44"/>
      <c r="CC336" s="44"/>
      <c r="CD336" s="44"/>
      <c r="CE336" s="44"/>
      <c r="CF336" s="44"/>
      <c r="CG336" s="46"/>
      <c r="CH336" s="44"/>
      <c r="CI336" s="44"/>
    </row>
    <row r="337" spans="2:87" ht="13.5" customHeight="1">
      <c r="B337" s="1" t="str">
        <f t="shared" ref="B337:Q337" si="1434">B88</f>
        <v>Revenues</v>
      </c>
      <c r="C337" s="20">
        <f t="shared" si="1434"/>
        <v>187052.65</v>
      </c>
      <c r="D337" s="20">
        <f t="shared" si="1434"/>
        <v>219186.33499999999</v>
      </c>
      <c r="E337" s="20">
        <f t="shared" si="1434"/>
        <v>252141.01</v>
      </c>
      <c r="F337" s="20">
        <f t="shared" si="1434"/>
        <v>267515.40500000003</v>
      </c>
      <c r="G337" s="20">
        <f t="shared" si="1434"/>
        <v>288265.97399999999</v>
      </c>
      <c r="H337" s="20">
        <f t="shared" si="1434"/>
        <v>289319.52600000001</v>
      </c>
      <c r="I337" s="20">
        <f t="shared" si="1434"/>
        <v>291925.82299999997</v>
      </c>
      <c r="J337" s="20">
        <f t="shared" si="1434"/>
        <v>291925.82299999997</v>
      </c>
      <c r="K337" s="20">
        <f t="shared" si="1434"/>
        <v>331050.54499999998</v>
      </c>
      <c r="L337" s="20">
        <f t="shared" si="1434"/>
        <v>348887.44</v>
      </c>
      <c r="M337" s="20">
        <f t="shared" si="1434"/>
        <v>338792.20400000003</v>
      </c>
      <c r="N337" s="20">
        <f t="shared" si="1434"/>
        <v>398706.29300000001</v>
      </c>
      <c r="O337" s="20">
        <f t="shared" si="1434"/>
        <v>398706.29300000001</v>
      </c>
      <c r="P337" s="20">
        <f t="shared" si="1434"/>
        <v>399879.277</v>
      </c>
      <c r="Q337" s="20">
        <f t="shared" si="1434"/>
        <v>408334.95299999998</v>
      </c>
      <c r="R337" s="20">
        <f t="shared" ref="R337" si="1435">R88</f>
        <v>426951.69400000002</v>
      </c>
      <c r="S337" s="20">
        <f>S88</f>
        <v>423544.88200000004</v>
      </c>
      <c r="U337" s="20"/>
      <c r="V337" s="20"/>
      <c r="W337" s="20"/>
      <c r="X337" s="20">
        <f t="shared" ref="X337:BG337" si="1436">X88</f>
        <v>252141.01</v>
      </c>
      <c r="Y337" s="20">
        <f t="shared" si="1436"/>
        <v>261145.48499999999</v>
      </c>
      <c r="Z337" s="20">
        <f t="shared" si="1436"/>
        <v>265220.20900000003</v>
      </c>
      <c r="AA337" s="20">
        <f t="shared" si="1436"/>
        <v>265446.19400000002</v>
      </c>
      <c r="AB337" s="20">
        <f t="shared" si="1436"/>
        <v>267515.40500000003</v>
      </c>
      <c r="AC337" s="20">
        <f t="shared" si="1436"/>
        <v>268589.565</v>
      </c>
      <c r="AD337" s="20">
        <f t="shared" si="1436"/>
        <v>275891.62900000007</v>
      </c>
      <c r="AE337" s="20">
        <f t="shared" si="1436"/>
        <v>282892.17700000003</v>
      </c>
      <c r="AF337" s="20">
        <f t="shared" si="1436"/>
        <v>288265.97399999999</v>
      </c>
      <c r="AG337" s="20">
        <f t="shared" si="1436"/>
        <v>290690.06699999998</v>
      </c>
      <c r="AH337" s="20">
        <f t="shared" si="1436"/>
        <v>290220.473</v>
      </c>
      <c r="AI337" s="20">
        <f t="shared" si="1436"/>
        <v>292539.266</v>
      </c>
      <c r="AJ337" s="20">
        <f t="shared" si="1436"/>
        <v>291925.82299999997</v>
      </c>
      <c r="AK337" s="20">
        <f t="shared" si="1436"/>
        <v>296756.75399999996</v>
      </c>
      <c r="AL337" s="20">
        <f t="shared" si="1436"/>
        <v>311073.71600000001</v>
      </c>
      <c r="AM337" s="20">
        <f t="shared" si="1436"/>
        <v>322023.19</v>
      </c>
      <c r="AN337" s="20">
        <f t="shared" si="1436"/>
        <v>331050.54500000004</v>
      </c>
      <c r="AO337" s="20">
        <f t="shared" si="1436"/>
        <v>335782.81799999997</v>
      </c>
      <c r="AP337" s="20">
        <f t="shared" si="1436"/>
        <v>333160.39499999996</v>
      </c>
      <c r="AQ337" s="20">
        <f t="shared" si="1436"/>
        <v>335542.13699999999</v>
      </c>
      <c r="AR337" s="20">
        <f t="shared" si="1436"/>
        <v>338792.20400000003</v>
      </c>
      <c r="AS337" s="20">
        <f t="shared" si="1436"/>
        <v>352976.489</v>
      </c>
      <c r="AT337" s="20">
        <f t="shared" si="1436"/>
        <v>365622.06800000003</v>
      </c>
      <c r="AU337" s="20">
        <f t="shared" si="1436"/>
        <v>380261.08</v>
      </c>
      <c r="AV337" s="20">
        <f t="shared" si="1436"/>
        <v>398706.29300000001</v>
      </c>
      <c r="AW337" s="20">
        <f t="shared" si="1436"/>
        <v>404951.09399999992</v>
      </c>
      <c r="AX337" s="20">
        <f t="shared" si="1436"/>
        <v>408882.83999999997</v>
      </c>
      <c r="AY337" s="20">
        <f t="shared" si="1436"/>
        <v>405243.44999999995</v>
      </c>
      <c r="AZ337" s="20">
        <f t="shared" si="1436"/>
        <v>399879.277</v>
      </c>
      <c r="BA337" s="20">
        <f t="shared" si="1436"/>
        <v>393954.94800000003</v>
      </c>
      <c r="BB337" s="20">
        <f t="shared" si="1436"/>
        <v>391675.39500000002</v>
      </c>
      <c r="BC337" s="20">
        <f t="shared" si="1436"/>
        <v>398540.05500000005</v>
      </c>
      <c r="BD337" s="20">
        <f t="shared" si="1436"/>
        <v>408334.95299999998</v>
      </c>
      <c r="BE337" s="20">
        <f t="shared" si="1436"/>
        <v>418419.39699999994</v>
      </c>
      <c r="BF337" s="20">
        <f t="shared" si="1436"/>
        <v>427835.33699999994</v>
      </c>
      <c r="BG337" s="20">
        <f t="shared" si="1436"/>
        <v>429209.8029999999</v>
      </c>
      <c r="BH337" s="20">
        <f t="shared" ref="BH337" si="1437">BH88</f>
        <v>426951.69400000002</v>
      </c>
      <c r="BI337" s="20">
        <f>BI88</f>
        <v>423544.88200000004</v>
      </c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6"/>
      <c r="CH337" s="44"/>
      <c r="CI337" s="44"/>
    </row>
    <row r="338" spans="2:87" ht="13.5" customHeight="1">
      <c r="B338" s="1" t="str">
        <f t="shared" ref="B338:Q338" si="1438">B91</f>
        <v>Adjusted EBITDA</v>
      </c>
      <c r="C338" s="20">
        <f t="shared" si="1438"/>
        <v>18420</v>
      </c>
      <c r="D338" s="20">
        <f t="shared" si="1438"/>
        <v>23369</v>
      </c>
      <c r="E338" s="20">
        <f t="shared" si="1438"/>
        <v>29298</v>
      </c>
      <c r="F338" s="20">
        <f t="shared" si="1438"/>
        <v>27288</v>
      </c>
      <c r="G338" s="20">
        <f t="shared" si="1438"/>
        <v>31705</v>
      </c>
      <c r="H338" s="20">
        <f t="shared" si="1438"/>
        <v>31700</v>
      </c>
      <c r="I338" s="20">
        <f t="shared" si="1438"/>
        <v>33426</v>
      </c>
      <c r="J338" s="20">
        <f t="shared" si="1438"/>
        <v>37873</v>
      </c>
      <c r="K338" s="20">
        <f t="shared" si="1438"/>
        <v>45193</v>
      </c>
      <c r="L338" s="20">
        <f t="shared" si="1438"/>
        <v>49178</v>
      </c>
      <c r="M338" s="20">
        <f t="shared" si="1438"/>
        <v>47372</v>
      </c>
      <c r="N338" s="20">
        <f t="shared" si="1438"/>
        <v>53445</v>
      </c>
      <c r="O338" s="20">
        <f t="shared" si="1438"/>
        <v>53445</v>
      </c>
      <c r="P338" s="20">
        <f t="shared" si="1438"/>
        <v>54942</v>
      </c>
      <c r="Q338" s="20">
        <f t="shared" si="1438"/>
        <v>55474</v>
      </c>
      <c r="R338" s="20">
        <f t="shared" ref="R338" si="1439">R91</f>
        <v>59456</v>
      </c>
      <c r="S338" s="20">
        <f>S91</f>
        <v>60675</v>
      </c>
      <c r="U338" s="20"/>
      <c r="V338" s="20"/>
      <c r="W338" s="20"/>
      <c r="X338" s="20">
        <f t="shared" ref="X338:AJ338" si="1440">X91</f>
        <v>29298</v>
      </c>
      <c r="Y338" s="20">
        <f t="shared" si="1440"/>
        <v>29309</v>
      </c>
      <c r="Z338" s="20">
        <f t="shared" si="1440"/>
        <v>29317</v>
      </c>
      <c r="AA338" s="20">
        <f t="shared" si="1440"/>
        <v>28399</v>
      </c>
      <c r="AB338" s="20">
        <f t="shared" si="1440"/>
        <v>27288</v>
      </c>
      <c r="AC338" s="20">
        <f t="shared" si="1440"/>
        <v>27996</v>
      </c>
      <c r="AD338" s="20">
        <f t="shared" si="1440"/>
        <v>28580</v>
      </c>
      <c r="AE338" s="20">
        <f t="shared" si="1440"/>
        <v>29779</v>
      </c>
      <c r="AF338" s="20">
        <f t="shared" si="1440"/>
        <v>31705</v>
      </c>
      <c r="AG338" s="20">
        <f t="shared" si="1440"/>
        <v>32133</v>
      </c>
      <c r="AH338" s="20">
        <f t="shared" si="1440"/>
        <v>32379</v>
      </c>
      <c r="AI338" s="20">
        <f t="shared" si="1440"/>
        <v>33213</v>
      </c>
      <c r="AJ338" s="20">
        <f t="shared" si="1440"/>
        <v>33426</v>
      </c>
      <c r="AK338" s="248"/>
      <c r="AL338" s="248"/>
      <c r="AM338" s="248"/>
      <c r="AN338" s="259"/>
      <c r="AO338" s="248"/>
      <c r="AP338" s="248"/>
      <c r="AQ338" s="248"/>
      <c r="AR338" s="259"/>
      <c r="AS338" s="20">
        <f t="shared" ref="AS338:BG338" si="1441">AS91</f>
        <v>11897</v>
      </c>
      <c r="AT338" s="20">
        <f t="shared" si="1441"/>
        <v>24889</v>
      </c>
      <c r="AU338" s="20">
        <f t="shared" si="1441"/>
        <v>39394</v>
      </c>
      <c r="AV338" s="20">
        <f t="shared" si="1441"/>
        <v>53445</v>
      </c>
      <c r="AW338" s="20">
        <f t="shared" si="1441"/>
        <v>54405</v>
      </c>
      <c r="AX338" s="20">
        <f t="shared" si="1441"/>
        <v>55415</v>
      </c>
      <c r="AY338" s="20">
        <f t="shared" si="1441"/>
        <v>55377</v>
      </c>
      <c r="AZ338" s="20">
        <f t="shared" si="1441"/>
        <v>54942</v>
      </c>
      <c r="BA338" s="20">
        <f t="shared" si="1441"/>
        <v>53957</v>
      </c>
      <c r="BB338" s="20">
        <f t="shared" si="1441"/>
        <v>53908</v>
      </c>
      <c r="BC338" s="20">
        <f t="shared" si="1441"/>
        <v>55081</v>
      </c>
      <c r="BD338" s="20">
        <f t="shared" si="1441"/>
        <v>55474</v>
      </c>
      <c r="BE338" s="20">
        <f t="shared" si="1441"/>
        <v>56419</v>
      </c>
      <c r="BF338" s="20">
        <f t="shared" si="1441"/>
        <v>57363</v>
      </c>
      <c r="BG338" s="20">
        <f t="shared" si="1441"/>
        <v>57499</v>
      </c>
      <c r="BH338" s="20">
        <f t="shared" ref="BH338:BI338" si="1442">BH91</f>
        <v>59456</v>
      </c>
      <c r="BI338" s="20">
        <f t="shared" si="1442"/>
        <v>60675</v>
      </c>
      <c r="BJ338" s="44"/>
      <c r="BK338" s="44"/>
      <c r="BL338" s="44"/>
      <c r="BM338" s="44"/>
      <c r="BN338" s="44"/>
      <c r="BO338" s="44"/>
      <c r="BP338" s="44"/>
      <c r="BQ338" s="44"/>
      <c r="BR338" s="44"/>
      <c r="BS338" s="44"/>
      <c r="BT338" s="44"/>
      <c r="BU338" s="44"/>
      <c r="BV338" s="44"/>
      <c r="BW338" s="44"/>
      <c r="BX338" s="44"/>
      <c r="BY338" s="44"/>
      <c r="BZ338" s="44"/>
      <c r="CA338" s="44"/>
      <c r="CB338" s="44"/>
      <c r="CC338" s="44"/>
      <c r="CD338" s="44"/>
      <c r="CE338" s="44"/>
      <c r="CF338" s="44"/>
      <c r="CG338" s="46"/>
      <c r="CH338" s="44"/>
      <c r="CI338" s="44"/>
    </row>
    <row r="339" spans="2:87" ht="13.5" customHeight="1">
      <c r="B339" s="1" t="str">
        <f t="shared" ref="B339:Q339" si="1443">B92</f>
        <v>Adjusted EBITDAR/ Adjusted EBITDA (post IFRS 16)</v>
      </c>
      <c r="C339" s="20">
        <f t="shared" si="1443"/>
        <v>21905</v>
      </c>
      <c r="D339" s="20">
        <f t="shared" si="1443"/>
        <v>27505</v>
      </c>
      <c r="E339" s="20">
        <f t="shared" si="1443"/>
        <v>34159</v>
      </c>
      <c r="F339" s="20">
        <f t="shared" si="1443"/>
        <v>33041.976000000002</v>
      </c>
      <c r="G339" s="20">
        <f t="shared" si="1443"/>
        <v>37935.847000000002</v>
      </c>
      <c r="H339" s="20">
        <f t="shared" si="1443"/>
        <v>37930.847000000002</v>
      </c>
      <c r="I339" s="20">
        <f t="shared" si="1443"/>
        <v>37873</v>
      </c>
      <c r="J339" s="20">
        <f t="shared" si="1443"/>
        <v>37873</v>
      </c>
      <c r="K339" s="20">
        <f t="shared" si="1443"/>
        <v>45193</v>
      </c>
      <c r="L339" s="20">
        <f t="shared" si="1443"/>
        <v>49178</v>
      </c>
      <c r="M339" s="20">
        <f t="shared" si="1443"/>
        <v>47372</v>
      </c>
      <c r="N339" s="20">
        <f t="shared" si="1443"/>
        <v>53445</v>
      </c>
      <c r="O339" s="20">
        <f t="shared" si="1443"/>
        <v>53445</v>
      </c>
      <c r="P339" s="20">
        <f t="shared" si="1443"/>
        <v>54942</v>
      </c>
      <c r="Q339" s="20">
        <f t="shared" si="1443"/>
        <v>55474</v>
      </c>
      <c r="R339" s="20">
        <f t="shared" ref="R339" si="1444">R92</f>
        <v>59456</v>
      </c>
      <c r="S339" s="20">
        <f>S92</f>
        <v>60675</v>
      </c>
      <c r="U339" s="20"/>
      <c r="V339" s="20"/>
      <c r="W339" s="20"/>
      <c r="X339" s="20">
        <f t="shared" ref="X339:AJ339" si="1445">X92</f>
        <v>34159</v>
      </c>
      <c r="Y339" s="20">
        <f t="shared" si="1445"/>
        <v>34393.243999999999</v>
      </c>
      <c r="Z339" s="20">
        <f t="shared" si="1445"/>
        <v>34624.487999999998</v>
      </c>
      <c r="AA339" s="20">
        <f t="shared" si="1445"/>
        <v>33929.731999999996</v>
      </c>
      <c r="AB339" s="20">
        <f t="shared" si="1445"/>
        <v>33041.976000000002</v>
      </c>
      <c r="AC339" s="20">
        <f t="shared" si="1445"/>
        <v>33869.193750000006</v>
      </c>
      <c r="AD339" s="20">
        <f t="shared" si="1445"/>
        <v>34572.411500000002</v>
      </c>
      <c r="AE339" s="20">
        <f t="shared" si="1445"/>
        <v>35890.629250000005</v>
      </c>
      <c r="AF339" s="20">
        <f t="shared" si="1445"/>
        <v>37935.847000000002</v>
      </c>
      <c r="AG339" s="20">
        <f t="shared" si="1445"/>
        <v>37858.135249999999</v>
      </c>
      <c r="AH339" s="20">
        <f t="shared" si="1445"/>
        <v>37613.423499999997</v>
      </c>
      <c r="AI339" s="20">
        <f t="shared" si="1445"/>
        <v>38007.711749999995</v>
      </c>
      <c r="AJ339" s="20">
        <f t="shared" si="1445"/>
        <v>37873</v>
      </c>
      <c r="AK339" s="20">
        <f t="shared" ref="AK339:AR339" si="1446">AK92</f>
        <v>38787</v>
      </c>
      <c r="AL339" s="20">
        <f t="shared" si="1446"/>
        <v>41357</v>
      </c>
      <c r="AM339" s="20">
        <f t="shared" si="1446"/>
        <v>43197</v>
      </c>
      <c r="AN339" s="20">
        <f t="shared" si="1446"/>
        <v>45193</v>
      </c>
      <c r="AO339" s="20">
        <f t="shared" si="1446"/>
        <v>46947</v>
      </c>
      <c r="AP339" s="20">
        <f t="shared" si="1446"/>
        <v>47628</v>
      </c>
      <c r="AQ339" s="20">
        <f t="shared" si="1446"/>
        <v>48481</v>
      </c>
      <c r="AR339" s="20">
        <f t="shared" si="1446"/>
        <v>47372</v>
      </c>
      <c r="AS339" s="20">
        <f t="shared" ref="AS339:BG339" si="1447">AS92</f>
        <v>48616</v>
      </c>
      <c r="AT339" s="20">
        <f t="shared" si="1447"/>
        <v>49552</v>
      </c>
      <c r="AU339" s="20">
        <f t="shared" si="1447"/>
        <v>51094</v>
      </c>
      <c r="AV339" s="20">
        <f t="shared" si="1447"/>
        <v>53445</v>
      </c>
      <c r="AW339" s="20">
        <f t="shared" si="1447"/>
        <v>54405</v>
      </c>
      <c r="AX339" s="20">
        <f t="shared" si="1447"/>
        <v>55415</v>
      </c>
      <c r="AY339" s="20">
        <f t="shared" si="1447"/>
        <v>55377</v>
      </c>
      <c r="AZ339" s="20">
        <f t="shared" si="1447"/>
        <v>54942</v>
      </c>
      <c r="BA339" s="20">
        <f t="shared" si="1447"/>
        <v>53957</v>
      </c>
      <c r="BB339" s="20">
        <f t="shared" si="1447"/>
        <v>53908</v>
      </c>
      <c r="BC339" s="20">
        <f t="shared" si="1447"/>
        <v>55081</v>
      </c>
      <c r="BD339" s="20">
        <f t="shared" si="1447"/>
        <v>55474</v>
      </c>
      <c r="BE339" s="20">
        <f t="shared" si="1447"/>
        <v>56419</v>
      </c>
      <c r="BF339" s="20">
        <f t="shared" si="1447"/>
        <v>57363</v>
      </c>
      <c r="BG339" s="20">
        <f t="shared" si="1447"/>
        <v>57499</v>
      </c>
      <c r="BH339" s="20">
        <f t="shared" ref="BH339:BI339" si="1448">BH92</f>
        <v>59456</v>
      </c>
      <c r="BI339" s="20">
        <f t="shared" si="1448"/>
        <v>60675</v>
      </c>
      <c r="BJ339" s="44"/>
      <c r="BK339" s="44"/>
      <c r="BL339" s="44"/>
      <c r="BM339" s="44"/>
      <c r="BN339" s="44"/>
      <c r="BO339" s="44"/>
      <c r="BP339" s="44"/>
      <c r="BQ339" s="44"/>
      <c r="BR339" s="44"/>
      <c r="BS339" s="44"/>
      <c r="BT339" s="44"/>
      <c r="BU339" s="44"/>
      <c r="BV339" s="44"/>
      <c r="BW339" s="44"/>
      <c r="BX339" s="44"/>
      <c r="BY339" s="44"/>
      <c r="BZ339" s="44"/>
      <c r="CA339" s="44"/>
      <c r="CB339" s="44"/>
      <c r="CC339" s="44"/>
      <c r="CD339" s="44"/>
      <c r="CE339" s="44"/>
      <c r="CF339" s="44"/>
      <c r="CG339" s="46"/>
      <c r="CH339" s="44"/>
      <c r="CI339" s="44"/>
    </row>
    <row r="340" spans="2:87" ht="13.5" customHeight="1">
      <c r="B340" s="1" t="s">
        <v>415</v>
      </c>
      <c r="C340" s="81">
        <f t="shared" ref="C340:I340" si="1449">C338/C337</f>
        <v>9.8474948096164375E-2</v>
      </c>
      <c r="D340" s="47">
        <f t="shared" si="1449"/>
        <v>0.10661704800164663</v>
      </c>
      <c r="E340" s="47">
        <f t="shared" si="1449"/>
        <v>0.11619688522704022</v>
      </c>
      <c r="F340" s="47">
        <f t="shared" si="1449"/>
        <v>0.10200534058963819</v>
      </c>
      <c r="G340" s="47">
        <f t="shared" si="1449"/>
        <v>0.10998523190253458</v>
      </c>
      <c r="H340" s="47">
        <f t="shared" si="1449"/>
        <v>0.1095674406711146</v>
      </c>
      <c r="I340" s="47">
        <f t="shared" si="1449"/>
        <v>0.11450168969807102</v>
      </c>
      <c r="J340" s="47">
        <f t="shared" ref="J340:N340" si="1450">J338/J337</f>
        <v>0.12973501148611991</v>
      </c>
      <c r="K340" s="47">
        <f t="shared" si="1450"/>
        <v>0.13651389699418862</v>
      </c>
      <c r="L340" s="47">
        <f t="shared" si="1450"/>
        <v>0.14095663632947061</v>
      </c>
      <c r="M340" s="47">
        <f t="shared" si="1450"/>
        <v>0.1398261218549173</v>
      </c>
      <c r="N340" s="47">
        <f t="shared" si="1450"/>
        <v>0.13404604075311147</v>
      </c>
      <c r="O340" s="47">
        <f t="shared" ref="O340" si="1451">O338/O337</f>
        <v>0.13404604075311147</v>
      </c>
      <c r="P340" s="47">
        <f>P338/P337</f>
        <v>0.13739646728429991</v>
      </c>
      <c r="Q340" s="47">
        <f>Q338/Q337</f>
        <v>0.13585415500788639</v>
      </c>
      <c r="R340" s="47">
        <f>R338/R337</f>
        <v>0.13925697177348592</v>
      </c>
      <c r="S340" s="47">
        <f t="shared" ref="S340" si="1452">S338/S337</f>
        <v>0.14325518399251957</v>
      </c>
      <c r="U340" s="47"/>
      <c r="V340" s="47"/>
      <c r="W340" s="47"/>
      <c r="X340" s="47">
        <f t="shared" ref="X340:AC340" si="1453">X338/X337</f>
        <v>0.11619688522704022</v>
      </c>
      <c r="Y340" s="47">
        <f t="shared" si="1453"/>
        <v>0.11223245923627591</v>
      </c>
      <c r="Z340" s="47">
        <f t="shared" si="1453"/>
        <v>0.1105383338265901</v>
      </c>
      <c r="AA340" s="47">
        <f t="shared" si="1453"/>
        <v>0.10698590012558251</v>
      </c>
      <c r="AB340" s="47">
        <f t="shared" si="1453"/>
        <v>0.10200534058963819</v>
      </c>
      <c r="AC340" s="47">
        <f t="shared" si="1453"/>
        <v>0.10423338672892969</v>
      </c>
      <c r="AD340" s="47">
        <f t="shared" ref="AD340:AI340" si="1454">AD338/AD337</f>
        <v>0.10359139965062149</v>
      </c>
      <c r="AE340" s="47">
        <f t="shared" si="1454"/>
        <v>0.10526625485299297</v>
      </c>
      <c r="AF340" s="47">
        <f t="shared" si="1454"/>
        <v>0.10998523190253458</v>
      </c>
      <c r="AG340" s="47">
        <f t="shared" si="1454"/>
        <v>0.11054041278954331</v>
      </c>
      <c r="AH340" s="47">
        <f t="shared" si="1454"/>
        <v>0.11156690520589152</v>
      </c>
      <c r="AI340" s="47">
        <f t="shared" si="1454"/>
        <v>0.11353347690425941</v>
      </c>
      <c r="AJ340" s="47">
        <f>AJ338/AJ337</f>
        <v>0.11450168969807102</v>
      </c>
      <c r="AK340" s="248"/>
      <c r="AL340" s="248"/>
      <c r="AM340" s="248"/>
      <c r="AN340" s="260"/>
      <c r="AO340" s="248"/>
      <c r="AP340" s="248"/>
      <c r="AQ340" s="248"/>
      <c r="AR340" s="260"/>
      <c r="AS340" s="47">
        <f t="shared" ref="AS340:AW340" si="1455">AS338/AS337</f>
        <v>3.3704794428956998E-2</v>
      </c>
      <c r="AT340" s="47">
        <f t="shared" si="1455"/>
        <v>6.8073024519953201E-2</v>
      </c>
      <c r="AU340" s="47">
        <f t="shared" si="1455"/>
        <v>0.10359724429331553</v>
      </c>
      <c r="AV340" s="47">
        <f t="shared" si="1455"/>
        <v>0.13404604075311147</v>
      </c>
      <c r="AW340" s="47">
        <f t="shared" si="1455"/>
        <v>0.13434955678870203</v>
      </c>
      <c r="AX340" s="47">
        <f t="shared" ref="AX340:BA340" si="1456">AX338/AX337</f>
        <v>0.13552782014525239</v>
      </c>
      <c r="AY340" s="47">
        <f t="shared" si="1456"/>
        <v>0.1366511907842064</v>
      </c>
      <c r="AZ340" s="47">
        <f t="shared" si="1456"/>
        <v>0.13739646728429991</v>
      </c>
      <c r="BA340" s="47">
        <f t="shared" si="1456"/>
        <v>0.13696236149317256</v>
      </c>
      <c r="BB340" s="47">
        <f t="shared" ref="BB340:BE340" si="1457">BB338/BB337</f>
        <v>0.13763437961171904</v>
      </c>
      <c r="BC340" s="47">
        <f t="shared" si="1457"/>
        <v>0.13820693631409267</v>
      </c>
      <c r="BD340" s="47">
        <f t="shared" si="1457"/>
        <v>0.13585415500788639</v>
      </c>
      <c r="BE340" s="47">
        <f t="shared" si="1457"/>
        <v>0.13483839517124491</v>
      </c>
      <c r="BF340" s="47">
        <f t="shared" ref="BF340:BG340" si="1458">BF338/BF337</f>
        <v>0.13407728403696587</v>
      </c>
      <c r="BG340" s="47">
        <f t="shared" si="1458"/>
        <v>0.13396478737928549</v>
      </c>
      <c r="BH340" s="47">
        <f t="shared" ref="BH340:BI340" si="1459">BH338/BH337</f>
        <v>0.13925697177348592</v>
      </c>
      <c r="BI340" s="47">
        <f t="shared" si="1459"/>
        <v>0.14325518399251957</v>
      </c>
      <c r="BJ340" s="44"/>
      <c r="BK340" s="44"/>
      <c r="BL340" s="44"/>
      <c r="BM340" s="44"/>
      <c r="BN340" s="44"/>
      <c r="BO340" s="44"/>
      <c r="BP340" s="44"/>
      <c r="BQ340" s="44"/>
      <c r="BR340" s="44"/>
      <c r="BS340" s="44"/>
      <c r="BT340" s="44"/>
      <c r="BU340" s="44"/>
      <c r="BV340" s="44"/>
      <c r="BW340" s="44"/>
      <c r="BX340" s="44"/>
      <c r="BY340" s="44"/>
      <c r="BZ340" s="44"/>
      <c r="CA340" s="44"/>
      <c r="CB340" s="44"/>
      <c r="CC340" s="44"/>
      <c r="CD340" s="44"/>
      <c r="CE340" s="44"/>
      <c r="CF340" s="44"/>
      <c r="CG340" s="46"/>
      <c r="CH340" s="44"/>
      <c r="CI340" s="44"/>
    </row>
    <row r="341" spans="2:87" ht="13.5" customHeight="1">
      <c r="B341" s="1" t="str">
        <f t="shared" ref="B341:Q341" si="1460">B93</f>
        <v>LTM Rent</v>
      </c>
      <c r="C341" s="20">
        <f t="shared" si="1460"/>
        <v>3485</v>
      </c>
      <c r="D341" s="20">
        <f t="shared" si="1460"/>
        <v>4136</v>
      </c>
      <c r="E341" s="20">
        <f t="shared" si="1460"/>
        <v>4861</v>
      </c>
      <c r="F341" s="20">
        <f t="shared" si="1460"/>
        <v>5753.9759999999997</v>
      </c>
      <c r="G341" s="20">
        <f t="shared" si="1460"/>
        <v>6230.8469999999998</v>
      </c>
      <c r="H341" s="20">
        <f t="shared" si="1460"/>
        <v>6230.8469999999998</v>
      </c>
      <c r="I341" s="20">
        <f t="shared" si="1460"/>
        <v>4447</v>
      </c>
      <c r="J341" s="20">
        <f t="shared" si="1460"/>
        <v>0</v>
      </c>
      <c r="K341" s="20">
        <f t="shared" si="1460"/>
        <v>0</v>
      </c>
      <c r="L341" s="20">
        <f t="shared" si="1460"/>
        <v>0</v>
      </c>
      <c r="M341" s="20">
        <f t="shared" si="1460"/>
        <v>0</v>
      </c>
      <c r="N341" s="20">
        <f t="shared" si="1460"/>
        <v>0</v>
      </c>
      <c r="O341" s="20">
        <f t="shared" si="1460"/>
        <v>0</v>
      </c>
      <c r="P341" s="20">
        <f t="shared" si="1460"/>
        <v>0</v>
      </c>
      <c r="Q341" s="20">
        <f t="shared" si="1460"/>
        <v>0</v>
      </c>
      <c r="R341" s="20">
        <f t="shared" ref="R341" si="1461">R93</f>
        <v>0</v>
      </c>
      <c r="S341" s="20">
        <f>S93</f>
        <v>0</v>
      </c>
      <c r="U341" s="20"/>
      <c r="V341" s="20"/>
      <c r="W341" s="20"/>
      <c r="X341" s="20">
        <f t="shared" ref="X341:AJ341" si="1462">X93</f>
        <v>4861</v>
      </c>
      <c r="Y341" s="20">
        <f t="shared" si="1462"/>
        <v>5084.2439999999997</v>
      </c>
      <c r="Z341" s="20">
        <f t="shared" si="1462"/>
        <v>5307.4879999999994</v>
      </c>
      <c r="AA341" s="20">
        <f t="shared" si="1462"/>
        <v>5530.7319999999991</v>
      </c>
      <c r="AB341" s="20">
        <f t="shared" si="1462"/>
        <v>5753.9759999999997</v>
      </c>
      <c r="AC341" s="20">
        <f t="shared" si="1462"/>
        <v>5873.1937500000004</v>
      </c>
      <c r="AD341" s="20">
        <f t="shared" si="1462"/>
        <v>5992.4115000000002</v>
      </c>
      <c r="AE341" s="20">
        <f t="shared" si="1462"/>
        <v>6111.62925</v>
      </c>
      <c r="AF341" s="20">
        <f t="shared" si="1462"/>
        <v>6230.8469999999998</v>
      </c>
      <c r="AG341" s="20">
        <f t="shared" si="1462"/>
        <v>5725.1352499999994</v>
      </c>
      <c r="AH341" s="20">
        <f t="shared" si="1462"/>
        <v>5234.423499999999</v>
      </c>
      <c r="AI341" s="20">
        <f t="shared" si="1462"/>
        <v>4794.7117499999986</v>
      </c>
      <c r="AJ341" s="20">
        <f t="shared" si="1462"/>
        <v>4447</v>
      </c>
      <c r="AK341" s="248"/>
      <c r="AL341" s="248"/>
      <c r="AM341" s="248"/>
      <c r="AN341" s="259"/>
      <c r="AO341" s="248"/>
      <c r="AP341" s="248"/>
      <c r="AQ341" s="248"/>
      <c r="AR341" s="259"/>
      <c r="AS341" s="20">
        <f t="shared" ref="AS341:BG341" si="1463">AS93</f>
        <v>0</v>
      </c>
      <c r="AT341" s="20">
        <f t="shared" si="1463"/>
        <v>0</v>
      </c>
      <c r="AU341" s="20">
        <f t="shared" si="1463"/>
        <v>0</v>
      </c>
      <c r="AV341" s="20">
        <f t="shared" si="1463"/>
        <v>0</v>
      </c>
      <c r="AW341" s="20">
        <f t="shared" si="1463"/>
        <v>0</v>
      </c>
      <c r="AX341" s="20">
        <f t="shared" si="1463"/>
        <v>0</v>
      </c>
      <c r="AY341" s="20">
        <f t="shared" si="1463"/>
        <v>0</v>
      </c>
      <c r="AZ341" s="20">
        <f t="shared" si="1463"/>
        <v>0</v>
      </c>
      <c r="BA341" s="20">
        <f t="shared" si="1463"/>
        <v>0</v>
      </c>
      <c r="BB341" s="20">
        <f t="shared" si="1463"/>
        <v>0</v>
      </c>
      <c r="BC341" s="20">
        <f t="shared" si="1463"/>
        <v>0</v>
      </c>
      <c r="BD341" s="20">
        <f t="shared" si="1463"/>
        <v>0</v>
      </c>
      <c r="BE341" s="20">
        <f t="shared" si="1463"/>
        <v>0</v>
      </c>
      <c r="BF341" s="20">
        <f t="shared" si="1463"/>
        <v>0</v>
      </c>
      <c r="BG341" s="20">
        <f t="shared" si="1463"/>
        <v>0</v>
      </c>
      <c r="BH341" s="20">
        <f t="shared" ref="BH341:BI341" si="1464">BH93</f>
        <v>0</v>
      </c>
      <c r="BI341" s="20">
        <f t="shared" si="1464"/>
        <v>0</v>
      </c>
      <c r="BJ341" s="44"/>
      <c r="BK341" s="44"/>
      <c r="BL341" s="44"/>
      <c r="BM341" s="44"/>
      <c r="BN341" s="44"/>
      <c r="BO341" s="44"/>
      <c r="BP341" s="44"/>
      <c r="BQ341" s="44"/>
      <c r="BR341" s="44"/>
      <c r="BS341" s="44"/>
      <c r="BT341" s="44"/>
      <c r="BU341" s="44"/>
      <c r="BV341" s="44"/>
      <c r="BW341" s="44"/>
      <c r="BX341" s="44"/>
      <c r="BY341" s="44"/>
      <c r="BZ341" s="44"/>
      <c r="CA341" s="44"/>
      <c r="CB341" s="44"/>
      <c r="CC341" s="44"/>
      <c r="CD341" s="44"/>
      <c r="CE341" s="44"/>
      <c r="CF341" s="44"/>
      <c r="CG341" s="46"/>
      <c r="CH341" s="44"/>
      <c r="CI341" s="44"/>
    </row>
    <row r="342" spans="2:87" ht="13.5" customHeight="1">
      <c r="B342" s="1" t="str">
        <f t="shared" ref="B342:Q342" si="1465">B94</f>
        <v>Cash interest paid</v>
      </c>
      <c r="C342" s="20">
        <f t="shared" si="1465"/>
        <v>2872.116</v>
      </c>
      <c r="D342" s="20">
        <f t="shared" si="1465"/>
        <v>3899.0320000000002</v>
      </c>
      <c r="E342" s="20">
        <f t="shared" si="1465"/>
        <v>4347.8119999999999</v>
      </c>
      <c r="F342" s="20">
        <f t="shared" si="1465"/>
        <v>4428.8440000000001</v>
      </c>
      <c r="G342" s="20">
        <f t="shared" si="1465"/>
        <v>7027.4740000000002</v>
      </c>
      <c r="H342" s="20">
        <f t="shared" si="1465"/>
        <v>7027.3019999999997</v>
      </c>
      <c r="I342" s="20">
        <f t="shared" si="1465"/>
        <v>6284.6440000000002</v>
      </c>
      <c r="J342" s="20">
        <f t="shared" si="1465"/>
        <v>6255.9380000000001</v>
      </c>
      <c r="K342" s="20">
        <f t="shared" si="1465"/>
        <v>7032.0259999999998</v>
      </c>
      <c r="L342" s="20">
        <f t="shared" si="1465"/>
        <v>7267.0590000000002</v>
      </c>
      <c r="M342" s="20">
        <f t="shared" si="1465"/>
        <v>7267.0590000000002</v>
      </c>
      <c r="N342" s="20">
        <f t="shared" si="1465"/>
        <v>6408.0129999999999</v>
      </c>
      <c r="O342" s="20">
        <f t="shared" si="1465"/>
        <v>6408.0129999999999</v>
      </c>
      <c r="P342" s="20">
        <f t="shared" si="1465"/>
        <v>7896.6170000000002</v>
      </c>
      <c r="Q342" s="20">
        <f t="shared" si="1465"/>
        <v>9012.0499999999993</v>
      </c>
      <c r="R342" s="20">
        <f t="shared" ref="R342" si="1466">R94</f>
        <v>11932.909</v>
      </c>
      <c r="S342" s="20">
        <f>S94</f>
        <v>12088.803</v>
      </c>
      <c r="U342" s="20"/>
      <c r="V342" s="20"/>
      <c r="W342" s="20"/>
      <c r="X342" s="20">
        <f t="shared" ref="X342:AJ342" si="1467">X94</f>
        <v>4347.8119999999999</v>
      </c>
      <c r="Y342" s="20">
        <f t="shared" si="1467"/>
        <v>4664.6530000000002</v>
      </c>
      <c r="Z342" s="20">
        <f t="shared" si="1467"/>
        <v>4592.4960000000001</v>
      </c>
      <c r="AA342" s="20">
        <f t="shared" si="1467"/>
        <v>4656.8119999999999</v>
      </c>
      <c r="AB342" s="20">
        <f t="shared" si="1467"/>
        <v>4428.8440000000001</v>
      </c>
      <c r="AC342" s="20">
        <f t="shared" si="1467"/>
        <v>4658.3619999999992</v>
      </c>
      <c r="AD342" s="20">
        <f t="shared" si="1467"/>
        <v>5407.6299999999992</v>
      </c>
      <c r="AE342" s="20">
        <f t="shared" si="1467"/>
        <v>5942.1130000000003</v>
      </c>
      <c r="AF342" s="20">
        <f t="shared" si="1467"/>
        <v>7027.4740000000002</v>
      </c>
      <c r="AG342" s="20">
        <f t="shared" si="1467"/>
        <v>6946.2360000000008</v>
      </c>
      <c r="AH342" s="20">
        <f t="shared" si="1467"/>
        <v>6920.0250000000015</v>
      </c>
      <c r="AI342" s="20">
        <f t="shared" si="1467"/>
        <v>6300.7849999999999</v>
      </c>
      <c r="AJ342" s="20">
        <f t="shared" si="1467"/>
        <v>6284.6440000000002</v>
      </c>
      <c r="AK342" s="20">
        <f t="shared" ref="AK342:AR342" si="1468">AK94</f>
        <v>6304.33</v>
      </c>
      <c r="AL342" s="20">
        <f t="shared" si="1468"/>
        <v>6359.3649999999998</v>
      </c>
      <c r="AM342" s="20">
        <f t="shared" si="1468"/>
        <v>7009.9360000000006</v>
      </c>
      <c r="AN342" s="20">
        <f t="shared" si="1468"/>
        <v>7032.0259999999998</v>
      </c>
      <c r="AO342" s="20">
        <f t="shared" si="1468"/>
        <v>7289.6190000000006</v>
      </c>
      <c r="AP342" s="20">
        <f t="shared" si="1468"/>
        <v>7347.4000000000005</v>
      </c>
      <c r="AQ342" s="20">
        <f t="shared" si="1468"/>
        <v>7297.6020000000008</v>
      </c>
      <c r="AR342" s="20">
        <f t="shared" si="1468"/>
        <v>7267.0590000000011</v>
      </c>
      <c r="AS342" s="20">
        <f t="shared" ref="AS342:BG342" si="1469">AS94</f>
        <v>7286.7160000000003</v>
      </c>
      <c r="AT342" s="20">
        <f t="shared" si="1469"/>
        <v>6441.2250000000004</v>
      </c>
      <c r="AU342" s="20">
        <f t="shared" si="1469"/>
        <v>6846.139000000001</v>
      </c>
      <c r="AV342" s="20">
        <f t="shared" si="1469"/>
        <v>6408.0129999999999</v>
      </c>
      <c r="AW342" s="20">
        <f t="shared" si="1469"/>
        <v>6217.3050000000003</v>
      </c>
      <c r="AX342" s="20">
        <f t="shared" si="1469"/>
        <v>7775.07</v>
      </c>
      <c r="AY342" s="20">
        <f t="shared" si="1469"/>
        <v>7210.4609999999993</v>
      </c>
      <c r="AZ342" s="20">
        <f t="shared" si="1469"/>
        <v>7896.6170000000002</v>
      </c>
      <c r="BA342" s="20">
        <f t="shared" si="1469"/>
        <v>7806.3010000000004</v>
      </c>
      <c r="BB342" s="20">
        <f t="shared" si="1469"/>
        <v>7463.6480000000001</v>
      </c>
      <c r="BC342" s="20">
        <f t="shared" si="1469"/>
        <v>9345.2999999999993</v>
      </c>
      <c r="BD342" s="20">
        <f t="shared" si="1469"/>
        <v>9012.0499999999993</v>
      </c>
      <c r="BE342" s="20">
        <f t="shared" si="1469"/>
        <v>10924.888999999999</v>
      </c>
      <c r="BF342" s="20">
        <f t="shared" si="1469"/>
        <v>10871.55</v>
      </c>
      <c r="BG342" s="20">
        <f t="shared" si="1469"/>
        <v>10703.421</v>
      </c>
      <c r="BH342" s="20">
        <f t="shared" ref="BH342:BI342" si="1470">BH94</f>
        <v>11932.909</v>
      </c>
      <c r="BI342" s="20">
        <f t="shared" si="1470"/>
        <v>12088.803</v>
      </c>
      <c r="BJ342" s="44"/>
      <c r="BK342" s="44"/>
      <c r="BL342" s="44"/>
      <c r="BM342" s="44"/>
      <c r="BN342" s="44"/>
      <c r="BO342" s="44"/>
      <c r="BP342" s="44"/>
      <c r="BQ342" s="44"/>
      <c r="BR342" s="44"/>
      <c r="BS342" s="44"/>
      <c r="BT342" s="44"/>
      <c r="BU342" s="44"/>
      <c r="BV342" s="44"/>
      <c r="BW342" s="44"/>
      <c r="BX342" s="44"/>
      <c r="BY342" s="44"/>
      <c r="BZ342" s="44"/>
      <c r="CA342" s="44"/>
      <c r="CB342" s="44"/>
      <c r="CC342" s="44"/>
      <c r="CD342" s="44"/>
      <c r="CE342" s="44"/>
      <c r="CF342" s="44"/>
      <c r="CG342" s="46"/>
      <c r="CH342" s="44"/>
      <c r="CI342" s="44"/>
    </row>
    <row r="343" spans="2:87" ht="13.5" customHeight="1">
      <c r="B343" s="1" t="str">
        <f t="shared" ref="B343:Q343" si="1471">B96</f>
        <v>Capex</v>
      </c>
      <c r="C343" s="20">
        <f t="shared" si="1471"/>
        <v>6828.6819999999998</v>
      </c>
      <c r="D343" s="20">
        <f t="shared" si="1471"/>
        <v>9604.3209999999999</v>
      </c>
      <c r="E343" s="20">
        <f t="shared" si="1471"/>
        <v>13152.5</v>
      </c>
      <c r="F343" s="20">
        <f t="shared" si="1471"/>
        <v>13572.669</v>
      </c>
      <c r="G343" s="20">
        <f t="shared" si="1471"/>
        <v>15067</v>
      </c>
      <c r="H343" s="20">
        <f t="shared" si="1471"/>
        <v>14468.138999999999</v>
      </c>
      <c r="I343" s="20">
        <f t="shared" si="1471"/>
        <v>12646.904999999999</v>
      </c>
      <c r="J343" s="20">
        <f t="shared" si="1471"/>
        <v>12646.904999999999</v>
      </c>
      <c r="K343" s="20">
        <f t="shared" si="1471"/>
        <v>12673.447999999999</v>
      </c>
      <c r="L343" s="20">
        <f t="shared" si="1471"/>
        <v>20938.866999999998</v>
      </c>
      <c r="M343" s="20">
        <f t="shared" si="1471"/>
        <v>20633.923999999999</v>
      </c>
      <c r="N343" s="20">
        <f t="shared" si="1471"/>
        <v>29425.809000000001</v>
      </c>
      <c r="O343" s="20">
        <f t="shared" si="1471"/>
        <v>29416.812999999998</v>
      </c>
      <c r="P343" s="20">
        <f t="shared" si="1471"/>
        <v>35143.652999999998</v>
      </c>
      <c r="Q343" s="20">
        <f t="shared" si="1471"/>
        <v>28771.732</v>
      </c>
      <c r="R343" s="20">
        <f t="shared" ref="R343" si="1472">R96</f>
        <v>22244.428999999996</v>
      </c>
      <c r="S343" s="20">
        <f>S96</f>
        <v>18683.446999999996</v>
      </c>
      <c r="U343" s="20"/>
      <c r="V343" s="20"/>
      <c r="W343" s="20"/>
      <c r="X343" s="20">
        <f t="shared" ref="X343:BG343" si="1473">X96</f>
        <v>13152.5</v>
      </c>
      <c r="Y343" s="20">
        <f t="shared" si="1473"/>
        <v>14138.53</v>
      </c>
      <c r="Z343" s="20">
        <f t="shared" si="1473"/>
        <v>13610.663999999999</v>
      </c>
      <c r="AA343" s="20">
        <f t="shared" si="1473"/>
        <v>13528.718000000001</v>
      </c>
      <c r="AB343" s="20">
        <f t="shared" si="1473"/>
        <v>13572.669</v>
      </c>
      <c r="AC343" s="20">
        <f t="shared" si="1473"/>
        <v>14182.770999999999</v>
      </c>
      <c r="AD343" s="20">
        <f t="shared" si="1473"/>
        <v>15174.249</v>
      </c>
      <c r="AE343" s="20">
        <f t="shared" si="1473"/>
        <v>15629.847</v>
      </c>
      <c r="AF343" s="20">
        <f t="shared" si="1473"/>
        <v>15067</v>
      </c>
      <c r="AG343" s="20">
        <f t="shared" si="1473"/>
        <v>13487.846</v>
      </c>
      <c r="AH343" s="20">
        <f t="shared" si="1473"/>
        <v>13578.439000000004</v>
      </c>
      <c r="AI343" s="20">
        <f t="shared" si="1473"/>
        <v>13267.724999999997</v>
      </c>
      <c r="AJ343" s="20">
        <f t="shared" si="1473"/>
        <v>12646.904999999999</v>
      </c>
      <c r="AK343" s="20">
        <f t="shared" si="1473"/>
        <v>13066.385</v>
      </c>
      <c r="AL343" s="20">
        <f t="shared" si="1473"/>
        <v>12119.390000000001</v>
      </c>
      <c r="AM343" s="20">
        <f t="shared" si="1473"/>
        <v>11844.560000000001</v>
      </c>
      <c r="AN343" s="20">
        <f t="shared" si="1473"/>
        <v>12673.447999999999</v>
      </c>
      <c r="AO343" s="20">
        <f t="shared" si="1473"/>
        <v>12904.576999999997</v>
      </c>
      <c r="AP343" s="20">
        <f t="shared" si="1473"/>
        <v>14806.530999999997</v>
      </c>
      <c r="AQ343" s="20">
        <f t="shared" si="1473"/>
        <v>16666.322999999997</v>
      </c>
      <c r="AR343" s="20">
        <f t="shared" si="1473"/>
        <v>20633.923999999999</v>
      </c>
      <c r="AS343" s="20">
        <f t="shared" si="1473"/>
        <v>21876.116999999998</v>
      </c>
      <c r="AT343" s="20">
        <f t="shared" si="1473"/>
        <v>23667.703999999998</v>
      </c>
      <c r="AU343" s="20">
        <f t="shared" si="1473"/>
        <v>26282.565999999999</v>
      </c>
      <c r="AV343" s="20">
        <f t="shared" si="1473"/>
        <v>29425.809000000001</v>
      </c>
      <c r="AW343" s="20">
        <f t="shared" si="1473"/>
        <v>30859.160000000003</v>
      </c>
      <c r="AX343" s="20">
        <f t="shared" si="1473"/>
        <v>32074.847000000002</v>
      </c>
      <c r="AY343" s="20">
        <f t="shared" si="1473"/>
        <v>33764.909</v>
      </c>
      <c r="AZ343" s="20">
        <f t="shared" si="1473"/>
        <v>35143.652999999998</v>
      </c>
      <c r="BA343" s="20">
        <f t="shared" si="1473"/>
        <v>35355.657999999996</v>
      </c>
      <c r="BB343" s="20">
        <f t="shared" si="1473"/>
        <v>34141.370000000003</v>
      </c>
      <c r="BC343" s="20">
        <f t="shared" si="1473"/>
        <v>32210.578000000001</v>
      </c>
      <c r="BD343" s="20">
        <f t="shared" si="1473"/>
        <v>28771.732</v>
      </c>
      <c r="BE343" s="20">
        <f t="shared" si="1473"/>
        <v>28500.764999999999</v>
      </c>
      <c r="BF343" s="20">
        <f t="shared" si="1473"/>
        <v>26509.443000000003</v>
      </c>
      <c r="BG343" s="20">
        <f t="shared" si="1473"/>
        <v>24002.786</v>
      </c>
      <c r="BH343" s="20">
        <f t="shared" ref="BH343:BI343" si="1474">BH96</f>
        <v>22244.428999999996</v>
      </c>
      <c r="BI343" s="20">
        <f t="shared" si="1474"/>
        <v>18683.446999999996</v>
      </c>
      <c r="BJ343" s="44"/>
      <c r="BK343" s="44"/>
      <c r="BL343" s="44"/>
      <c r="BM343" s="44"/>
      <c r="BN343" s="44"/>
      <c r="BO343" s="44"/>
      <c r="BP343" s="44"/>
      <c r="BQ343" s="44"/>
      <c r="BR343" s="44"/>
      <c r="BS343" s="44"/>
      <c r="BT343" s="44"/>
      <c r="BU343" s="44"/>
      <c r="BV343" s="44"/>
      <c r="BW343" s="44"/>
      <c r="BX343" s="44"/>
      <c r="BY343" s="44"/>
      <c r="BZ343" s="44"/>
      <c r="CA343" s="44"/>
      <c r="CB343" s="44"/>
      <c r="CC343" s="44"/>
      <c r="CD343" s="44"/>
      <c r="CE343" s="44"/>
      <c r="CF343" s="44"/>
      <c r="CG343" s="46"/>
      <c r="CH343" s="44"/>
      <c r="CI343" s="44"/>
    </row>
    <row r="344" spans="2:87" ht="13.5" customHeight="1">
      <c r="B344" s="1" t="str">
        <f t="shared" ref="B344:Q344" si="1475">B97</f>
        <v xml:space="preserve">Free cash flow </v>
      </c>
      <c r="C344" s="20">
        <f t="shared" si="1475"/>
        <v>-18715.557000000001</v>
      </c>
      <c r="D344" s="20">
        <f t="shared" si="1475"/>
        <v>5556.8330000000024</v>
      </c>
      <c r="E344" s="20">
        <f t="shared" si="1475"/>
        <v>922.58699999999953</v>
      </c>
      <c r="F344" s="20">
        <f t="shared" si="1475"/>
        <v>-3494.0410000000038</v>
      </c>
      <c r="G344" s="20">
        <f t="shared" si="1475"/>
        <v>1684.6830000000052</v>
      </c>
      <c r="H344" s="20">
        <f t="shared" si="1475"/>
        <v>-171.77399999999898</v>
      </c>
      <c r="I344" s="20">
        <f t="shared" si="1475"/>
        <v>17418.690000000002</v>
      </c>
      <c r="J344" s="20">
        <f t="shared" si="1475"/>
        <v>17533.316000000003</v>
      </c>
      <c r="K344" s="20">
        <f t="shared" si="1475"/>
        <v>17817.888000000003</v>
      </c>
      <c r="L344" s="20">
        <f t="shared" si="1475"/>
        <v>5582.108000000002</v>
      </c>
      <c r="M344" s="20">
        <f t="shared" si="1475"/>
        <v>3272.8670000000025</v>
      </c>
      <c r="N344" s="20">
        <f t="shared" si="1475"/>
        <v>26470.794999999998</v>
      </c>
      <c r="O344" s="20">
        <f t="shared" si="1475"/>
        <v>23111.336000000003</v>
      </c>
      <c r="P344" s="20">
        <f t="shared" si="1475"/>
        <v>-19674.722999999994</v>
      </c>
      <c r="Q344" s="20">
        <f t="shared" si="1475"/>
        <v>-8077.5109999999931</v>
      </c>
      <c r="R344" s="20">
        <f t="shared" ref="R344" si="1476">R97</f>
        <v>-2117.1879999999996</v>
      </c>
      <c r="S344" s="20">
        <f>S97</f>
        <v>6175.9850000000069</v>
      </c>
      <c r="U344" s="20"/>
      <c r="V344" s="20"/>
      <c r="W344" s="20"/>
      <c r="X344" s="20">
        <f t="shared" ref="X344:BG344" si="1477">X97</f>
        <v>922.58699999999953</v>
      </c>
      <c r="Y344" s="20">
        <f t="shared" si="1477"/>
        <v>-17.170000000000812</v>
      </c>
      <c r="Z344" s="20">
        <f t="shared" si="1477"/>
        <v>2264.6689999999994</v>
      </c>
      <c r="AA344" s="20">
        <f t="shared" si="1477"/>
        <v>4941.5869999999995</v>
      </c>
      <c r="AB344" s="20">
        <f t="shared" si="1477"/>
        <v>-3494.0410000000052</v>
      </c>
      <c r="AC344" s="20">
        <f t="shared" si="1477"/>
        <v>-5718.3070000000043</v>
      </c>
      <c r="AD344" s="20">
        <f t="shared" si="1477"/>
        <v>-10323.275000000005</v>
      </c>
      <c r="AE344" s="20">
        <f t="shared" si="1477"/>
        <v>-9532.7840000000069</v>
      </c>
      <c r="AF344" s="20">
        <f t="shared" si="1477"/>
        <v>1684.6830000000027</v>
      </c>
      <c r="AG344" s="20">
        <f t="shared" si="1477"/>
        <v>5277.9200000000037</v>
      </c>
      <c r="AH344" s="20">
        <f t="shared" si="1477"/>
        <v>12812.026000000005</v>
      </c>
      <c r="AI344" s="20">
        <f t="shared" si="1477"/>
        <v>16896.52900000001</v>
      </c>
      <c r="AJ344" s="20">
        <f t="shared" si="1477"/>
        <v>17418.690000000002</v>
      </c>
      <c r="AK344" s="20">
        <f t="shared" si="1477"/>
        <v>18454.623000000003</v>
      </c>
      <c r="AL344" s="20">
        <f t="shared" si="1477"/>
        <v>15735.633999999998</v>
      </c>
      <c r="AM344" s="20">
        <f t="shared" si="1477"/>
        <v>15267.710999999999</v>
      </c>
      <c r="AN344" s="20">
        <f t="shared" si="1477"/>
        <v>17817.887999999999</v>
      </c>
      <c r="AO344" s="20">
        <f t="shared" si="1477"/>
        <v>18315.024000000001</v>
      </c>
      <c r="AP344" s="20">
        <f t="shared" si="1477"/>
        <v>18054.006000000005</v>
      </c>
      <c r="AQ344" s="20">
        <f t="shared" si="1477"/>
        <v>11739.900000000001</v>
      </c>
      <c r="AR344" s="20">
        <f t="shared" si="1477"/>
        <v>3272.8669999999979</v>
      </c>
      <c r="AS344" s="20">
        <f t="shared" si="1477"/>
        <v>2188.5339999999992</v>
      </c>
      <c r="AT344" s="20">
        <f t="shared" si="1477"/>
        <v>5420.6720000000023</v>
      </c>
      <c r="AU344" s="20">
        <f t="shared" si="1477"/>
        <v>805.39800000000196</v>
      </c>
      <c r="AV344" s="20">
        <f t="shared" si="1477"/>
        <v>26470.795000000006</v>
      </c>
      <c r="AW344" s="20">
        <f t="shared" si="1477"/>
        <v>15894.498000000003</v>
      </c>
      <c r="AX344" s="20">
        <f t="shared" si="1477"/>
        <v>5038.8940000000039</v>
      </c>
      <c r="AY344" s="20">
        <f t="shared" si="1477"/>
        <v>9277.2970000000041</v>
      </c>
      <c r="AZ344" s="20">
        <f t="shared" si="1477"/>
        <v>-19674.723000000002</v>
      </c>
      <c r="BA344" s="20">
        <f t="shared" si="1477"/>
        <v>-13647.640000000003</v>
      </c>
      <c r="BB344" s="20">
        <f t="shared" si="1477"/>
        <v>-11778.842000000004</v>
      </c>
      <c r="BC344" s="20">
        <f t="shared" si="1477"/>
        <v>-11159.485000000001</v>
      </c>
      <c r="BD344" s="20">
        <f t="shared" si="1477"/>
        <v>-8077.5109999999995</v>
      </c>
      <c r="BE344" s="20">
        <f t="shared" si="1477"/>
        <v>-3685.0920000000006</v>
      </c>
      <c r="BF344" s="20">
        <f t="shared" si="1477"/>
        <v>-6152.3869999999988</v>
      </c>
      <c r="BG344" s="20">
        <f t="shared" si="1477"/>
        <v>376.44500000000153</v>
      </c>
      <c r="BH344" s="20">
        <f t="shared" ref="BH344:BI344" si="1478">BH97</f>
        <v>-2117.1879999999951</v>
      </c>
      <c r="BI344" s="20">
        <f t="shared" si="1478"/>
        <v>6175.985000000006</v>
      </c>
      <c r="BJ344" s="44"/>
      <c r="BK344" s="44"/>
      <c r="BL344" s="44"/>
      <c r="BM344" s="44"/>
      <c r="BN344" s="44"/>
      <c r="BO344" s="44"/>
      <c r="BP344" s="44"/>
      <c r="BQ344" s="44"/>
      <c r="BR344" s="44"/>
      <c r="BS344" s="44"/>
      <c r="BT344" s="44"/>
      <c r="BU344" s="44"/>
      <c r="BV344" s="44"/>
      <c r="BW344" s="44"/>
      <c r="BX344" s="44"/>
      <c r="BY344" s="44"/>
      <c r="BZ344" s="44"/>
      <c r="CA344" s="44"/>
      <c r="CB344" s="44"/>
      <c r="CC344" s="44"/>
      <c r="CD344" s="44"/>
      <c r="CE344" s="44"/>
      <c r="CF344" s="44"/>
      <c r="CG344" s="46"/>
      <c r="CH344" s="44"/>
      <c r="CI344" s="44"/>
    </row>
    <row r="345" spans="2:87" ht="13.5" customHeight="1">
      <c r="B345" s="1" t="s">
        <v>63</v>
      </c>
      <c r="C345" s="20">
        <f t="shared" ref="C345:G345" si="1479">C165</f>
        <v>2572</v>
      </c>
      <c r="D345" s="20">
        <f t="shared" si="1479"/>
        <v>3825</v>
      </c>
      <c r="E345" s="20">
        <f t="shared" si="1479"/>
        <v>6814.27</v>
      </c>
      <c r="F345" s="20">
        <f t="shared" si="1479"/>
        <v>7216.2060000000001</v>
      </c>
      <c r="G345" s="20">
        <f t="shared" si="1479"/>
        <v>7583.817</v>
      </c>
      <c r="H345" s="20">
        <f t="shared" ref="H345:N345" si="1480">H165</f>
        <v>7583.817</v>
      </c>
      <c r="I345" s="20">
        <f t="shared" si="1480"/>
        <v>6251.2849999999999</v>
      </c>
      <c r="J345" s="20">
        <f t="shared" si="1480"/>
        <v>6251.2849999999999</v>
      </c>
      <c r="K345" s="20">
        <f t="shared" si="1480"/>
        <v>9267.5439999999999</v>
      </c>
      <c r="L345" s="20">
        <f t="shared" si="1480"/>
        <v>8747.4650000000001</v>
      </c>
      <c r="M345" s="20">
        <f t="shared" ref="M345" si="1481">M165</f>
        <v>8747.4650000000001</v>
      </c>
      <c r="N345" s="20">
        <f t="shared" si="1480"/>
        <v>12313.138000000001</v>
      </c>
      <c r="O345" s="20">
        <f t="shared" ref="O345" si="1482">O165</f>
        <v>12313.138000000001</v>
      </c>
      <c r="P345" s="20">
        <f>P165</f>
        <v>6353.1239999999998</v>
      </c>
      <c r="Q345" s="20">
        <f>Q165</f>
        <v>8057.0429999999997</v>
      </c>
      <c r="R345" s="20">
        <f>R165</f>
        <v>8535.0390000000007</v>
      </c>
      <c r="S345" s="20">
        <f t="shared" ref="S345" si="1483">S165</f>
        <v>19573.956999999999</v>
      </c>
      <c r="U345" s="20"/>
      <c r="V345" s="20"/>
      <c r="W345" s="20"/>
      <c r="X345" s="20">
        <f t="shared" ref="X345:AH345" si="1484">X165</f>
        <v>6814.27</v>
      </c>
      <c r="Y345" s="20">
        <f t="shared" si="1484"/>
        <v>7784</v>
      </c>
      <c r="Z345" s="20">
        <f t="shared" si="1484"/>
        <v>5629</v>
      </c>
      <c r="AA345" s="20">
        <f t="shared" si="1484"/>
        <v>5685</v>
      </c>
      <c r="AB345" s="20">
        <f t="shared" si="1484"/>
        <v>7216.2060000000001</v>
      </c>
      <c r="AC345" s="20">
        <f t="shared" si="1484"/>
        <v>5016.7299999999996</v>
      </c>
      <c r="AD345" s="20">
        <f t="shared" si="1484"/>
        <v>8076.0730000000003</v>
      </c>
      <c r="AE345" s="20">
        <f t="shared" si="1484"/>
        <v>7973.7160000000003</v>
      </c>
      <c r="AF345" s="20">
        <f t="shared" si="1484"/>
        <v>7583.817</v>
      </c>
      <c r="AG345" s="20">
        <f t="shared" si="1484"/>
        <v>7104.8980000000001</v>
      </c>
      <c r="AH345" s="20">
        <f t="shared" si="1484"/>
        <v>5688.8069999999998</v>
      </c>
      <c r="AI345" s="20">
        <f t="shared" ref="AI345:AN345" si="1485">AI165</f>
        <v>17060.194</v>
      </c>
      <c r="AJ345" s="20">
        <f t="shared" si="1485"/>
        <v>6251.2849999999999</v>
      </c>
      <c r="AK345" s="20">
        <f t="shared" si="1485"/>
        <v>25442.819</v>
      </c>
      <c r="AL345" s="20">
        <f t="shared" si="1485"/>
        <v>10336.11</v>
      </c>
      <c r="AM345" s="20">
        <f t="shared" si="1485"/>
        <v>12031.743</v>
      </c>
      <c r="AN345" s="20">
        <f t="shared" si="1485"/>
        <v>9267.5439999999999</v>
      </c>
      <c r="AO345" s="20">
        <f>AO165</f>
        <v>11317.829</v>
      </c>
      <c r="AP345" s="20">
        <f>AP165</f>
        <v>11913.346</v>
      </c>
      <c r="AQ345" s="20">
        <f>AQ165</f>
        <v>11153.518</v>
      </c>
      <c r="AR345" s="20">
        <f t="shared" ref="AR345" si="1486">AR165</f>
        <v>8747.4650000000001</v>
      </c>
      <c r="AS345" s="20">
        <f>AS165</f>
        <v>9098.8719999999994</v>
      </c>
      <c r="AT345" s="20">
        <f>AT165</f>
        <v>6772.6760000000004</v>
      </c>
      <c r="AU345" s="20">
        <f>AU165</f>
        <v>7327.0379999999996</v>
      </c>
      <c r="AV345" s="20">
        <f t="shared" ref="AV345" si="1487">AV165</f>
        <v>12313.138000000001</v>
      </c>
      <c r="AW345" s="20">
        <f>AW165</f>
        <v>5981.1629999999996</v>
      </c>
      <c r="AX345" s="20">
        <f>AX165</f>
        <v>6485.7870000000003</v>
      </c>
      <c r="AY345" s="20">
        <f>AY165</f>
        <v>6249.2889999999998</v>
      </c>
      <c r="AZ345" s="20">
        <f t="shared" ref="AZ345" si="1488">AZ165</f>
        <v>6353.1239999999998</v>
      </c>
      <c r="BA345" s="20">
        <f>BA165</f>
        <v>17567.612000000001</v>
      </c>
      <c r="BB345" s="20">
        <f>BB165</f>
        <v>7615.62</v>
      </c>
      <c r="BC345" s="20">
        <f>BC165</f>
        <v>8434.3169999999991</v>
      </c>
      <c r="BD345" s="20">
        <f t="shared" ref="BD345" si="1489">BD165</f>
        <v>8057.0429999999997</v>
      </c>
      <c r="BE345" s="20">
        <f>BE165</f>
        <v>17778.945</v>
      </c>
      <c r="BF345" s="20">
        <f>BF165</f>
        <v>7493.7719999999999</v>
      </c>
      <c r="BG345" s="20">
        <f>BG165</f>
        <v>13616.759</v>
      </c>
      <c r="BH345" s="20">
        <f>BH165</f>
        <v>8535.0390000000007</v>
      </c>
      <c r="BI345" s="20">
        <f>BI165</f>
        <v>19573.956999999999</v>
      </c>
      <c r="BJ345" s="44"/>
      <c r="BK345" s="44"/>
      <c r="BL345" s="44"/>
      <c r="BM345" s="44"/>
      <c r="BN345" s="44"/>
      <c r="BO345" s="44"/>
      <c r="BP345" s="44"/>
      <c r="BQ345" s="44"/>
      <c r="BR345" s="44"/>
      <c r="BS345" s="44"/>
      <c r="BT345" s="44"/>
      <c r="BU345" s="44"/>
      <c r="BV345" s="44"/>
      <c r="BW345" s="44"/>
      <c r="BX345" s="44"/>
      <c r="BY345" s="44"/>
      <c r="BZ345" s="44"/>
      <c r="CA345" s="44"/>
      <c r="CB345" s="44"/>
      <c r="CC345" s="44"/>
      <c r="CD345" s="44"/>
      <c r="CE345" s="44"/>
      <c r="CF345" s="44"/>
      <c r="CG345" s="46"/>
      <c r="CH345" s="44"/>
      <c r="CI345" s="44"/>
    </row>
    <row r="346" spans="2:87" ht="13.5" customHeight="1">
      <c r="B346" s="1" t="s">
        <v>416</v>
      </c>
      <c r="C346" s="20">
        <f t="shared" ref="C346:G346" si="1490">C168</f>
        <v>62204</v>
      </c>
      <c r="D346" s="20">
        <f t="shared" si="1490"/>
        <v>67761</v>
      </c>
      <c r="E346" s="20">
        <f t="shared" si="1490"/>
        <v>82501</v>
      </c>
      <c r="F346" s="20">
        <f t="shared" si="1490"/>
        <v>94312.736999999994</v>
      </c>
      <c r="G346" s="20">
        <f t="shared" si="1490"/>
        <v>89845.801999999996</v>
      </c>
      <c r="H346" s="20">
        <f t="shared" ref="H346:N346" si="1491">H168</f>
        <v>89845.801999999996</v>
      </c>
      <c r="I346" s="20">
        <f t="shared" si="1491"/>
        <v>86671.777000000002</v>
      </c>
      <c r="J346" s="20">
        <f t="shared" si="1491"/>
        <v>86671.777000000002</v>
      </c>
      <c r="K346" s="20">
        <f t="shared" si="1491"/>
        <v>85228.750999999989</v>
      </c>
      <c r="L346" s="20">
        <f t="shared" si="1491"/>
        <v>92855.176999999996</v>
      </c>
      <c r="M346" s="20">
        <f t="shared" ref="M346" si="1492">M168</f>
        <v>92855.176999999996</v>
      </c>
      <c r="N346" s="20">
        <f t="shared" si="1491"/>
        <v>84054.474000000002</v>
      </c>
      <c r="O346" s="20">
        <f t="shared" ref="O346" si="1493">O168</f>
        <v>84054.474000000002</v>
      </c>
      <c r="P346" s="20">
        <f>P168</f>
        <v>109935.321</v>
      </c>
      <c r="Q346" s="20">
        <f>Q168</f>
        <v>150905.55200000003</v>
      </c>
      <c r="R346" s="20">
        <f>R168</f>
        <v>153663.092</v>
      </c>
      <c r="S346" s="20">
        <f t="shared" ref="S346" si="1494">S168</f>
        <v>157325.14000000001</v>
      </c>
      <c r="U346" s="20"/>
      <c r="V346" s="20"/>
      <c r="W346" s="20"/>
      <c r="X346" s="20">
        <f t="shared" ref="X346:AH346" si="1495">X168</f>
        <v>82501</v>
      </c>
      <c r="Y346" s="20">
        <f t="shared" si="1495"/>
        <v>77435</v>
      </c>
      <c r="Z346" s="20">
        <f t="shared" si="1495"/>
        <v>72942</v>
      </c>
      <c r="AA346" s="20">
        <f t="shared" si="1495"/>
        <v>75556</v>
      </c>
      <c r="AB346" s="20">
        <f t="shared" si="1495"/>
        <v>94312.736999999994</v>
      </c>
      <c r="AC346" s="20">
        <f t="shared" si="1495"/>
        <v>89540.595000000001</v>
      </c>
      <c r="AD346" s="20">
        <f t="shared" si="1495"/>
        <v>92731.491999999998</v>
      </c>
      <c r="AE346" s="20">
        <f t="shared" si="1495"/>
        <v>87935.111000000004</v>
      </c>
      <c r="AF346" s="20">
        <f t="shared" si="1495"/>
        <v>89845.801999999996</v>
      </c>
      <c r="AG346" s="20">
        <f t="shared" si="1495"/>
        <v>90007.169000000009</v>
      </c>
      <c r="AH346" s="20">
        <f t="shared" si="1495"/>
        <v>89114.648000000001</v>
      </c>
      <c r="AI346" s="20">
        <f t="shared" ref="AI346:AN346" si="1496">AI168</f>
        <v>101952.249</v>
      </c>
      <c r="AJ346" s="20">
        <f t="shared" si="1496"/>
        <v>86671.777000000002</v>
      </c>
      <c r="AK346" s="20">
        <f t="shared" si="1496"/>
        <v>120136.572</v>
      </c>
      <c r="AL346" s="20">
        <f t="shared" si="1496"/>
        <v>103192.86099999999</v>
      </c>
      <c r="AM346" s="20">
        <f t="shared" si="1496"/>
        <v>96671.467000000004</v>
      </c>
      <c r="AN346" s="20">
        <f t="shared" si="1496"/>
        <v>85228.750999999989</v>
      </c>
      <c r="AO346" s="20">
        <f>AO168</f>
        <v>88071.633000000002</v>
      </c>
      <c r="AP346" s="20">
        <f>AP168</f>
        <v>88462.082999999999</v>
      </c>
      <c r="AQ346" s="20">
        <f>AQ168</f>
        <v>90888.08</v>
      </c>
      <c r="AR346" s="20">
        <f t="shared" ref="AR346" si="1497">AR168</f>
        <v>92855.176999999996</v>
      </c>
      <c r="AS346" s="20">
        <f>AS168</f>
        <v>91021.782999999996</v>
      </c>
      <c r="AT346" s="20">
        <f>AT168</f>
        <v>93672.983000000007</v>
      </c>
      <c r="AU346" s="20">
        <f>AU168</f>
        <v>99718.322</v>
      </c>
      <c r="AV346" s="20">
        <f t="shared" ref="AV346" si="1498">AV168</f>
        <v>84054.474000000002</v>
      </c>
      <c r="AW346" s="20">
        <f>AW168</f>
        <v>92539.058000000005</v>
      </c>
      <c r="AX346" s="20">
        <f>AX168</f>
        <v>100480.014</v>
      </c>
      <c r="AY346" s="20">
        <f>AY168</f>
        <v>107281.719</v>
      </c>
      <c r="AZ346" s="20">
        <f t="shared" ref="AZ346" si="1499">AZ168</f>
        <v>109935.321</v>
      </c>
      <c r="BA346" s="20">
        <f>BA168</f>
        <v>128391.431</v>
      </c>
      <c r="BB346" s="20">
        <f>BB168</f>
        <v>135495.318</v>
      </c>
      <c r="BC346" s="20">
        <f>BC168</f>
        <v>145635.51</v>
      </c>
      <c r="BD346" s="20">
        <f t="shared" ref="BD346" si="1500">BD168</f>
        <v>150905.55200000003</v>
      </c>
      <c r="BE346" s="20">
        <f>BE168</f>
        <v>161238.41900000002</v>
      </c>
      <c r="BF346" s="20">
        <f>BF168</f>
        <v>156935.11300000001</v>
      </c>
      <c r="BG346" s="20">
        <f>BG168</f>
        <v>156688.12400000001</v>
      </c>
      <c r="BH346" s="20">
        <f>BH168</f>
        <v>153663.092</v>
      </c>
      <c r="BI346" s="20">
        <f>BI168</f>
        <v>157325.14000000001</v>
      </c>
      <c r="BJ346" s="44"/>
      <c r="BK346" s="44"/>
      <c r="BL346" s="44"/>
      <c r="BM346" s="44"/>
      <c r="BN346" s="44"/>
      <c r="BO346" s="44"/>
      <c r="BP346" s="44"/>
      <c r="BQ346" s="44"/>
      <c r="BR346" s="44"/>
      <c r="BS346" s="44"/>
      <c r="BT346" s="44"/>
      <c r="BU346" s="44"/>
      <c r="BV346" s="44"/>
      <c r="BW346" s="44"/>
      <c r="BX346" s="44"/>
      <c r="BY346" s="44"/>
      <c r="BZ346" s="44"/>
      <c r="CA346" s="44"/>
      <c r="CB346" s="44"/>
      <c r="CC346" s="44"/>
      <c r="CD346" s="44"/>
      <c r="CE346" s="44"/>
      <c r="CF346" s="44"/>
      <c r="CG346" s="46"/>
      <c r="CH346" s="44"/>
      <c r="CI346" s="44"/>
    </row>
    <row r="347" spans="2:87" ht="13.5" customHeight="1">
      <c r="B347" s="1" t="s">
        <v>417</v>
      </c>
      <c r="C347" s="20">
        <f t="shared" ref="C347:G347" si="1501">C179</f>
        <v>90084</v>
      </c>
      <c r="D347" s="20">
        <f t="shared" si="1501"/>
        <v>100849</v>
      </c>
      <c r="E347" s="20">
        <f t="shared" si="1501"/>
        <v>121389</v>
      </c>
      <c r="F347" s="20">
        <f t="shared" si="1501"/>
        <v>140344.54499999998</v>
      </c>
      <c r="G347" s="20">
        <f t="shared" si="1501"/>
        <v>148874.80099999998</v>
      </c>
      <c r="H347" s="20">
        <f t="shared" ref="H347:N347" si="1502">H179</f>
        <v>148830.63500000001</v>
      </c>
      <c r="I347" s="20">
        <f t="shared" si="1502"/>
        <v>120943.283</v>
      </c>
      <c r="J347" s="20">
        <f t="shared" si="1502"/>
        <v>120943.283</v>
      </c>
      <c r="K347" s="20">
        <f t="shared" si="1502"/>
        <v>123312.68599999999</v>
      </c>
      <c r="L347" s="20">
        <f t="shared" si="1502"/>
        <v>132871.269</v>
      </c>
      <c r="M347" s="20">
        <f t="shared" ref="M347" si="1503">M179</f>
        <v>132871.269</v>
      </c>
      <c r="N347" s="20">
        <f t="shared" si="1502"/>
        <v>121305.678</v>
      </c>
      <c r="O347" s="20">
        <f t="shared" ref="O347" si="1504">O179</f>
        <v>121305.678</v>
      </c>
      <c r="P347" s="20">
        <f>P179</f>
        <v>136749.69399999999</v>
      </c>
      <c r="Q347" s="20">
        <f>Q179</f>
        <v>186706.12400000001</v>
      </c>
      <c r="R347" s="20">
        <f>R179</f>
        <v>188452.927</v>
      </c>
      <c r="S347" s="20">
        <f t="shared" ref="S347" si="1505">S179</f>
        <v>191782.30100000001</v>
      </c>
      <c r="U347" s="20"/>
      <c r="V347" s="20"/>
      <c r="W347" s="20"/>
      <c r="X347" s="20">
        <f t="shared" ref="X347:AH347" si="1506">X179</f>
        <v>121389</v>
      </c>
      <c r="Y347" s="20">
        <f t="shared" si="1506"/>
        <v>118108.95199999999</v>
      </c>
      <c r="Z347" s="20">
        <f t="shared" si="1506"/>
        <v>115401.90399999999</v>
      </c>
      <c r="AA347" s="20">
        <f t="shared" si="1506"/>
        <v>119801.856</v>
      </c>
      <c r="AB347" s="20">
        <f t="shared" si="1506"/>
        <v>140344.54499999998</v>
      </c>
      <c r="AC347" s="20">
        <f t="shared" si="1506"/>
        <v>136526.14500000002</v>
      </c>
      <c r="AD347" s="20">
        <f t="shared" si="1506"/>
        <v>149928.5</v>
      </c>
      <c r="AE347" s="20">
        <f t="shared" si="1506"/>
        <v>145929.91500000001</v>
      </c>
      <c r="AF347" s="20">
        <f t="shared" si="1506"/>
        <v>148874.80099999998</v>
      </c>
      <c r="AG347" s="20">
        <f t="shared" si="1506"/>
        <v>121155.40400000001</v>
      </c>
      <c r="AH347" s="20">
        <f t="shared" si="1506"/>
        <v>120011.42200000001</v>
      </c>
      <c r="AI347" s="20">
        <f t="shared" ref="AI347:AN347" si="1507">AI179</f>
        <v>133703.16999999998</v>
      </c>
      <c r="AJ347" s="20">
        <f t="shared" si="1507"/>
        <v>120943.283</v>
      </c>
      <c r="AK347" s="20">
        <f t="shared" si="1507"/>
        <v>159744.98800000001</v>
      </c>
      <c r="AL347" s="20">
        <f t="shared" si="1507"/>
        <v>142186.19999999998</v>
      </c>
      <c r="AM347" s="20">
        <f t="shared" si="1507"/>
        <v>136253.514</v>
      </c>
      <c r="AN347" s="20">
        <f t="shared" si="1507"/>
        <v>123312.68599999999</v>
      </c>
      <c r="AO347" s="20">
        <f>AO179</f>
        <v>126746.539</v>
      </c>
      <c r="AP347" s="20">
        <f>AP179</f>
        <v>125938.777</v>
      </c>
      <c r="AQ347" s="20">
        <f>AQ179</f>
        <v>129043.45300000001</v>
      </c>
      <c r="AR347" s="20">
        <f t="shared" ref="AR347" si="1508">AR179</f>
        <v>132871.269</v>
      </c>
      <c r="AS347" s="20">
        <f>AS179</f>
        <v>130431.841</v>
      </c>
      <c r="AT347" s="20">
        <f>AT179</f>
        <v>132580.66399999999</v>
      </c>
      <c r="AU347" s="20">
        <f>AU179</f>
        <v>138659.05100000001</v>
      </c>
      <c r="AV347" s="20">
        <f t="shared" ref="AV347" si="1509">AV179</f>
        <v>121305.678</v>
      </c>
      <c r="AW347" s="20">
        <f>AW179</f>
        <v>128272.201</v>
      </c>
      <c r="AX347" s="20">
        <f>AX179</f>
        <v>127001.372</v>
      </c>
      <c r="AY347" s="20">
        <f>AY179</f>
        <v>134581.05900000001</v>
      </c>
      <c r="AZ347" s="20">
        <f t="shared" ref="AZ347" si="1510">AZ179</f>
        <v>136749.69399999999</v>
      </c>
      <c r="BA347" s="20">
        <f>BA179</f>
        <v>155349.29800000001</v>
      </c>
      <c r="BB347" s="20">
        <f>BB179</f>
        <v>165675.606</v>
      </c>
      <c r="BC347" s="20">
        <f>BC179</f>
        <v>178924.18800000002</v>
      </c>
      <c r="BD347" s="20">
        <f t="shared" ref="BD347" si="1511">BD179</f>
        <v>186706.12400000001</v>
      </c>
      <c r="BE347" s="20">
        <f>BE179</f>
        <v>197711.77100000001</v>
      </c>
      <c r="BF347" s="20">
        <f>BF179</f>
        <v>192741.06200000001</v>
      </c>
      <c r="BG347" s="20">
        <f>BG179</f>
        <v>193089.99900000001</v>
      </c>
      <c r="BH347" s="20">
        <f>BH179</f>
        <v>188452.927</v>
      </c>
      <c r="BI347" s="20">
        <f>BI179</f>
        <v>191782.30100000001</v>
      </c>
      <c r="BJ347" s="44"/>
      <c r="BK347" s="44"/>
      <c r="BL347" s="44"/>
      <c r="BM347" s="44"/>
      <c r="BN347" s="44"/>
      <c r="BO347" s="44"/>
      <c r="BP347" s="44"/>
      <c r="BQ347" s="44"/>
      <c r="BR347" s="44"/>
      <c r="BS347" s="44"/>
      <c r="BT347" s="44"/>
      <c r="BU347" s="44"/>
      <c r="BV347" s="44"/>
      <c r="BW347" s="44"/>
      <c r="BX347" s="44"/>
      <c r="BY347" s="44"/>
      <c r="BZ347" s="44"/>
      <c r="CA347" s="44"/>
      <c r="CB347" s="44"/>
      <c r="CC347" s="44"/>
      <c r="CD347" s="44"/>
      <c r="CE347" s="44"/>
      <c r="CF347" s="44"/>
      <c r="CG347" s="46"/>
      <c r="CH347" s="44"/>
      <c r="CI347" s="44"/>
    </row>
    <row r="348" spans="2:87" ht="13.5" customHeight="1">
      <c r="B348" s="1" t="s">
        <v>406</v>
      </c>
      <c r="C348" s="20">
        <f t="shared" ref="C348:G348" si="1512">C167</f>
        <v>59632</v>
      </c>
      <c r="D348" s="20">
        <f t="shared" si="1512"/>
        <v>63936</v>
      </c>
      <c r="E348" s="20">
        <f t="shared" si="1512"/>
        <v>75686.73</v>
      </c>
      <c r="F348" s="20">
        <f t="shared" si="1512"/>
        <v>87096.530999999988</v>
      </c>
      <c r="G348" s="20">
        <f t="shared" si="1512"/>
        <v>82261.985000000001</v>
      </c>
      <c r="H348" s="20">
        <f t="shared" ref="H348:N348" si="1513">H167</f>
        <v>82261.985000000001</v>
      </c>
      <c r="I348" s="20">
        <f t="shared" si="1513"/>
        <v>80420.491999999998</v>
      </c>
      <c r="J348" s="20">
        <f t="shared" si="1513"/>
        <v>80420.491999999998</v>
      </c>
      <c r="K348" s="20">
        <f t="shared" si="1513"/>
        <v>75961.206999999995</v>
      </c>
      <c r="L348" s="20">
        <f t="shared" si="1513"/>
        <v>84107.712</v>
      </c>
      <c r="M348" s="20">
        <f t="shared" ref="M348" si="1514">M167</f>
        <v>84107.712</v>
      </c>
      <c r="N348" s="20">
        <f t="shared" si="1513"/>
        <v>71741.335999999996</v>
      </c>
      <c r="O348" s="20">
        <f t="shared" ref="O348" si="1515">O167</f>
        <v>71741.335999999996</v>
      </c>
      <c r="P348" s="20">
        <f>P167</f>
        <v>103582.197</v>
      </c>
      <c r="Q348" s="20">
        <f>Q167</f>
        <v>142848.50900000002</v>
      </c>
      <c r="R348" s="20">
        <f>R167</f>
        <v>145128.05300000001</v>
      </c>
      <c r="S348" s="20">
        <f t="shared" ref="S348" si="1516">S167</f>
        <v>137751.18300000002</v>
      </c>
      <c r="U348" s="20"/>
      <c r="V348" s="20"/>
      <c r="W348" s="20"/>
      <c r="X348" s="20">
        <f t="shared" ref="X348:AH348" si="1517">X167</f>
        <v>75686.73</v>
      </c>
      <c r="Y348" s="20">
        <f t="shared" si="1517"/>
        <v>69651</v>
      </c>
      <c r="Z348" s="20">
        <f t="shared" si="1517"/>
        <v>67313</v>
      </c>
      <c r="AA348" s="20">
        <f t="shared" si="1517"/>
        <v>69871</v>
      </c>
      <c r="AB348" s="20">
        <f t="shared" si="1517"/>
        <v>87096.530999999988</v>
      </c>
      <c r="AC348" s="20">
        <f t="shared" si="1517"/>
        <v>84523.865000000005</v>
      </c>
      <c r="AD348" s="20">
        <f t="shared" si="1517"/>
        <v>84655.418999999994</v>
      </c>
      <c r="AE348" s="20">
        <f t="shared" si="1517"/>
        <v>79961.395000000004</v>
      </c>
      <c r="AF348" s="20">
        <f t="shared" si="1517"/>
        <v>82261.985000000001</v>
      </c>
      <c r="AG348" s="20">
        <f t="shared" si="1517"/>
        <v>82902.271000000008</v>
      </c>
      <c r="AH348" s="20">
        <f t="shared" si="1517"/>
        <v>83425.841</v>
      </c>
      <c r="AI348" s="20">
        <f t="shared" ref="AI348:AN348" si="1518">AI167</f>
        <v>84892.054999999993</v>
      </c>
      <c r="AJ348" s="20">
        <f t="shared" si="1518"/>
        <v>80420.491999999998</v>
      </c>
      <c r="AK348" s="20">
        <f t="shared" si="1518"/>
        <v>94693.752999999997</v>
      </c>
      <c r="AL348" s="20">
        <f t="shared" si="1518"/>
        <v>92856.750999999989</v>
      </c>
      <c r="AM348" s="20">
        <f t="shared" si="1518"/>
        <v>84639.724000000002</v>
      </c>
      <c r="AN348" s="20">
        <f t="shared" si="1518"/>
        <v>75961.206999999995</v>
      </c>
      <c r="AO348" s="20">
        <f>AO167</f>
        <v>76753.804000000004</v>
      </c>
      <c r="AP348" s="20">
        <f>AP167</f>
        <v>76548.736999999994</v>
      </c>
      <c r="AQ348" s="20">
        <f>AQ167</f>
        <v>79734.562000000005</v>
      </c>
      <c r="AR348" s="20">
        <f t="shared" ref="AR348" si="1519">AR167</f>
        <v>84107.712</v>
      </c>
      <c r="AS348" s="20">
        <f>AS167</f>
        <v>81922.910999999993</v>
      </c>
      <c r="AT348" s="20">
        <f>AT167</f>
        <v>86900.307000000001</v>
      </c>
      <c r="AU348" s="20">
        <f>AU167</f>
        <v>92391.284</v>
      </c>
      <c r="AV348" s="20">
        <f t="shared" ref="AV348" si="1520">AV167</f>
        <v>71741.335999999996</v>
      </c>
      <c r="AW348" s="20">
        <f>AW167</f>
        <v>86557.895000000004</v>
      </c>
      <c r="AX348" s="20">
        <f>AX167</f>
        <v>93994.226999999999</v>
      </c>
      <c r="AY348" s="20">
        <f>AY167</f>
        <v>101032.43</v>
      </c>
      <c r="AZ348" s="20">
        <f t="shared" ref="AZ348" si="1521">AZ167</f>
        <v>103582.197</v>
      </c>
      <c r="BA348" s="20">
        <f>BA167</f>
        <v>110823.81899999999</v>
      </c>
      <c r="BB348" s="20">
        <f>BB167</f>
        <v>127879.698</v>
      </c>
      <c r="BC348" s="20">
        <f>BC167</f>
        <v>137201.193</v>
      </c>
      <c r="BD348" s="20">
        <f t="shared" ref="BD348" si="1522">BD167</f>
        <v>142848.50900000002</v>
      </c>
      <c r="BE348" s="20">
        <f>BE167</f>
        <v>143459.47400000002</v>
      </c>
      <c r="BF348" s="20">
        <f>BF167</f>
        <v>149441.34100000001</v>
      </c>
      <c r="BG348" s="20">
        <f>BG167</f>
        <v>143071.36500000002</v>
      </c>
      <c r="BH348" s="20">
        <f>BH167</f>
        <v>145128.05300000001</v>
      </c>
      <c r="BI348" s="20">
        <f>BI167</f>
        <v>137751.18300000002</v>
      </c>
      <c r="BJ348" s="44"/>
      <c r="BK348" s="44"/>
      <c r="BL348" s="44"/>
      <c r="BM348" s="44"/>
      <c r="BN348" s="44"/>
      <c r="BO348" s="44"/>
      <c r="BP348" s="44"/>
      <c r="BQ348" s="44"/>
      <c r="BR348" s="44"/>
      <c r="BS348" s="44"/>
      <c r="BT348" s="44"/>
      <c r="BU348" s="44"/>
      <c r="BV348" s="44"/>
      <c r="BW348" s="44"/>
      <c r="BX348" s="44"/>
      <c r="BY348" s="44"/>
      <c r="BZ348" s="44"/>
      <c r="CA348" s="44"/>
      <c r="CB348" s="44"/>
      <c r="CC348" s="44"/>
      <c r="CD348" s="44"/>
      <c r="CE348" s="44"/>
      <c r="CF348" s="44"/>
      <c r="CG348" s="46"/>
      <c r="CH348" s="44"/>
      <c r="CI348" s="44"/>
    </row>
    <row r="349" spans="2:87" ht="13.5" customHeight="1">
      <c r="B349" s="1" t="s">
        <v>418</v>
      </c>
      <c r="C349" s="20">
        <f t="shared" ref="C349:G349" si="1523">C178</f>
        <v>87512</v>
      </c>
      <c r="D349" s="20">
        <f t="shared" si="1523"/>
        <v>97024</v>
      </c>
      <c r="E349" s="20">
        <f t="shared" si="1523"/>
        <v>114574.73</v>
      </c>
      <c r="F349" s="20">
        <f t="shared" si="1523"/>
        <v>133128.33899999998</v>
      </c>
      <c r="G349" s="20">
        <f t="shared" si="1523"/>
        <v>141290.984</v>
      </c>
      <c r="H349" s="20">
        <f t="shared" ref="H349:N349" si="1524">H178</f>
        <v>141246.818</v>
      </c>
      <c r="I349" s="20">
        <f t="shared" si="1524"/>
        <v>114691.99799999999</v>
      </c>
      <c r="J349" s="20">
        <f t="shared" si="1524"/>
        <v>114691.99799999999</v>
      </c>
      <c r="K349" s="20">
        <f t="shared" si="1524"/>
        <v>114045.14199999999</v>
      </c>
      <c r="L349" s="20">
        <f t="shared" si="1524"/>
        <v>124123.804</v>
      </c>
      <c r="M349" s="20">
        <f t="shared" ref="M349" si="1525">M178</f>
        <v>124123.804</v>
      </c>
      <c r="N349" s="20">
        <f t="shared" si="1524"/>
        <v>108992.54</v>
      </c>
      <c r="O349" s="20">
        <f t="shared" ref="O349" si="1526">O178</f>
        <v>108992.54</v>
      </c>
      <c r="P349" s="20">
        <f>P178</f>
        <v>130396.57</v>
      </c>
      <c r="Q349" s="20">
        <f>Q178</f>
        <v>178649.08100000001</v>
      </c>
      <c r="R349" s="20">
        <f>R178</f>
        <v>179917.88800000001</v>
      </c>
      <c r="S349" s="20">
        <f t="shared" ref="S349" si="1527">S178</f>
        <v>172208.34400000001</v>
      </c>
      <c r="U349" s="20"/>
      <c r="V349" s="20"/>
      <c r="W349" s="20"/>
      <c r="X349" s="20">
        <f t="shared" ref="X349:AH349" si="1528">X178</f>
        <v>114574.73</v>
      </c>
      <c r="Y349" s="20">
        <f t="shared" si="1528"/>
        <v>110324.95199999999</v>
      </c>
      <c r="Z349" s="20">
        <f t="shared" si="1528"/>
        <v>109772.90399999999</v>
      </c>
      <c r="AA349" s="20">
        <f t="shared" si="1528"/>
        <v>114116.856</v>
      </c>
      <c r="AB349" s="20">
        <f t="shared" si="1528"/>
        <v>133128.33899999998</v>
      </c>
      <c r="AC349" s="20">
        <f t="shared" si="1528"/>
        <v>131509.41500000001</v>
      </c>
      <c r="AD349" s="20">
        <f t="shared" si="1528"/>
        <v>141852.427</v>
      </c>
      <c r="AE349" s="20">
        <f t="shared" si="1528"/>
        <v>137956.19900000002</v>
      </c>
      <c r="AF349" s="20">
        <f t="shared" si="1528"/>
        <v>141290.984</v>
      </c>
      <c r="AG349" s="20">
        <f t="shared" si="1528"/>
        <v>114050.50600000001</v>
      </c>
      <c r="AH349" s="20">
        <f t="shared" si="1528"/>
        <v>114322.61500000001</v>
      </c>
      <c r="AI349" s="20">
        <f t="shared" ref="AI349:AN349" si="1529">AI178</f>
        <v>116642.976</v>
      </c>
      <c r="AJ349" s="20">
        <f t="shared" si="1529"/>
        <v>114691.99799999999</v>
      </c>
      <c r="AK349" s="20">
        <f t="shared" si="1529"/>
        <v>134302.16899999999</v>
      </c>
      <c r="AL349" s="20">
        <f t="shared" si="1529"/>
        <v>131850.09</v>
      </c>
      <c r="AM349" s="20">
        <f t="shared" si="1529"/>
        <v>124221.77100000001</v>
      </c>
      <c r="AN349" s="20">
        <f t="shared" si="1529"/>
        <v>114045.14199999999</v>
      </c>
      <c r="AO349" s="20">
        <f>AO178</f>
        <v>115428.71</v>
      </c>
      <c r="AP349" s="20">
        <f>AP178</f>
        <v>114025.43099999998</v>
      </c>
      <c r="AQ349" s="20">
        <f>AQ178</f>
        <v>117889.93500000001</v>
      </c>
      <c r="AR349" s="20">
        <f t="shared" ref="AR349" si="1530">AR178</f>
        <v>124123.804</v>
      </c>
      <c r="AS349" s="20">
        <f>AS178</f>
        <v>121332.969</v>
      </c>
      <c r="AT349" s="20">
        <f>AT178</f>
        <v>125807.988</v>
      </c>
      <c r="AU349" s="20">
        <f>AU178</f>
        <v>131332.01300000001</v>
      </c>
      <c r="AV349" s="20">
        <f t="shared" ref="AV349" si="1531">AV178</f>
        <v>108992.54</v>
      </c>
      <c r="AW349" s="20">
        <f>AW178</f>
        <v>122291.038</v>
      </c>
      <c r="AX349" s="20">
        <f>AX178</f>
        <v>120515.58499999999</v>
      </c>
      <c r="AY349" s="20">
        <f>AY178</f>
        <v>128331.76999999999</v>
      </c>
      <c r="AZ349" s="20">
        <f t="shared" ref="AZ349" si="1532">AZ178</f>
        <v>130396.57</v>
      </c>
      <c r="BA349" s="20">
        <f>BA178</f>
        <v>137781.68599999999</v>
      </c>
      <c r="BB349" s="20">
        <f>BB178</f>
        <v>158059.986</v>
      </c>
      <c r="BC349" s="20">
        <f>BC178</f>
        <v>170489.87099999998</v>
      </c>
      <c r="BD349" s="20">
        <f t="shared" ref="BD349" si="1533">BD178</f>
        <v>178649.08100000001</v>
      </c>
      <c r="BE349" s="20">
        <f>BE178</f>
        <v>179932.826</v>
      </c>
      <c r="BF349" s="20">
        <f>BF178</f>
        <v>185247.29</v>
      </c>
      <c r="BG349" s="20">
        <f>BG178</f>
        <v>179473.24000000002</v>
      </c>
      <c r="BH349" s="20">
        <f>BH178</f>
        <v>179917.88800000001</v>
      </c>
      <c r="BI349" s="20">
        <f>BI178</f>
        <v>172208.34400000001</v>
      </c>
      <c r="BJ349" s="44"/>
      <c r="BK349" s="44"/>
      <c r="BL349" s="44"/>
      <c r="BM349" s="44"/>
      <c r="BN349" s="44"/>
      <c r="BO349" s="44"/>
      <c r="BP349" s="44"/>
      <c r="BQ349" s="44"/>
      <c r="BR349" s="44"/>
      <c r="BS349" s="44"/>
      <c r="BT349" s="44"/>
      <c r="BU349" s="44"/>
      <c r="BV349" s="44"/>
      <c r="BW349" s="44"/>
      <c r="BX349" s="44"/>
      <c r="BY349" s="44"/>
      <c r="BZ349" s="44"/>
      <c r="CA349" s="44"/>
      <c r="CB349" s="44"/>
      <c r="CC349" s="44"/>
      <c r="CD349" s="44"/>
      <c r="CE349" s="44"/>
      <c r="CF349" s="44"/>
      <c r="CG349" s="46"/>
      <c r="CH349" s="44"/>
      <c r="CI349" s="44"/>
    </row>
    <row r="350" spans="2:87" ht="13.5" customHeight="1">
      <c r="B350" s="1" t="s">
        <v>419</v>
      </c>
      <c r="C350" s="44">
        <f t="shared" ref="C350:I350" si="1534">C193</f>
        <v>3.3769815418023885</v>
      </c>
      <c r="D350" s="44">
        <f t="shared" si="1534"/>
        <v>2.8996105952330011</v>
      </c>
      <c r="E350" s="44">
        <f t="shared" si="1534"/>
        <v>2.8159260017748653</v>
      </c>
      <c r="F350" s="44">
        <f t="shared" si="1534"/>
        <v>3.4561982189973612</v>
      </c>
      <c r="G350" s="44">
        <f t="shared" si="1534"/>
        <v>2.8338054565525943</v>
      </c>
      <c r="H350" s="44">
        <f t="shared" si="1534"/>
        <v>2.8342524290220821</v>
      </c>
      <c r="I350" s="44">
        <f t="shared" si="1534"/>
        <v>2.5929449231137438</v>
      </c>
      <c r="J350" s="44">
        <f t="shared" ref="J350:N350" si="1535">J193</f>
        <v>2.288484593245848</v>
      </c>
      <c r="K350" s="44">
        <f t="shared" si="1535"/>
        <v>1.8858838979487971</v>
      </c>
      <c r="L350" s="44">
        <f t="shared" si="1535"/>
        <v>1.8881446378461912</v>
      </c>
      <c r="M350" s="44">
        <f t="shared" si="1535"/>
        <v>1.960127860339441</v>
      </c>
      <c r="N350" s="44">
        <f t="shared" si="1535"/>
        <v>1.5727284872298626</v>
      </c>
      <c r="O350" s="44">
        <f t="shared" ref="O350" si="1536">O193</f>
        <v>1.5727284872298626</v>
      </c>
      <c r="P350" s="44">
        <f>P193</f>
        <v>2.0009340941356339</v>
      </c>
      <c r="Q350" s="44">
        <f>Q193</f>
        <v>2.7202933266034544</v>
      </c>
      <c r="R350" s="44">
        <f>R193</f>
        <v>2.5844841899892357</v>
      </c>
      <c r="S350" s="44">
        <f t="shared" ref="S350" si="1537">S193</f>
        <v>2.5929153687680264</v>
      </c>
      <c r="U350" s="44"/>
      <c r="V350" s="44"/>
      <c r="W350" s="44"/>
      <c r="X350" s="44">
        <f t="shared" ref="X350:AH350" si="1538">X193</f>
        <v>2.8159260017748653</v>
      </c>
      <c r="Y350" s="44">
        <f t="shared" si="1538"/>
        <v>2.6420212221501926</v>
      </c>
      <c r="Z350" s="44">
        <f t="shared" si="1538"/>
        <v>2.4880444793123444</v>
      </c>
      <c r="AA350" s="44">
        <f t="shared" si="1538"/>
        <v>2.6605162153596957</v>
      </c>
      <c r="AB350" s="44">
        <f t="shared" si="1538"/>
        <v>3.4561982189973612</v>
      </c>
      <c r="AC350" s="44">
        <f t="shared" si="1538"/>
        <v>3.1983352978997002</v>
      </c>
      <c r="AD350" s="44">
        <f t="shared" si="1538"/>
        <v>3.2446288313505947</v>
      </c>
      <c r="AE350" s="44">
        <f t="shared" si="1538"/>
        <v>2.9529235703012193</v>
      </c>
      <c r="AF350" s="44">
        <f t="shared" si="1538"/>
        <v>2.8338054565525943</v>
      </c>
      <c r="AG350" s="44">
        <f t="shared" si="1538"/>
        <v>2.8010820340459968</v>
      </c>
      <c r="AH350" s="44">
        <f t="shared" si="1538"/>
        <v>2.7522359554031937</v>
      </c>
      <c r="AI350" s="44">
        <f>AI193</f>
        <v>3.0696489025381628</v>
      </c>
      <c r="AJ350" s="44">
        <f>AJ193</f>
        <v>2.5929449231137438</v>
      </c>
      <c r="AK350" s="248"/>
      <c r="AL350" s="248"/>
      <c r="AM350" s="248"/>
      <c r="AN350" s="248"/>
      <c r="AO350" s="248"/>
      <c r="AP350" s="248"/>
      <c r="AQ350" s="248"/>
      <c r="AR350" s="248"/>
      <c r="AS350" s="44">
        <f t="shared" ref="AS350:AW350" si="1539">AS193</f>
        <v>7.6508181054047233</v>
      </c>
      <c r="AT350" s="44">
        <f t="shared" si="1539"/>
        <v>3.7636298364739447</v>
      </c>
      <c r="AU350" s="44">
        <f t="shared" si="1539"/>
        <v>2.5313073564502209</v>
      </c>
      <c r="AV350" s="44">
        <f t="shared" si="1539"/>
        <v>1.5727284872298626</v>
      </c>
      <c r="AW350" s="44">
        <f t="shared" si="1539"/>
        <v>1.7009292895873542</v>
      </c>
      <c r="AX350" s="44">
        <f t="shared" ref="AX350:BA350" si="1540">AX193</f>
        <v>1.8132277181268608</v>
      </c>
      <c r="AY350" s="44">
        <f t="shared" si="1540"/>
        <v>1.9372974158946854</v>
      </c>
      <c r="AZ350" s="44">
        <f t="shared" si="1540"/>
        <v>2.0009340941356339</v>
      </c>
      <c r="BA350" s="44">
        <f t="shared" si="1540"/>
        <v>2.3795138906907352</v>
      </c>
      <c r="BB350" s="44">
        <f t="shared" ref="BB350:BE350" si="1541">BB193</f>
        <v>2.5134547377012688</v>
      </c>
      <c r="BC350" s="44">
        <f t="shared" si="1541"/>
        <v>2.6440244367386216</v>
      </c>
      <c r="BD350" s="44">
        <f t="shared" si="1541"/>
        <v>2.7202933266034544</v>
      </c>
      <c r="BE350" s="44">
        <f t="shared" si="1541"/>
        <v>2.8578744571864094</v>
      </c>
      <c r="BF350" s="44">
        <f t="shared" ref="BF350:BG350" si="1542">BF193</f>
        <v>2.7358247127939617</v>
      </c>
      <c r="BG350" s="44">
        <f t="shared" si="1542"/>
        <v>2.7250582444912088</v>
      </c>
      <c r="BH350" s="44">
        <f t="shared" ref="BH350:BI350" si="1543">BH193</f>
        <v>2.5844841899892357</v>
      </c>
      <c r="BI350" s="44">
        <f t="shared" si="1543"/>
        <v>2.5929153687680264</v>
      </c>
      <c r="BJ350" s="44"/>
      <c r="BK350" s="44"/>
      <c r="BL350" s="44"/>
      <c r="BM350" s="44"/>
      <c r="BN350" s="44"/>
      <c r="BO350" s="44"/>
      <c r="BP350" s="44"/>
      <c r="BQ350" s="44"/>
      <c r="BR350" s="44"/>
      <c r="BS350" s="44"/>
      <c r="BT350" s="44"/>
      <c r="BU350" s="44"/>
      <c r="BV350" s="44"/>
      <c r="BW350" s="44"/>
      <c r="BX350" s="44"/>
      <c r="BY350" s="44"/>
      <c r="BZ350" s="44"/>
      <c r="CA350" s="44"/>
      <c r="CB350" s="44"/>
      <c r="CC350" s="44"/>
      <c r="CD350" s="44"/>
      <c r="CE350" s="44"/>
      <c r="CF350" s="44"/>
      <c r="CG350" s="46"/>
      <c r="CH350" s="44"/>
      <c r="CI350" s="44"/>
    </row>
    <row r="351" spans="2:87" ht="13.5" customHeight="1">
      <c r="B351" s="5" t="s">
        <v>420</v>
      </c>
      <c r="C351" s="43">
        <f t="shared" ref="C351:I351" si="1544">C192</f>
        <v>3.2373507057546145</v>
      </c>
      <c r="D351" s="43">
        <f t="shared" si="1544"/>
        <v>2.7359322178955026</v>
      </c>
      <c r="E351" s="43">
        <f t="shared" si="1544"/>
        <v>2.583341183698546</v>
      </c>
      <c r="F351" s="43">
        <f t="shared" si="1544"/>
        <v>3.1917520888302544</v>
      </c>
      <c r="G351" s="43">
        <f t="shared" si="1544"/>
        <v>2.5946060558271564</v>
      </c>
      <c r="H351" s="43">
        <f t="shared" si="1544"/>
        <v>2.5950152996845426</v>
      </c>
      <c r="I351" s="43">
        <f t="shared" si="1544"/>
        <v>2.4059262849279004</v>
      </c>
      <c r="J351" s="43">
        <f t="shared" ref="J351:N351" si="1545">J192</f>
        <v>2.123425448208486</v>
      </c>
      <c r="K351" s="43">
        <f t="shared" si="1545"/>
        <v>1.6808179806607217</v>
      </c>
      <c r="L351" s="43">
        <f t="shared" si="1545"/>
        <v>1.7102710968319168</v>
      </c>
      <c r="M351" s="43">
        <f t="shared" si="1545"/>
        <v>1.7754731064763996</v>
      </c>
      <c r="N351" s="43">
        <f t="shared" si="1545"/>
        <v>1.3423395266161473</v>
      </c>
      <c r="O351" s="43">
        <f t="shared" ref="O351" si="1546">O192</f>
        <v>1.3423395266161473</v>
      </c>
      <c r="P351" s="43">
        <f>P192</f>
        <v>1.8853008081249318</v>
      </c>
      <c r="Q351" s="43">
        <f>Q192</f>
        <v>2.5750533403035658</v>
      </c>
      <c r="R351" s="43">
        <f>R192</f>
        <v>2.4409320001345534</v>
      </c>
      <c r="S351" s="43">
        <f t="shared" ref="S351" si="1547">S192</f>
        <v>2.2703120395550065</v>
      </c>
      <c r="U351" s="43"/>
      <c r="V351" s="43"/>
      <c r="W351" s="43"/>
      <c r="X351" s="43">
        <f t="shared" ref="X351:AH351" si="1548">X192</f>
        <v>2.583341183698546</v>
      </c>
      <c r="Y351" s="43">
        <f t="shared" si="1548"/>
        <v>2.3764372718277662</v>
      </c>
      <c r="Z351" s="43">
        <f t="shared" si="1548"/>
        <v>2.2960398403656583</v>
      </c>
      <c r="AA351" s="43">
        <f t="shared" si="1548"/>
        <v>2.4603331103207862</v>
      </c>
      <c r="AB351" s="43">
        <f t="shared" si="1548"/>
        <v>3.1917520888302544</v>
      </c>
      <c r="AC351" s="43">
        <f t="shared" si="1548"/>
        <v>3.0191407701100159</v>
      </c>
      <c r="AD351" s="43">
        <f t="shared" si="1548"/>
        <v>2.9620510496850945</v>
      </c>
      <c r="AE351" s="43">
        <f t="shared" si="1548"/>
        <v>2.6851605157997249</v>
      </c>
      <c r="AF351" s="43">
        <f t="shared" si="1548"/>
        <v>2.5946060558271564</v>
      </c>
      <c r="AG351" s="43">
        <f t="shared" si="1548"/>
        <v>2.5799729561509976</v>
      </c>
      <c r="AH351" s="43">
        <f t="shared" si="1548"/>
        <v>2.5765416164798172</v>
      </c>
      <c r="AI351" s="43">
        <f>AI192</f>
        <v>2.5559887694577421</v>
      </c>
      <c r="AJ351" s="43">
        <f>AJ192</f>
        <v>2.4059262849279004</v>
      </c>
      <c r="AK351" s="248"/>
      <c r="AL351" s="248"/>
      <c r="AM351" s="248"/>
      <c r="AN351" s="249"/>
      <c r="AO351" s="248"/>
      <c r="AP351" s="248"/>
      <c r="AQ351" s="248"/>
      <c r="AR351" s="249"/>
      <c r="AS351" s="43">
        <f t="shared" ref="AS351:AW351" si="1549">AS192</f>
        <v>6.8860142052618301</v>
      </c>
      <c r="AT351" s="43">
        <f t="shared" si="1549"/>
        <v>3.4915146048455141</v>
      </c>
      <c r="AU351" s="43">
        <f t="shared" si="1549"/>
        <v>2.3453136010559983</v>
      </c>
      <c r="AV351" s="43">
        <f t="shared" si="1549"/>
        <v>1.3423395266161473</v>
      </c>
      <c r="AW351" s="43">
        <f t="shared" si="1549"/>
        <v>1.5909915448947707</v>
      </c>
      <c r="AX351" s="43">
        <f t="shared" ref="AX351:BA351" si="1550">AX192</f>
        <v>1.6961874402237662</v>
      </c>
      <c r="AY351" s="43">
        <f t="shared" si="1550"/>
        <v>1.8244475143109955</v>
      </c>
      <c r="AZ351" s="43">
        <f t="shared" si="1550"/>
        <v>1.8853008081249318</v>
      </c>
      <c r="BA351" s="43">
        <f t="shared" si="1550"/>
        <v>2.053928480085994</v>
      </c>
      <c r="BB351" s="43">
        <f t="shared" ref="BB351:BE351" si="1551">BB192</f>
        <v>2.3721840543147588</v>
      </c>
      <c r="BC351" s="43">
        <f t="shared" si="1551"/>
        <v>2.4908987309598589</v>
      </c>
      <c r="BD351" s="43">
        <f t="shared" si="1551"/>
        <v>2.5750533403035658</v>
      </c>
      <c r="BE351" s="43">
        <f t="shared" si="1551"/>
        <v>2.5427510944894451</v>
      </c>
      <c r="BF351" s="43">
        <f t="shared" ref="BF351:BG351" si="1552">BF192</f>
        <v>2.6051869846416684</v>
      </c>
      <c r="BG351" s="43">
        <f t="shared" si="1552"/>
        <v>2.4882409259291469</v>
      </c>
      <c r="BH351" s="43">
        <f t="shared" ref="BH351:BI351" si="1553">BH192</f>
        <v>2.4409320001345534</v>
      </c>
      <c r="BI351" s="43">
        <f t="shared" si="1553"/>
        <v>2.2703120395550065</v>
      </c>
      <c r="BJ351" s="44"/>
      <c r="BK351" s="44"/>
      <c r="BL351" s="44"/>
      <c r="BM351" s="44"/>
      <c r="BN351" s="44"/>
      <c r="BO351" s="44"/>
      <c r="BP351" s="44"/>
      <c r="BQ351" s="44"/>
      <c r="BR351" s="44"/>
      <c r="BS351" s="44"/>
      <c r="BT351" s="44"/>
      <c r="BU351" s="44"/>
      <c r="BV351" s="44"/>
      <c r="BW351" s="44"/>
      <c r="BX351" s="44"/>
      <c r="BY351" s="44"/>
      <c r="BZ351" s="44"/>
      <c r="CA351" s="44"/>
      <c r="CB351" s="44"/>
      <c r="CC351" s="44"/>
      <c r="CD351" s="44"/>
      <c r="CE351" s="44"/>
      <c r="CF351" s="44"/>
      <c r="CG351" s="46"/>
      <c r="CH351" s="44"/>
      <c r="CI351" s="44"/>
    </row>
    <row r="352" spans="2:87" ht="13.5" customHeight="1">
      <c r="B352" s="1" t="s">
        <v>421</v>
      </c>
      <c r="C352" s="44">
        <f t="shared" ref="C352:G352" si="1554">C199</f>
        <v>4.1124857338507192</v>
      </c>
      <c r="D352" s="44">
        <f t="shared" si="1554"/>
        <v>3.6665697145973462</v>
      </c>
      <c r="E352" s="44">
        <f t="shared" si="1554"/>
        <v>3.5536461840217806</v>
      </c>
      <c r="F352" s="44">
        <f t="shared" si="1554"/>
        <v>4.2474622280459249</v>
      </c>
      <c r="G352" s="44">
        <f t="shared" si="1554"/>
        <v>3.9243832093692275</v>
      </c>
      <c r="H352" s="44">
        <f t="shared" ref="H352:N352" si="1555">H199</f>
        <v>3.9237361348666959</v>
      </c>
      <c r="I352" s="44">
        <f t="shared" si="1555"/>
        <v>3.1933906212869325</v>
      </c>
      <c r="J352" s="44">
        <f t="shared" si="1555"/>
        <v>3.1933906212869325</v>
      </c>
      <c r="K352" s="44">
        <f t="shared" si="1555"/>
        <v>2.728579337508021</v>
      </c>
      <c r="L352" s="44">
        <f t="shared" si="1555"/>
        <v>2.7018436902680061</v>
      </c>
      <c r="M352" s="44">
        <f t="shared" ref="M352" si="1556">M199</f>
        <v>2.8048482014692224</v>
      </c>
      <c r="N352" s="44">
        <f t="shared" si="1555"/>
        <v>2.2697292169520069</v>
      </c>
      <c r="O352" s="44">
        <f t="shared" ref="O352" si="1557">O199</f>
        <v>2.2697292169520069</v>
      </c>
      <c r="P352" s="44">
        <f>P199</f>
        <v>2.4889828182446943</v>
      </c>
      <c r="Q352" s="44">
        <f>Q199</f>
        <v>3.3656510076792734</v>
      </c>
      <c r="R352" s="44">
        <f>R199</f>
        <v>3.169620004709365</v>
      </c>
      <c r="S352" s="44">
        <f t="shared" ref="S352" si="1558">S199</f>
        <v>3.1608125422332098</v>
      </c>
      <c r="U352" s="44"/>
      <c r="V352" s="44"/>
      <c r="W352" s="44"/>
      <c r="X352" s="44">
        <f t="shared" ref="X352:AH352" si="1559">X199</f>
        <v>4.143252099119394</v>
      </c>
      <c r="Y352" s="44">
        <f t="shared" si="1559"/>
        <v>3.4340742036430179</v>
      </c>
      <c r="Z352" s="44">
        <f t="shared" si="1559"/>
        <v>3.3329562591654787</v>
      </c>
      <c r="AA352" s="44">
        <f t="shared" si="1559"/>
        <v>3.5308812931384197</v>
      </c>
      <c r="AB352" s="44">
        <f t="shared" si="1559"/>
        <v>4.2474622280459249</v>
      </c>
      <c r="AC352" s="44">
        <f t="shared" si="1559"/>
        <v>4.0309830227358159</v>
      </c>
      <c r="AD352" s="44">
        <f t="shared" si="1559"/>
        <v>4.3366514945016199</v>
      </c>
      <c r="AE352" s="44">
        <f t="shared" si="1559"/>
        <v>4.0659614514838855</v>
      </c>
      <c r="AF352" s="44">
        <f t="shared" si="1559"/>
        <v>3.9243832093692275</v>
      </c>
      <c r="AG352" s="44">
        <f t="shared" si="1559"/>
        <v>3.2002475346431654</v>
      </c>
      <c r="AH352" s="44">
        <f t="shared" si="1559"/>
        <v>3.1906540493449103</v>
      </c>
      <c r="AI352" s="44">
        <f t="shared" ref="AI352:AN352" si="1560">AI199</f>
        <v>3.5177905704886325</v>
      </c>
      <c r="AJ352" s="44">
        <f t="shared" si="1560"/>
        <v>3.1933906212869325</v>
      </c>
      <c r="AK352" s="44">
        <f t="shared" si="1560"/>
        <v>4.1185187820661566</v>
      </c>
      <c r="AL352" s="44">
        <f t="shared" si="1560"/>
        <v>3.438020165872766</v>
      </c>
      <c r="AM352" s="44">
        <f t="shared" si="1560"/>
        <v>3.1542355719147164</v>
      </c>
      <c r="AN352" s="44">
        <f t="shared" si="1560"/>
        <v>2.728579337508021</v>
      </c>
      <c r="AO352" s="44">
        <f>AO199</f>
        <v>2.6997793043218952</v>
      </c>
      <c r="AP352" s="44">
        <f>AP199</f>
        <v>2.6442172041656171</v>
      </c>
      <c r="AQ352" s="44">
        <f>AQ199</f>
        <v>2.6617324931416433</v>
      </c>
      <c r="AR352" s="44">
        <f t="shared" ref="AR352" si="1561">AR199</f>
        <v>2.8048482014692224</v>
      </c>
      <c r="AS352" s="44">
        <f>AS199</f>
        <v>2.6828994775382591</v>
      </c>
      <c r="AT352" s="44">
        <f>AT199</f>
        <v>2.6755865353567967</v>
      </c>
      <c r="AU352" s="44">
        <f>AU199</f>
        <v>2.7138030101381769</v>
      </c>
      <c r="AV352" s="44">
        <f t="shared" ref="AV352" si="1562">AV199</f>
        <v>2.2697292169520069</v>
      </c>
      <c r="AW352" s="44">
        <f>AW199</f>
        <v>2.357728168366878</v>
      </c>
      <c r="AX352" s="44">
        <f>AX199</f>
        <v>2.2918230082107733</v>
      </c>
      <c r="AY352" s="44">
        <f>AY199</f>
        <v>2.4302699496180726</v>
      </c>
      <c r="AZ352" s="44">
        <f t="shared" ref="AZ352" si="1563">AZ199</f>
        <v>2.4889828182446943</v>
      </c>
      <c r="BA352" s="44">
        <f>BA199</f>
        <v>2.8791314935967534</v>
      </c>
      <c r="BB352" s="44">
        <f>BB199</f>
        <v>3.0733027750983157</v>
      </c>
      <c r="BC352" s="44">
        <f>BC199</f>
        <v>3.2483830722027562</v>
      </c>
      <c r="BD352" s="44">
        <f t="shared" ref="BD352" si="1564">BD199</f>
        <v>3.3656510076792734</v>
      </c>
      <c r="BE352" s="44">
        <f>BE199</f>
        <v>3.5043473120757191</v>
      </c>
      <c r="BF352" s="44">
        <f>BF199</f>
        <v>3.3600240921848581</v>
      </c>
      <c r="BG352" s="44">
        <f>BG199</f>
        <v>3.358145341658116</v>
      </c>
      <c r="BH352" s="44">
        <f>BH199</f>
        <v>3.169620004709365</v>
      </c>
      <c r="BI352" s="44">
        <f>BI199</f>
        <v>3.1608125422332098</v>
      </c>
      <c r="BJ352" s="44"/>
      <c r="BK352" s="44"/>
      <c r="BL352" s="44"/>
      <c r="BM352" s="44"/>
      <c r="BN352" s="44"/>
      <c r="BO352" s="44"/>
      <c r="BP352" s="44"/>
      <c r="BQ352" s="44"/>
      <c r="BR352" s="44"/>
      <c r="BS352" s="44"/>
      <c r="BT352" s="44"/>
      <c r="BU352" s="44"/>
      <c r="BV352" s="44"/>
      <c r="BW352" s="44"/>
      <c r="BX352" s="44"/>
      <c r="BY352" s="44"/>
      <c r="BZ352" s="44"/>
      <c r="CA352" s="44"/>
      <c r="CB352" s="44"/>
      <c r="CC352" s="44"/>
      <c r="CD352" s="44"/>
      <c r="CE352" s="44"/>
      <c r="CF352" s="44"/>
      <c r="CG352" s="46"/>
      <c r="CH352" s="44"/>
      <c r="CI352" s="44"/>
    </row>
    <row r="353" spans="2:87" ht="13.5" customHeight="1">
      <c r="B353" s="5" t="s">
        <v>422</v>
      </c>
      <c r="C353" s="43">
        <f t="shared" ref="C353:G353" si="1565">C198</f>
        <v>3.9950696188084911</v>
      </c>
      <c r="D353" s="43">
        <f t="shared" si="1565"/>
        <v>3.5275040901654244</v>
      </c>
      <c r="E353" s="43">
        <f t="shared" si="1565"/>
        <v>3.3541593723469654</v>
      </c>
      <c r="F353" s="43">
        <f t="shared" si="1565"/>
        <v>4.0290671175355843</v>
      </c>
      <c r="G353" s="43">
        <f t="shared" si="1565"/>
        <v>3.7244715796117585</v>
      </c>
      <c r="H353" s="43">
        <f t="shared" ref="H353:N353" si="1566">H198</f>
        <v>3.7237981529914159</v>
      </c>
      <c r="I353" s="43">
        <f t="shared" si="1566"/>
        <v>3.0283314762495706</v>
      </c>
      <c r="J353" s="43">
        <f t="shared" si="1566"/>
        <v>3.0283314762495706</v>
      </c>
      <c r="K353" s="43">
        <f t="shared" si="1566"/>
        <v>2.5235134202199454</v>
      </c>
      <c r="L353" s="43">
        <f t="shared" si="1566"/>
        <v>2.5239701492537314</v>
      </c>
      <c r="M353" s="43">
        <f t="shared" ref="M353" si="1567">M198</f>
        <v>2.620193447606181</v>
      </c>
      <c r="N353" s="43">
        <f t="shared" si="1566"/>
        <v>2.0393402563382916</v>
      </c>
      <c r="O353" s="43">
        <f t="shared" ref="O353" si="1568">O198</f>
        <v>2.0393402563382916</v>
      </c>
      <c r="P353" s="43">
        <f>P198</f>
        <v>2.3733495322339921</v>
      </c>
      <c r="Q353" s="43">
        <f>Q198</f>
        <v>3.2204110213793848</v>
      </c>
      <c r="R353" s="43">
        <f>R198</f>
        <v>3.0260678148546827</v>
      </c>
      <c r="S353" s="43">
        <f t="shared" ref="S353" si="1569">S198</f>
        <v>2.8382092130201899</v>
      </c>
      <c r="U353" s="43"/>
      <c r="V353" s="43"/>
      <c r="W353" s="43"/>
      <c r="X353" s="43">
        <f t="shared" ref="X353:AH353" si="1570">X198</f>
        <v>3.9106672810430743</v>
      </c>
      <c r="Y353" s="43">
        <f t="shared" si="1570"/>
        <v>3.2077506849891795</v>
      </c>
      <c r="Z353" s="43">
        <f t="shared" si="1570"/>
        <v>3.1703834580889687</v>
      </c>
      <c r="AA353" s="43">
        <f t="shared" si="1570"/>
        <v>3.3633291297437897</v>
      </c>
      <c r="AB353" s="43">
        <f t="shared" si="1570"/>
        <v>4.0290671175355843</v>
      </c>
      <c r="AC353" s="43">
        <f t="shared" si="1570"/>
        <v>3.8828622839597409</v>
      </c>
      <c r="AD353" s="43">
        <f t="shared" si="1570"/>
        <v>4.1030527187841663</v>
      </c>
      <c r="AE353" s="43">
        <f t="shared" si="1570"/>
        <v>3.8437943798380187</v>
      </c>
      <c r="AF353" s="43">
        <f t="shared" si="1570"/>
        <v>3.7244715796117585</v>
      </c>
      <c r="AG353" s="43">
        <f t="shared" si="1570"/>
        <v>3.0125759033522397</v>
      </c>
      <c r="AH353" s="43">
        <f t="shared" si="1570"/>
        <v>3.0394099861715596</v>
      </c>
      <c r="AI353" s="43">
        <f t="shared" ref="AI353:AN353" si="1571">AI198</f>
        <v>3.0689291890875281</v>
      </c>
      <c r="AJ353" s="43">
        <f t="shared" si="1571"/>
        <v>3.0283314762495706</v>
      </c>
      <c r="AK353" s="43">
        <f t="shared" si="1571"/>
        <v>3.4625562430711319</v>
      </c>
      <c r="AL353" s="43">
        <f t="shared" si="1571"/>
        <v>3.1880960901419346</v>
      </c>
      <c r="AM353" s="43">
        <f t="shared" si="1571"/>
        <v>2.8757036599763874</v>
      </c>
      <c r="AN353" s="43">
        <f t="shared" si="1571"/>
        <v>2.5235134202199454</v>
      </c>
      <c r="AO353" s="43">
        <f>AO198</f>
        <v>2.4587025795045476</v>
      </c>
      <c r="AP353" s="43">
        <f>AP198</f>
        <v>2.3940839632149151</v>
      </c>
      <c r="AQ353" s="43">
        <f>AQ198</f>
        <v>2.4316729234132963</v>
      </c>
      <c r="AR353" s="43">
        <f t="shared" ref="AR353" si="1572">AR198</f>
        <v>2.620193447606181</v>
      </c>
      <c r="AS353" s="43">
        <f>AS198</f>
        <v>2.4957415048543687</v>
      </c>
      <c r="AT353" s="43">
        <f>AT198</f>
        <v>2.5389083790765254</v>
      </c>
      <c r="AU353" s="43">
        <f>AU198</f>
        <v>2.5703999099698596</v>
      </c>
      <c r="AV353" s="43">
        <f t="shared" ref="AV353" si="1573">AV198</f>
        <v>2.0393402563382916</v>
      </c>
      <c r="AW353" s="43">
        <f>AW198</f>
        <v>2.2477904236742945</v>
      </c>
      <c r="AX353" s="43">
        <f>AX198</f>
        <v>2.1747827303076783</v>
      </c>
      <c r="AY353" s="43">
        <f>AY198</f>
        <v>2.3174200480343825</v>
      </c>
      <c r="AZ353" s="43">
        <f t="shared" ref="AZ353" si="1574">AZ198</f>
        <v>2.3733495322339921</v>
      </c>
      <c r="BA353" s="43">
        <f>BA198</f>
        <v>2.5535460829920118</v>
      </c>
      <c r="BB353" s="43">
        <f>BB198</f>
        <v>2.9320320917118052</v>
      </c>
      <c r="BC353" s="43">
        <f>BC198</f>
        <v>3.0952573664239935</v>
      </c>
      <c r="BD353" s="43">
        <f t="shared" ref="BD353" si="1575">BD198</f>
        <v>3.2204110213793848</v>
      </c>
      <c r="BE353" s="43">
        <f>BE198</f>
        <v>3.1892239493787553</v>
      </c>
      <c r="BF353" s="43">
        <f>BF198</f>
        <v>3.2293863640325648</v>
      </c>
      <c r="BG353" s="43">
        <f>BG198</f>
        <v>3.1213280230960541</v>
      </c>
      <c r="BH353" s="43">
        <f>BH198</f>
        <v>3.0260678148546827</v>
      </c>
      <c r="BI353" s="43">
        <f>BI198</f>
        <v>2.8382092130201899</v>
      </c>
      <c r="BJ353" s="44"/>
      <c r="BK353" s="44"/>
      <c r="BL353" s="44"/>
      <c r="BM353" s="44"/>
      <c r="BN353" s="44"/>
      <c r="BO353" s="44"/>
      <c r="BP353" s="44"/>
      <c r="BQ353" s="44"/>
      <c r="BR353" s="44"/>
      <c r="BS353" s="44"/>
      <c r="BT353" s="44"/>
      <c r="BU353" s="44"/>
      <c r="BV353" s="44"/>
      <c r="BW353" s="44"/>
      <c r="BX353" s="44"/>
      <c r="BY353" s="44"/>
      <c r="BZ353" s="44"/>
      <c r="CA353" s="44"/>
      <c r="CB353" s="44"/>
      <c r="CC353" s="44"/>
      <c r="CD353" s="44"/>
      <c r="CE353" s="44"/>
      <c r="CF353" s="44"/>
      <c r="CG353" s="46"/>
      <c r="CH353" s="44"/>
      <c r="CI353" s="44"/>
    </row>
    <row r="354" spans="2:87" ht="13.5" customHeight="1">
      <c r="C354" s="134"/>
      <c r="D354" s="135"/>
      <c r="E354" s="135"/>
      <c r="F354" s="135"/>
      <c r="G354" s="135"/>
      <c r="H354" s="135"/>
      <c r="I354" s="135"/>
      <c r="J354" s="135"/>
      <c r="K354" s="135"/>
      <c r="L354" s="135"/>
      <c r="M354" s="135"/>
      <c r="N354" s="135"/>
      <c r="O354" s="135"/>
      <c r="P354" s="135"/>
      <c r="Q354" s="135"/>
      <c r="R354" s="135"/>
      <c r="S354" s="135"/>
      <c r="U354" s="135"/>
      <c r="V354" s="135"/>
      <c r="W354" s="135"/>
      <c r="X354" s="135"/>
      <c r="Y354" s="135"/>
      <c r="Z354" s="135"/>
      <c r="AA354" s="135"/>
      <c r="AB354" s="135"/>
      <c r="AC354" s="135"/>
      <c r="AD354" s="135"/>
      <c r="AE354" s="135"/>
      <c r="AF354" s="135"/>
      <c r="AG354" s="135"/>
      <c r="AH354" s="135"/>
      <c r="AI354" s="135"/>
      <c r="AJ354" s="135"/>
      <c r="AK354" s="135"/>
      <c r="AL354" s="135"/>
      <c r="AN354" s="135"/>
      <c r="AO354" s="135"/>
      <c r="AP354" s="135"/>
      <c r="AQ354" s="135"/>
      <c r="AR354" s="135"/>
      <c r="AS354" s="135"/>
      <c r="AT354" s="135"/>
      <c r="AU354" s="135"/>
      <c r="AV354" s="135"/>
      <c r="AW354" s="135"/>
      <c r="AX354" s="135"/>
      <c r="AY354" s="135"/>
      <c r="AZ354" s="135"/>
      <c r="BA354" s="135"/>
      <c r="BB354" s="135"/>
      <c r="BC354" s="135"/>
      <c r="BD354" s="135"/>
      <c r="BE354" s="135"/>
      <c r="BF354" s="135"/>
      <c r="BG354" s="135"/>
      <c r="BH354" s="135"/>
      <c r="BI354" s="135"/>
      <c r="BJ354" s="44"/>
      <c r="BK354" s="44"/>
      <c r="BL354" s="44"/>
      <c r="BM354" s="44"/>
      <c r="BN354" s="44"/>
      <c r="BO354" s="44"/>
      <c r="BP354" s="44"/>
      <c r="BQ354" s="44"/>
      <c r="BR354" s="44"/>
      <c r="BS354" s="44"/>
      <c r="BT354" s="44"/>
      <c r="BU354" s="44"/>
      <c r="BV354" s="44"/>
      <c r="BW354" s="44"/>
      <c r="BX354" s="44"/>
      <c r="BY354" s="44"/>
      <c r="BZ354" s="44"/>
      <c r="CA354" s="44"/>
      <c r="CB354" s="44"/>
      <c r="CC354" s="44"/>
      <c r="CD354" s="44"/>
      <c r="CE354" s="44"/>
      <c r="CF354" s="44"/>
      <c r="CG354" s="46"/>
      <c r="CH354" s="44"/>
      <c r="CI354" s="44"/>
    </row>
    <row r="355" spans="2:87" ht="13.5" customHeight="1">
      <c r="B355" s="16" t="s">
        <v>423</v>
      </c>
      <c r="C355" s="38">
        <f t="shared" ref="C355:S355" si="1576">C3</f>
        <v>41975</v>
      </c>
      <c r="D355" s="38">
        <f t="shared" si="1576"/>
        <v>42341</v>
      </c>
      <c r="E355" s="38">
        <f t="shared" si="1576"/>
        <v>42708</v>
      </c>
      <c r="F355" s="38">
        <f t="shared" si="1576"/>
        <v>43074</v>
      </c>
      <c r="G355" s="38">
        <f t="shared" si="1576"/>
        <v>43439</v>
      </c>
      <c r="H355" s="38">
        <f t="shared" si="1576"/>
        <v>43439</v>
      </c>
      <c r="I355" s="38">
        <f t="shared" si="1576"/>
        <v>43804</v>
      </c>
      <c r="J355" s="38">
        <f t="shared" si="1576"/>
        <v>43804</v>
      </c>
      <c r="K355" s="38">
        <f t="shared" si="1576"/>
        <v>44170</v>
      </c>
      <c r="L355" s="38">
        <f t="shared" si="1576"/>
        <v>44535</v>
      </c>
      <c r="M355" s="38">
        <f t="shared" si="1576"/>
        <v>44535</v>
      </c>
      <c r="N355" s="38">
        <f t="shared" si="1576"/>
        <v>44900</v>
      </c>
      <c r="O355" s="38">
        <f t="shared" si="1576"/>
        <v>44900</v>
      </c>
      <c r="P355" s="38">
        <f t="shared" si="1576"/>
        <v>45265</v>
      </c>
      <c r="Q355" s="38">
        <f t="shared" si="1576"/>
        <v>45631</v>
      </c>
      <c r="R355" s="38">
        <f t="shared" si="1576"/>
        <v>45996</v>
      </c>
      <c r="S355" s="38">
        <f t="shared" si="1576"/>
        <v>46112</v>
      </c>
      <c r="U355" s="38">
        <f t="shared" ref="U355:BH355" si="1577">U3</f>
        <v>42437</v>
      </c>
      <c r="V355" s="38">
        <f t="shared" si="1577"/>
        <v>42527</v>
      </c>
      <c r="W355" s="38">
        <f t="shared" si="1577"/>
        <v>42622</v>
      </c>
      <c r="X355" s="38">
        <f t="shared" si="1577"/>
        <v>42714</v>
      </c>
      <c r="Y355" s="38">
        <f t="shared" si="1577"/>
        <v>42801</v>
      </c>
      <c r="Z355" s="38">
        <f t="shared" si="1577"/>
        <v>42892</v>
      </c>
      <c r="AA355" s="38">
        <f t="shared" si="1577"/>
        <v>42987</v>
      </c>
      <c r="AB355" s="38">
        <f t="shared" si="1577"/>
        <v>43100</v>
      </c>
      <c r="AC355" s="38">
        <f t="shared" si="1577"/>
        <v>43190</v>
      </c>
      <c r="AD355" s="38">
        <f t="shared" si="1577"/>
        <v>43281</v>
      </c>
      <c r="AE355" s="38">
        <f t="shared" si="1577"/>
        <v>43373</v>
      </c>
      <c r="AF355" s="38">
        <f t="shared" si="1577"/>
        <v>43465</v>
      </c>
      <c r="AG355" s="38">
        <f t="shared" si="1577"/>
        <v>43555</v>
      </c>
      <c r="AH355" s="38">
        <f t="shared" si="1577"/>
        <v>43646</v>
      </c>
      <c r="AI355" s="38">
        <f t="shared" si="1577"/>
        <v>43738</v>
      </c>
      <c r="AJ355" s="38">
        <f t="shared" si="1577"/>
        <v>43830</v>
      </c>
      <c r="AK355" s="38">
        <f t="shared" si="1577"/>
        <v>43921</v>
      </c>
      <c r="AL355" s="38">
        <f t="shared" si="1577"/>
        <v>44012</v>
      </c>
      <c r="AM355" s="38">
        <f t="shared" si="1577"/>
        <v>44104</v>
      </c>
      <c r="AN355" s="38">
        <f t="shared" si="1577"/>
        <v>44196</v>
      </c>
      <c r="AO355" s="38">
        <f t="shared" si="1577"/>
        <v>44286</v>
      </c>
      <c r="AP355" s="38">
        <f t="shared" si="1577"/>
        <v>44377</v>
      </c>
      <c r="AQ355" s="38">
        <f t="shared" si="1577"/>
        <v>44469</v>
      </c>
      <c r="AR355" s="38">
        <f t="shared" si="1577"/>
        <v>44561</v>
      </c>
      <c r="AS355" s="38">
        <f t="shared" si="1577"/>
        <v>44651</v>
      </c>
      <c r="AT355" s="38">
        <f t="shared" si="1577"/>
        <v>44742</v>
      </c>
      <c r="AU355" s="38">
        <f t="shared" si="1577"/>
        <v>44834</v>
      </c>
      <c r="AV355" s="38">
        <f t="shared" si="1577"/>
        <v>44926</v>
      </c>
      <c r="AW355" s="38">
        <f t="shared" si="1577"/>
        <v>45016</v>
      </c>
      <c r="AX355" s="38">
        <f t="shared" si="1577"/>
        <v>45107</v>
      </c>
      <c r="AY355" s="38">
        <f t="shared" si="1577"/>
        <v>45199</v>
      </c>
      <c r="AZ355" s="38">
        <f t="shared" si="1577"/>
        <v>45291</v>
      </c>
      <c r="BA355" s="197">
        <f t="shared" si="1577"/>
        <v>45382</v>
      </c>
      <c r="BB355" s="197">
        <f t="shared" si="1577"/>
        <v>45473</v>
      </c>
      <c r="BC355" s="197">
        <f t="shared" si="1577"/>
        <v>45565</v>
      </c>
      <c r="BD355" s="197">
        <f t="shared" si="1577"/>
        <v>45657</v>
      </c>
      <c r="BE355" s="197">
        <f t="shared" si="1577"/>
        <v>45747</v>
      </c>
      <c r="BF355" s="197">
        <f t="shared" si="1577"/>
        <v>45838</v>
      </c>
      <c r="BG355" s="197">
        <f t="shared" si="1577"/>
        <v>45930</v>
      </c>
      <c r="BH355" s="197">
        <f t="shared" si="1577"/>
        <v>46022</v>
      </c>
      <c r="BI355" s="197">
        <f t="shared" ref="BI355" si="1578">BI3</f>
        <v>46112</v>
      </c>
      <c r="BJ355" s="44"/>
      <c r="BK355" s="44"/>
      <c r="BL355" s="44"/>
      <c r="BM355" s="44"/>
      <c r="BN355" s="44"/>
      <c r="BO355" s="44"/>
      <c r="BP355" s="44"/>
      <c r="BQ355" s="44"/>
      <c r="BR355" s="44"/>
      <c r="BS355" s="44"/>
      <c r="BT355" s="44"/>
      <c r="BU355" s="44"/>
      <c r="BV355" s="44"/>
      <c r="BW355" s="44"/>
      <c r="BX355" s="44"/>
      <c r="BY355" s="44"/>
      <c r="BZ355" s="44"/>
      <c r="CA355" s="44"/>
      <c r="CB355" s="44"/>
      <c r="CC355" s="44"/>
      <c r="CD355" s="44"/>
      <c r="CE355" s="44"/>
      <c r="CF355" s="44"/>
      <c r="CG355" s="46"/>
      <c r="CH355" s="44"/>
      <c r="CI355" s="44"/>
    </row>
    <row r="356" spans="2:87" ht="13.5" customHeight="1">
      <c r="B356" s="1" t="s">
        <v>289</v>
      </c>
      <c r="C356" s="20">
        <f t="shared" ref="C356:G358" si="1579">C337*C$266</f>
        <v>14064.109022556389</v>
      </c>
      <c r="D356" s="20">
        <f t="shared" si="1579"/>
        <v>13828.790851735015</v>
      </c>
      <c r="E356" s="20">
        <f t="shared" si="1579"/>
        <v>13514.770028997626</v>
      </c>
      <c r="F356" s="20">
        <f t="shared" si="1579"/>
        <v>14173.476404570962</v>
      </c>
      <c r="G356" s="20">
        <f t="shared" si="1579"/>
        <v>15007.126606440001</v>
      </c>
      <c r="H356" s="20">
        <f t="shared" ref="H356:I358" si="1580">H337*H$266</f>
        <v>15061.974523560002</v>
      </c>
      <c r="I356" s="20">
        <f t="shared" si="1580"/>
        <v>15155.30252276178</v>
      </c>
      <c r="J356" s="20">
        <f t="shared" ref="J356:K358" si="1581">J337*J$266</f>
        <v>14819.710598265014</v>
      </c>
      <c r="K356" s="20">
        <f t="shared" ref="K356:P356" si="1582">K337*K$266</f>
        <v>15096.18339596433</v>
      </c>
      <c r="L356" s="20">
        <f t="shared" si="1582"/>
        <v>17233.663709325097</v>
      </c>
      <c r="M356" s="20">
        <f t="shared" si="1582"/>
        <v>16734.998861171574</v>
      </c>
      <c r="N356" s="20">
        <f t="shared" si="1582"/>
        <v>19857.415986464068</v>
      </c>
      <c r="O356" s="20">
        <f t="shared" si="1582"/>
        <v>19857.415986464068</v>
      </c>
      <c r="P356" s="20">
        <f t="shared" si="1582"/>
        <v>22494.710589261435</v>
      </c>
      <c r="Q356" s="20">
        <f t="shared" ref="Q356:R356" si="1583">Q337*Q$266</f>
        <v>22416.246095185008</v>
      </c>
      <c r="R356" s="20">
        <f t="shared" si="1583"/>
        <v>22268.543327994281</v>
      </c>
      <c r="S356" s="20">
        <f t="shared" ref="S356" si="1584">S337*S$266</f>
        <v>22929.497943248178</v>
      </c>
      <c r="U356" s="20"/>
      <c r="V356" s="20"/>
      <c r="W356" s="20"/>
      <c r="X356" s="20">
        <f>X337*AVERAGE(U$266:X$266)</f>
        <v>13523.497562106822</v>
      </c>
      <c r="Y356" s="20">
        <f>Y337*AVERAGE(V$266:Y$266)</f>
        <v>13606.244069258057</v>
      </c>
      <c r="Z356" s="20">
        <f t="shared" ref="Z356:BI358" si="1585">Z337*AVERAGE(W$266:Z$266)</f>
        <v>13718.629426954685</v>
      </c>
      <c r="AA356" s="20">
        <f t="shared" si="1585"/>
        <v>13914.553373532759</v>
      </c>
      <c r="AB356" s="20">
        <f t="shared" si="1585"/>
        <v>14173.476404570962</v>
      </c>
      <c r="AC356" s="20">
        <f t="shared" si="1585"/>
        <v>14500.31996300372</v>
      </c>
      <c r="AD356" s="20">
        <f t="shared" si="1585"/>
        <v>14649.469723077231</v>
      </c>
      <c r="AE356" s="20">
        <f t="shared" si="1585"/>
        <v>14787.362792431984</v>
      </c>
      <c r="AF356" s="20">
        <f>AF337*AVERAGE(AC$266:AF$266)</f>
        <v>14907.674845409998</v>
      </c>
      <c r="AG356" s="20">
        <f t="shared" si="1585"/>
        <v>14940.015993464998</v>
      </c>
      <c r="AH356" s="20">
        <f t="shared" si="1585"/>
        <v>15069.698060524999</v>
      </c>
      <c r="AI356" s="20">
        <f t="shared" si="1585"/>
        <v>15092.10073294</v>
      </c>
      <c r="AJ356" s="20">
        <f t="shared" si="1585"/>
        <v>15155.30252276178</v>
      </c>
      <c r="AK356" s="20">
        <f t="shared" si="1585"/>
        <v>15064.954402339814</v>
      </c>
      <c r="AL356" s="20">
        <f t="shared" si="1585"/>
        <v>15052.265465368098</v>
      </c>
      <c r="AM356" s="20">
        <f t="shared" si="1585"/>
        <v>15009.172228534104</v>
      </c>
      <c r="AN356" s="20">
        <f t="shared" si="1585"/>
        <v>15096.183395964334</v>
      </c>
      <c r="AO356" s="20">
        <f t="shared" si="1585"/>
        <v>15403.338627980422</v>
      </c>
      <c r="AP356" s="20">
        <f t="shared" si="1585"/>
        <v>15866.041339743959</v>
      </c>
      <c r="AQ356" s="20">
        <f t="shared" si="1585"/>
        <v>16423.581368486372</v>
      </c>
      <c r="AR356" s="20">
        <f t="shared" si="1585"/>
        <v>16734.998861171574</v>
      </c>
      <c r="AS356" s="20">
        <f t="shared" si="1585"/>
        <v>17447.11834078114</v>
      </c>
      <c r="AT356" s="20">
        <f t="shared" si="1585"/>
        <v>18088.94637357707</v>
      </c>
      <c r="AU356" s="20">
        <f t="shared" si="1585"/>
        <v>18815.715158229137</v>
      </c>
      <c r="AV356" s="20">
        <f t="shared" si="1585"/>
        <v>19857.415986464068</v>
      </c>
      <c r="AW356" s="20">
        <f t="shared" si="1585"/>
        <v>20659.439137678582</v>
      </c>
      <c r="AX356" s="20">
        <f t="shared" si="1585"/>
        <v>21532.68420203932</v>
      </c>
      <c r="AY356" s="20">
        <f t="shared" si="1585"/>
        <v>22172.390546108636</v>
      </c>
      <c r="AZ356" s="20">
        <f t="shared" si="1585"/>
        <v>22494.710589261435</v>
      </c>
      <c r="BA356" s="20">
        <f t="shared" si="1585"/>
        <v>22685.404922272828</v>
      </c>
      <c r="BB356" s="20">
        <f t="shared" si="1585"/>
        <v>22694.341970495447</v>
      </c>
      <c r="BC356" s="20">
        <f t="shared" si="1585"/>
        <v>22589.899750254302</v>
      </c>
      <c r="BD356" s="20">
        <f t="shared" si="1585"/>
        <v>22416.246095185008</v>
      </c>
      <c r="BE356" s="20">
        <f t="shared" si="1585"/>
        <v>21935.055497137506</v>
      </c>
      <c r="BF356" s="20">
        <f t="shared" si="1585"/>
        <v>21709.712880919495</v>
      </c>
      <c r="BG356" s="20">
        <f t="shared" si="1585"/>
        <v>21870.482919385358</v>
      </c>
      <c r="BH356" s="20">
        <f t="shared" si="1585"/>
        <v>22268.543327994281</v>
      </c>
      <c r="BI356" s="20">
        <f t="shared" si="1585"/>
        <v>22929.497943248178</v>
      </c>
      <c r="BJ356" s="44"/>
      <c r="BK356" s="44"/>
      <c r="BL356" s="44"/>
      <c r="BM356" s="44"/>
      <c r="BN356" s="44"/>
      <c r="BO356" s="44"/>
      <c r="BP356" s="44"/>
      <c r="BQ356" s="44"/>
      <c r="BR356" s="44"/>
      <c r="BS356" s="44"/>
      <c r="BT356" s="44"/>
      <c r="BU356" s="44"/>
      <c r="BV356" s="44"/>
      <c r="BW356" s="44"/>
      <c r="BX356" s="44"/>
      <c r="BY356" s="44"/>
      <c r="BZ356" s="44"/>
      <c r="CA356" s="44"/>
      <c r="CB356" s="44"/>
      <c r="CC356" s="44"/>
      <c r="CD356" s="44"/>
      <c r="CE356" s="44"/>
      <c r="CF356" s="44"/>
      <c r="CG356" s="46"/>
      <c r="CH356" s="44"/>
      <c r="CI356" s="44"/>
    </row>
    <row r="357" spans="2:87" ht="13.5" customHeight="1">
      <c r="B357" s="1" t="s">
        <v>354</v>
      </c>
      <c r="C357" s="20">
        <f t="shared" si="1579"/>
        <v>1384.9624060150375</v>
      </c>
      <c r="D357" s="20">
        <f t="shared" si="1579"/>
        <v>1474.384858044164</v>
      </c>
      <c r="E357" s="20">
        <f t="shared" si="1579"/>
        <v>1570.3741819292802</v>
      </c>
      <c r="F357" s="20">
        <f t="shared" si="1579"/>
        <v>1445.7702879874614</v>
      </c>
      <c r="G357" s="20">
        <f t="shared" si="1579"/>
        <v>1650.5623000000001</v>
      </c>
      <c r="H357" s="20">
        <f t="shared" si="1580"/>
        <v>1650.3020000000001</v>
      </c>
      <c r="I357" s="20">
        <f t="shared" si="1580"/>
        <v>1735.3077467416622</v>
      </c>
      <c r="J357" s="20">
        <f t="shared" si="1581"/>
        <v>1922.6353246868841</v>
      </c>
      <c r="K357" s="20">
        <f t="shared" si="1581"/>
        <v>2060.8388251220549</v>
      </c>
      <c r="L357" s="20">
        <f t="shared" ref="L357:M357" si="1586">L338*L$266</f>
        <v>2429.1992680997337</v>
      </c>
      <c r="M357" s="20">
        <f t="shared" si="1586"/>
        <v>2339.9899900040787</v>
      </c>
      <c r="N357" s="20">
        <f t="shared" ref="N357:O357" si="1587">N338*N$266</f>
        <v>2661.8079925730499</v>
      </c>
      <c r="O357" s="20">
        <f t="shared" si="1587"/>
        <v>2661.8079925730499</v>
      </c>
      <c r="P357" s="20">
        <f t="shared" ref="P357:R358" si="1588">P338*P$266</f>
        <v>3090.6937675472536</v>
      </c>
      <c r="Q357" s="20">
        <f t="shared" si="1588"/>
        <v>3045.340171710192</v>
      </c>
      <c r="R357" s="20">
        <f t="shared" si="1588"/>
        <v>3101.0499096631479</v>
      </c>
      <c r="S357" s="20">
        <f t="shared" ref="S357" si="1589">S338*S$266</f>
        <v>3284.7694467161168</v>
      </c>
      <c r="U357" s="20"/>
      <c r="V357" s="20"/>
      <c r="W357" s="20"/>
      <c r="X357" s="20">
        <f t="shared" ref="X357:Y363" si="1590">X338*AVERAGE(U$266:X$266)</f>
        <v>1571.3882940922847</v>
      </c>
      <c r="Y357" s="20">
        <f t="shared" si="1590"/>
        <v>1527.0622328618258</v>
      </c>
      <c r="Z357" s="20">
        <f t="shared" si="1585"/>
        <v>1516.4344392399996</v>
      </c>
      <c r="AA357" s="20">
        <f t="shared" si="1585"/>
        <v>1488.6610175128628</v>
      </c>
      <c r="AB357" s="20">
        <f t="shared" si="1585"/>
        <v>1445.7702879874614</v>
      </c>
      <c r="AC357" s="20">
        <f t="shared" si="1585"/>
        <v>1511.4174583969864</v>
      </c>
      <c r="AD357" s="20">
        <f t="shared" si="1585"/>
        <v>1517.5590727529727</v>
      </c>
      <c r="AE357" s="20">
        <f t="shared" si="1585"/>
        <v>1556.6103003118112</v>
      </c>
      <c r="AF357" s="20">
        <f>AF338*AVERAGE(AC$266:AF$266)</f>
        <v>1639.6240749999999</v>
      </c>
      <c r="AG357" s="20">
        <f t="shared" si="1585"/>
        <v>1651.4755349999998</v>
      </c>
      <c r="AH357" s="20">
        <f t="shared" si="1585"/>
        <v>1681.279575</v>
      </c>
      <c r="AI357" s="20">
        <f t="shared" si="1585"/>
        <v>1713.45867</v>
      </c>
      <c r="AJ357" s="20">
        <f t="shared" si="1585"/>
        <v>1735.3077467416622</v>
      </c>
      <c r="AK357" s="248"/>
      <c r="AL357" s="248"/>
      <c r="AM357" s="248"/>
      <c r="AN357" s="259"/>
      <c r="AO357" s="248"/>
      <c r="AP357" s="248"/>
      <c r="AQ357" s="248"/>
      <c r="AR357" s="259"/>
      <c r="AS357" s="20">
        <f t="shared" ref="AS357:AW357" si="1591">AS338*AS$266</f>
        <v>579.74081000000001</v>
      </c>
      <c r="AT357" s="20">
        <f t="shared" si="1591"/>
        <v>1244.8044907723133</v>
      </c>
      <c r="AU357" s="20">
        <f t="shared" si="1591"/>
        <v>1956.4731835905222</v>
      </c>
      <c r="AV357" s="20">
        <f t="shared" si="1591"/>
        <v>2715.54045</v>
      </c>
      <c r="AW357" s="20">
        <f t="shared" si="1591"/>
        <v>2915.0199000000002</v>
      </c>
      <c r="AX357" s="20">
        <f t="shared" ref="AX357:BA357" si="1592">AX338*AX$266</f>
        <v>3136.1951385155212</v>
      </c>
      <c r="AY357" s="20">
        <f t="shared" si="1592"/>
        <v>3204.6847126063035</v>
      </c>
      <c r="AZ357" s="20">
        <f t="shared" si="1592"/>
        <v>3130.04574</v>
      </c>
      <c r="BA357" s="20">
        <f t="shared" si="1592"/>
        <v>3178.0673000000006</v>
      </c>
      <c r="BB357" s="20">
        <f t="shared" ref="BB357:BD357" si="1593">BB338*BB$266</f>
        <v>3128.0935387472077</v>
      </c>
      <c r="BC357" s="20">
        <f t="shared" si="1593"/>
        <v>2909.9292300000002</v>
      </c>
      <c r="BD357" s="20">
        <f t="shared" si="1593"/>
        <v>2764.2876007195496</v>
      </c>
      <c r="BE357" s="20">
        <f>BE338*BE$266</f>
        <v>2764.9595687331534</v>
      </c>
      <c r="BF357" s="20">
        <f t="shared" ref="BF357:BG357" si="1594">BF338*BF$266</f>
        <v>2942.990241850252</v>
      </c>
      <c r="BG357" s="20">
        <f t="shared" si="1594"/>
        <v>3086.4489116723475</v>
      </c>
      <c r="BH357" s="20">
        <f t="shared" ref="BH357" si="1595">BH338*BH$266</f>
        <v>3248.5357111635635</v>
      </c>
      <c r="BI357" s="20">
        <f>BI338*BI$266</f>
        <v>3454.0962421937716</v>
      </c>
      <c r="BJ357" s="44"/>
      <c r="BK357" s="44"/>
      <c r="BL357" s="44"/>
      <c r="BM357" s="44"/>
      <c r="BN357" s="44"/>
      <c r="BO357" s="44"/>
      <c r="BP357" s="44"/>
      <c r="BQ357" s="44"/>
      <c r="BR357" s="44"/>
      <c r="BS357" s="44"/>
      <c r="BT357" s="44"/>
      <c r="BU357" s="44"/>
      <c r="BV357" s="44"/>
      <c r="BW357" s="44"/>
      <c r="BX357" s="44"/>
      <c r="BY357" s="44"/>
      <c r="BZ357" s="44"/>
      <c r="CA357" s="44"/>
      <c r="CB357" s="44"/>
      <c r="CC357" s="44"/>
      <c r="CD357" s="44"/>
      <c r="CE357" s="44"/>
      <c r="CF357" s="44"/>
      <c r="CG357" s="46"/>
      <c r="CH357" s="44"/>
      <c r="CI357" s="44"/>
    </row>
    <row r="358" spans="2:87" ht="13.5" customHeight="1">
      <c r="B358" s="1" t="s">
        <v>424</v>
      </c>
      <c r="C358" s="20">
        <f t="shared" si="1579"/>
        <v>1646.9924812030074</v>
      </c>
      <c r="D358" s="20">
        <f t="shared" si="1579"/>
        <v>1735.3312302839115</v>
      </c>
      <c r="E358" s="20">
        <f t="shared" si="1579"/>
        <v>1830.9240112131299</v>
      </c>
      <c r="F358" s="20">
        <f t="shared" si="1579"/>
        <v>1750.626911360114</v>
      </c>
      <c r="G358" s="20">
        <f t="shared" si="1579"/>
        <v>1974.9401948200002</v>
      </c>
      <c r="H358" s="20">
        <f t="shared" si="1580"/>
        <v>1974.6798948200001</v>
      </c>
      <c r="I358" s="20">
        <f t="shared" si="1580"/>
        <v>1966.1733468661212</v>
      </c>
      <c r="J358" s="20">
        <f t="shared" si="1581"/>
        <v>1922.6353246868841</v>
      </c>
      <c r="K358" s="20">
        <f t="shared" si="1581"/>
        <v>2060.8388251220549</v>
      </c>
      <c r="L358" s="20">
        <f t="shared" ref="L358:M358" si="1596">L339*L$266</f>
        <v>2429.1992680997337</v>
      </c>
      <c r="M358" s="20">
        <f t="shared" si="1596"/>
        <v>2339.9899900040787</v>
      </c>
      <c r="N358" s="20">
        <f t="shared" ref="N358:O358" si="1597">N339*N$266</f>
        <v>2661.8079925730499</v>
      </c>
      <c r="O358" s="20">
        <f t="shared" si="1597"/>
        <v>2661.8079925730499</v>
      </c>
      <c r="P358" s="20">
        <f t="shared" si="1588"/>
        <v>3090.6937675472536</v>
      </c>
      <c r="Q358" s="20">
        <f t="shared" si="1588"/>
        <v>3045.340171710192</v>
      </c>
      <c r="R358" s="20">
        <f t="shared" si="1588"/>
        <v>3101.0499096631479</v>
      </c>
      <c r="S358" s="20">
        <f t="shared" ref="S358" si="1598">S339*S$266</f>
        <v>3284.7694467161168</v>
      </c>
      <c r="U358" s="20"/>
      <c r="V358" s="20"/>
      <c r="W358" s="20"/>
      <c r="X358" s="20">
        <f t="shared" si="1590"/>
        <v>1832.1063805685833</v>
      </c>
      <c r="Y358" s="20">
        <f t="shared" si="1590"/>
        <v>1791.9623316387999</v>
      </c>
      <c r="Z358" s="20">
        <f t="shared" si="1585"/>
        <v>1790.9665396954699</v>
      </c>
      <c r="AA358" s="20">
        <f t="shared" si="1585"/>
        <v>1778.5791528947757</v>
      </c>
      <c r="AB358" s="20">
        <f t="shared" si="1585"/>
        <v>1750.626911360114</v>
      </c>
      <c r="AC358" s="20">
        <f t="shared" si="1585"/>
        <v>1828.4930252743286</v>
      </c>
      <c r="AD358" s="20">
        <f t="shared" si="1585"/>
        <v>1835.7479614686567</v>
      </c>
      <c r="AE358" s="20">
        <f t="shared" si="1585"/>
        <v>1876.0778795534566</v>
      </c>
      <c r="AF358" s="20">
        <f>AF339*AVERAGE(AC$266:AF$266)</f>
        <v>1961.852327605</v>
      </c>
      <c r="AG358" s="20">
        <f t="shared" si="1585"/>
        <v>1945.7188611737499</v>
      </c>
      <c r="AH358" s="20">
        <f t="shared" si="1585"/>
        <v>1953.0770152374998</v>
      </c>
      <c r="AI358" s="20">
        <f t="shared" si="1585"/>
        <v>1960.8178491824997</v>
      </c>
      <c r="AJ358" s="20">
        <f t="shared" si="1585"/>
        <v>1966.1733468661212</v>
      </c>
      <c r="AK358" s="20">
        <f t="shared" si="1585"/>
        <v>1969.0348358627566</v>
      </c>
      <c r="AL358" s="20">
        <f t="shared" si="1585"/>
        <v>2001.1865703601536</v>
      </c>
      <c r="AM358" s="20">
        <f t="shared" si="1585"/>
        <v>2013.3680830749724</v>
      </c>
      <c r="AN358" s="20">
        <f t="shared" si="1585"/>
        <v>2060.8388251220549</v>
      </c>
      <c r="AO358" s="20">
        <f t="shared" si="1585"/>
        <v>2153.5960144565734</v>
      </c>
      <c r="AP358" s="20">
        <f t="shared" si="1585"/>
        <v>2268.1802167071069</v>
      </c>
      <c r="AQ358" s="20">
        <f t="shared" si="1585"/>
        <v>2372.9706660525553</v>
      </c>
      <c r="AR358" s="20">
        <f t="shared" si="1585"/>
        <v>2339.9899900040787</v>
      </c>
      <c r="AS358" s="20">
        <f t="shared" si="1585"/>
        <v>2403.018704329103</v>
      </c>
      <c r="AT358" s="20">
        <f t="shared" si="1585"/>
        <v>2451.5573570452289</v>
      </c>
      <c r="AU358" s="20">
        <f t="shared" si="1585"/>
        <v>2528.184452362465</v>
      </c>
      <c r="AV358" s="20">
        <f t="shared" si="1585"/>
        <v>2661.8079925730499</v>
      </c>
      <c r="AW358" s="20">
        <f t="shared" si="1585"/>
        <v>2775.5864916502815</v>
      </c>
      <c r="AX358" s="20">
        <f t="shared" si="1585"/>
        <v>2918.2777517785021</v>
      </c>
      <c r="AY358" s="20">
        <f t="shared" si="1585"/>
        <v>3029.8835706582258</v>
      </c>
      <c r="AZ358" s="20">
        <f t="shared" si="1585"/>
        <v>3090.6937675472536</v>
      </c>
      <c r="BA358" s="20">
        <f t="shared" si="1585"/>
        <v>3107.0466295833271</v>
      </c>
      <c r="BB358" s="20">
        <f t="shared" si="1585"/>
        <v>3123.5216778053377</v>
      </c>
      <c r="BC358" s="20">
        <f t="shared" si="1585"/>
        <v>3122.0808361251347</v>
      </c>
      <c r="BD358" s="20">
        <f t="shared" si="1585"/>
        <v>3045.340171710192</v>
      </c>
      <c r="BE358" s="20">
        <f t="shared" si="1585"/>
        <v>2957.6876812262149</v>
      </c>
      <c r="BF358" s="20">
        <f t="shared" si="1585"/>
        <v>2910.7793402960192</v>
      </c>
      <c r="BG358" s="20">
        <f t="shared" si="1585"/>
        <v>2929.8745941777547</v>
      </c>
      <c r="BH358" s="20">
        <f t="shared" si="1585"/>
        <v>3101.0499096631479</v>
      </c>
      <c r="BI358" s="20">
        <f t="shared" si="1585"/>
        <v>3284.7694467161168</v>
      </c>
      <c r="BJ358" s="44"/>
      <c r="BK358" s="44"/>
      <c r="BL358" s="44"/>
      <c r="BM358" s="44"/>
      <c r="BN358" s="44"/>
      <c r="BO358" s="44"/>
      <c r="BP358" s="44"/>
      <c r="BQ358" s="44"/>
      <c r="BR358" s="44"/>
      <c r="BS358" s="44"/>
      <c r="BT358" s="44"/>
      <c r="BU358" s="44"/>
      <c r="BV358" s="44"/>
      <c r="BW358" s="44"/>
      <c r="BX358" s="44"/>
      <c r="BY358" s="44"/>
      <c r="BZ358" s="44"/>
      <c r="CA358" s="44"/>
      <c r="CB358" s="44"/>
      <c r="CC358" s="44"/>
      <c r="CD358" s="44"/>
      <c r="CE358" s="44"/>
      <c r="CF358" s="44"/>
      <c r="CG358" s="46"/>
      <c r="CH358" s="44"/>
      <c r="CI358" s="44"/>
    </row>
    <row r="359" spans="2:87" ht="13.5" customHeight="1">
      <c r="B359" s="1" t="s">
        <v>415</v>
      </c>
      <c r="C359" s="81">
        <f t="shared" ref="C359:I359" si="1599">C357/C356</f>
        <v>9.8474948096164375E-2</v>
      </c>
      <c r="D359" s="81">
        <f t="shared" si="1599"/>
        <v>0.10661704800164665</v>
      </c>
      <c r="E359" s="81">
        <f t="shared" si="1599"/>
        <v>0.11619688522704022</v>
      </c>
      <c r="F359" s="81">
        <f t="shared" si="1599"/>
        <v>0.10200534058963819</v>
      </c>
      <c r="G359" s="81">
        <f t="shared" si="1599"/>
        <v>0.10998523190253456</v>
      </c>
      <c r="H359" s="81">
        <f t="shared" si="1599"/>
        <v>0.1095674406711146</v>
      </c>
      <c r="I359" s="81">
        <f t="shared" si="1599"/>
        <v>0.11450168969807102</v>
      </c>
      <c r="J359" s="81">
        <f t="shared" ref="J359:N359" si="1600">J357/J356</f>
        <v>0.12973501148611988</v>
      </c>
      <c r="K359" s="81">
        <f t="shared" si="1600"/>
        <v>0.13651389699418862</v>
      </c>
      <c r="L359" s="81">
        <f t="shared" si="1600"/>
        <v>0.14095663632947064</v>
      </c>
      <c r="M359" s="81">
        <f t="shared" si="1600"/>
        <v>0.1398261218549173</v>
      </c>
      <c r="N359" s="81">
        <f t="shared" si="1600"/>
        <v>0.1340460407531115</v>
      </c>
      <c r="O359" s="81">
        <f t="shared" ref="O359" si="1601">O357/O356</f>
        <v>0.1340460407531115</v>
      </c>
      <c r="P359" s="81">
        <f>P357/P356</f>
        <v>0.13739646728429991</v>
      </c>
      <c r="Q359" s="81">
        <f>Q357/Q356</f>
        <v>0.13585415500788639</v>
      </c>
      <c r="R359" s="81">
        <f>R357/R356</f>
        <v>0.13925697177348592</v>
      </c>
      <c r="S359" s="81">
        <f t="shared" ref="S359" si="1602">S357/S356</f>
        <v>0.14325518399251957</v>
      </c>
      <c r="U359" s="47"/>
      <c r="V359" s="47"/>
      <c r="W359" s="47"/>
      <c r="X359" s="81">
        <f>X357/X356</f>
        <v>0.11619688522704022</v>
      </c>
      <c r="Y359" s="81">
        <f>Y357/Y356</f>
        <v>0.11223245923627592</v>
      </c>
      <c r="Z359" s="81">
        <f t="shared" ref="Z359:AF359" si="1603">Z357/Z356</f>
        <v>0.11053833382659012</v>
      </c>
      <c r="AA359" s="81">
        <f t="shared" si="1603"/>
        <v>0.1069859001255825</v>
      </c>
      <c r="AB359" s="81">
        <f t="shared" si="1603"/>
        <v>0.10200534058963819</v>
      </c>
      <c r="AC359" s="81">
        <f t="shared" si="1603"/>
        <v>0.10423338672892971</v>
      </c>
      <c r="AD359" s="81">
        <f t="shared" si="1603"/>
        <v>0.10359139965062149</v>
      </c>
      <c r="AE359" s="81">
        <f t="shared" si="1603"/>
        <v>0.10526625485299299</v>
      </c>
      <c r="AF359" s="81">
        <f t="shared" si="1603"/>
        <v>0.10998523190253458</v>
      </c>
      <c r="AG359" s="81">
        <f>AG357/AG356</f>
        <v>0.11054041278954331</v>
      </c>
      <c r="AH359" s="81">
        <f>AH357/AH356</f>
        <v>0.11156690520589153</v>
      </c>
      <c r="AI359" s="81">
        <f>AI357/AI356</f>
        <v>0.11353347690425941</v>
      </c>
      <c r="AJ359" s="81">
        <f>AJ357/AJ356</f>
        <v>0.11450168969807102</v>
      </c>
      <c r="AK359" s="248"/>
      <c r="AL359" s="248"/>
      <c r="AM359" s="248"/>
      <c r="AN359" s="261"/>
      <c r="AO359" s="248"/>
      <c r="AP359" s="248"/>
      <c r="AQ359" s="248"/>
      <c r="AR359" s="261"/>
      <c r="AS359" s="81">
        <f t="shared" ref="AS359:AW359" si="1604">AS357/AS356</f>
        <v>3.3228456337394449E-2</v>
      </c>
      <c r="AT359" s="81">
        <f t="shared" si="1604"/>
        <v>6.8815754387476502E-2</v>
      </c>
      <c r="AU359" s="81">
        <f t="shared" si="1604"/>
        <v>0.10398080366001129</v>
      </c>
      <c r="AV359" s="81">
        <f t="shared" si="1604"/>
        <v>0.13675195462748352</v>
      </c>
      <c r="AW359" s="81">
        <f t="shared" si="1604"/>
        <v>0.14109869491488766</v>
      </c>
      <c r="AX359" s="81">
        <f t="shared" ref="AX359:BA359" si="1605">AX357/AX356</f>
        <v>0.14564812770618249</v>
      </c>
      <c r="AY359" s="81">
        <f t="shared" si="1605"/>
        <v>0.14453492084861105</v>
      </c>
      <c r="AZ359" s="81">
        <f t="shared" si="1605"/>
        <v>0.13914585509245125</v>
      </c>
      <c r="BA359" s="81">
        <f t="shared" si="1605"/>
        <v>0.14009303827236216</v>
      </c>
      <c r="BB359" s="81">
        <f t="shared" ref="BB359:BE359" si="1606">BB357/BB356</f>
        <v>0.13783583339027819</v>
      </c>
      <c r="BC359" s="81">
        <f t="shared" si="1606"/>
        <v>0.12881549994338695</v>
      </c>
      <c r="BD359" s="81">
        <f t="shared" si="1606"/>
        <v>0.12331625861804382</v>
      </c>
      <c r="BE359" s="81">
        <f t="shared" si="1606"/>
        <v>0.12605208904504375</v>
      </c>
      <c r="BF359" s="81">
        <f t="shared" ref="BF359:BG359" si="1607">BF357/BF356</f>
        <v>0.13556099327489607</v>
      </c>
      <c r="BG359" s="81">
        <f t="shared" si="1607"/>
        <v>0.14112394879660428</v>
      </c>
      <c r="BH359" s="81">
        <f t="shared" ref="BH359:BI359" si="1608">BH357/BH356</f>
        <v>0.14588002741426545</v>
      </c>
      <c r="BI359" s="81">
        <f t="shared" si="1608"/>
        <v>0.15063985486044473</v>
      </c>
      <c r="BJ359" s="44"/>
      <c r="BK359" s="44"/>
      <c r="BL359" s="44"/>
      <c r="BM359" s="44"/>
      <c r="BN359" s="44"/>
      <c r="BO359" s="44"/>
      <c r="BP359" s="44"/>
      <c r="BQ359" s="44"/>
      <c r="BR359" s="44"/>
      <c r="BS359" s="44"/>
      <c r="BT359" s="44"/>
      <c r="BU359" s="44"/>
      <c r="BV359" s="44"/>
      <c r="BW359" s="44"/>
      <c r="BX359" s="44"/>
      <c r="BY359" s="44"/>
      <c r="BZ359" s="44"/>
      <c r="CA359" s="44"/>
      <c r="CB359" s="44"/>
      <c r="CC359" s="44"/>
      <c r="CD359" s="44"/>
      <c r="CE359" s="44"/>
      <c r="CF359" s="44"/>
      <c r="CG359" s="46"/>
      <c r="CH359" s="44"/>
      <c r="CI359" s="44"/>
    </row>
    <row r="360" spans="2:87" ht="13.5" customHeight="1">
      <c r="B360" s="1" t="s">
        <v>356</v>
      </c>
      <c r="C360" s="20">
        <f>C341*C$266</f>
        <v>262.03007518796989</v>
      </c>
      <c r="D360" s="20">
        <f>D341*D$266</f>
        <v>260.94637223974763</v>
      </c>
      <c r="E360" s="20">
        <f>E341*E$266</f>
        <v>260.54982928384976</v>
      </c>
      <c r="F360" s="20">
        <f>F341*F$266</f>
        <v>304.85662337265245</v>
      </c>
      <c r="G360" s="20">
        <f>G341*G$266</f>
        <v>324.37789481999999</v>
      </c>
      <c r="H360" s="20">
        <f t="shared" ref="H360:I363" si="1609">H341*H$266</f>
        <v>324.37789481999999</v>
      </c>
      <c r="I360" s="20">
        <f t="shared" si="1609"/>
        <v>230.86560012445915</v>
      </c>
      <c r="J360" s="20">
        <f t="shared" ref="J360:K363" si="1610">J341*J$266</f>
        <v>0</v>
      </c>
      <c r="K360" s="20">
        <f t="shared" si="1610"/>
        <v>0</v>
      </c>
      <c r="L360" s="20">
        <f t="shared" ref="L360:M360" si="1611">L341*L$266</f>
        <v>0</v>
      </c>
      <c r="M360" s="20">
        <f t="shared" si="1611"/>
        <v>0</v>
      </c>
      <c r="N360" s="20">
        <f t="shared" ref="N360:O360" si="1612">N341*N$266</f>
        <v>0</v>
      </c>
      <c r="O360" s="20">
        <f t="shared" si="1612"/>
        <v>0</v>
      </c>
      <c r="P360" s="20">
        <f t="shared" ref="P360:Q363" si="1613">P341*P$266</f>
        <v>0</v>
      </c>
      <c r="Q360" s="20">
        <f t="shared" si="1613"/>
        <v>0</v>
      </c>
      <c r="R360" s="20">
        <f t="shared" ref="R360" si="1614">R341*R$266</f>
        <v>0</v>
      </c>
      <c r="S360" s="20">
        <f t="shared" ref="S360" si="1615">S341*S$266</f>
        <v>0</v>
      </c>
      <c r="U360" s="20"/>
      <c r="V360" s="20"/>
      <c r="W360" s="20"/>
      <c r="X360" s="20">
        <f t="shared" si="1590"/>
        <v>260.71808647629859</v>
      </c>
      <c r="Y360" s="20">
        <f t="shared" si="1590"/>
        <v>264.90009877697429</v>
      </c>
      <c r="Z360" s="20">
        <f t="shared" ref="Z360:BI363" si="1616">Z341*AVERAGE(W$266:Z$266)</f>
        <v>274.53210045547041</v>
      </c>
      <c r="AA360" s="20">
        <f t="shared" si="1616"/>
        <v>289.91813538191309</v>
      </c>
      <c r="AB360" s="20">
        <f t="shared" si="1616"/>
        <v>304.85662337265245</v>
      </c>
      <c r="AC360" s="20">
        <f t="shared" si="1616"/>
        <v>317.07556687734194</v>
      </c>
      <c r="AD360" s="20">
        <f t="shared" si="1616"/>
        <v>318.18888871568407</v>
      </c>
      <c r="AE360" s="20">
        <f t="shared" si="1616"/>
        <v>319.46757924164507</v>
      </c>
      <c r="AF360" s="20">
        <f>AF341*AVERAGE(AC$266:AF$266)</f>
        <v>322.22825260499997</v>
      </c>
      <c r="AG360" s="20">
        <f t="shared" si="1616"/>
        <v>294.24332617374995</v>
      </c>
      <c r="AH360" s="20">
        <f t="shared" si="1616"/>
        <v>271.79744023749993</v>
      </c>
      <c r="AI360" s="20">
        <f t="shared" si="1616"/>
        <v>247.3591791824999</v>
      </c>
      <c r="AJ360" s="20">
        <f t="shared" si="1616"/>
        <v>230.86560012445915</v>
      </c>
      <c r="AK360" s="248"/>
      <c r="AL360" s="248"/>
      <c r="AM360" s="248"/>
      <c r="AN360" s="259"/>
      <c r="AO360" s="248"/>
      <c r="AP360" s="248"/>
      <c r="AQ360" s="248"/>
      <c r="AR360" s="259"/>
      <c r="AS360" s="20">
        <f t="shared" ref="AS360:AW360" si="1617">AS341*AS$266</f>
        <v>0</v>
      </c>
      <c r="AT360" s="20">
        <f t="shared" si="1617"/>
        <v>0</v>
      </c>
      <c r="AU360" s="20">
        <f t="shared" si="1617"/>
        <v>0</v>
      </c>
      <c r="AV360" s="20">
        <f t="shared" si="1617"/>
        <v>0</v>
      </c>
      <c r="AW360" s="20">
        <f t="shared" si="1617"/>
        <v>0</v>
      </c>
      <c r="AX360" s="20">
        <f t="shared" ref="AX360:BA360" si="1618">AX341*AX$266</f>
        <v>0</v>
      </c>
      <c r="AY360" s="20">
        <f t="shared" si="1618"/>
        <v>0</v>
      </c>
      <c r="AZ360" s="20">
        <f t="shared" si="1618"/>
        <v>0</v>
      </c>
      <c r="BA360" s="20">
        <f t="shared" si="1618"/>
        <v>0</v>
      </c>
      <c r="BB360" s="20">
        <f t="shared" ref="BB360:BE360" si="1619">BB341*BB$266</f>
        <v>0</v>
      </c>
      <c r="BC360" s="20">
        <f t="shared" si="1619"/>
        <v>0</v>
      </c>
      <c r="BD360" s="20">
        <f t="shared" si="1619"/>
        <v>0</v>
      </c>
      <c r="BE360" s="20">
        <f t="shared" si="1619"/>
        <v>0</v>
      </c>
      <c r="BF360" s="20">
        <f t="shared" ref="BF360:BG360" si="1620">BF341*BF$266</f>
        <v>0</v>
      </c>
      <c r="BG360" s="20">
        <f t="shared" si="1620"/>
        <v>0</v>
      </c>
      <c r="BH360" s="20">
        <f t="shared" ref="BH360:BI360" si="1621">BH341*BH$266</f>
        <v>0</v>
      </c>
      <c r="BI360" s="20">
        <f t="shared" si="1621"/>
        <v>0</v>
      </c>
      <c r="BJ360" s="44"/>
      <c r="BK360" s="44"/>
      <c r="BL360" s="44"/>
      <c r="BM360" s="44"/>
      <c r="BN360" s="44"/>
      <c r="BO360" s="44"/>
      <c r="BP360" s="44"/>
      <c r="BQ360" s="44"/>
      <c r="BR360" s="44"/>
      <c r="BS360" s="44"/>
      <c r="BT360" s="44"/>
      <c r="BU360" s="44"/>
      <c r="BV360" s="44"/>
      <c r="BW360" s="44"/>
      <c r="BX360" s="44"/>
      <c r="BY360" s="44"/>
      <c r="BZ360" s="44"/>
      <c r="CA360" s="44"/>
      <c r="CB360" s="44"/>
      <c r="CC360" s="44"/>
      <c r="CD360" s="44"/>
      <c r="CE360" s="44"/>
      <c r="CF360" s="44"/>
      <c r="CG360" s="46"/>
      <c r="CH360" s="44"/>
      <c r="CI360" s="44"/>
    </row>
    <row r="361" spans="2:87" ht="13.5" customHeight="1">
      <c r="B361" s="1" t="s">
        <v>330</v>
      </c>
      <c r="C361" s="20">
        <f t="shared" ref="C361:G363" si="1622">C342*C$266</f>
        <v>215.94857142857143</v>
      </c>
      <c r="D361" s="20">
        <f t="shared" si="1622"/>
        <v>245.9957097791798</v>
      </c>
      <c r="E361" s="20">
        <f t="shared" si="1622"/>
        <v>233.04292827777689</v>
      </c>
      <c r="F361" s="20">
        <f t="shared" si="1622"/>
        <v>234.64860251141675</v>
      </c>
      <c r="G361" s="20">
        <f t="shared" si="1622"/>
        <v>365.85029644000002</v>
      </c>
      <c r="H361" s="20">
        <f t="shared" si="1609"/>
        <v>365.84134211999998</v>
      </c>
      <c r="I361" s="20">
        <f t="shared" si="1609"/>
        <v>326.26672107681168</v>
      </c>
      <c r="J361" s="20">
        <f t="shared" si="1610"/>
        <v>317.58475398967647</v>
      </c>
      <c r="K361" s="20">
        <f t="shared" si="1610"/>
        <v>320.66630230495309</v>
      </c>
      <c r="L361" s="20">
        <f t="shared" ref="L361:N361" si="1623">L342*L$266</f>
        <v>358.96405718080405</v>
      </c>
      <c r="M361" s="20">
        <f t="shared" ref="M361" si="1624">M342*M$266</f>
        <v>358.96405718080405</v>
      </c>
      <c r="N361" s="20">
        <f t="shared" si="1623"/>
        <v>319.14866161309766</v>
      </c>
      <c r="O361" s="20">
        <f t="shared" ref="O361" si="1625">O342*O$266</f>
        <v>319.14866161309766</v>
      </c>
      <c r="P361" s="20">
        <f t="shared" si="1613"/>
        <v>444.21435234625039</v>
      </c>
      <c r="Q361" s="20">
        <f t="shared" si="1613"/>
        <v>494.73190854203472</v>
      </c>
      <c r="R361" s="20">
        <f t="shared" ref="R361" si="1626">R342*R$266</f>
        <v>622.38540057300463</v>
      </c>
      <c r="S361" s="20">
        <f t="shared" ref="S361" si="1627">S342*S$266</f>
        <v>654.45291704606734</v>
      </c>
      <c r="U361" s="20"/>
      <c r="V361" s="20"/>
      <c r="W361" s="20"/>
      <c r="X361" s="20">
        <f t="shared" si="1590"/>
        <v>233.19342213509333</v>
      </c>
      <c r="Y361" s="20">
        <f t="shared" si="1590"/>
        <v>243.03850099647258</v>
      </c>
      <c r="Z361" s="20">
        <f t="shared" si="1616"/>
        <v>237.54883161551118</v>
      </c>
      <c r="AA361" s="20">
        <f t="shared" si="1616"/>
        <v>244.10769711208528</v>
      </c>
      <c r="AB361" s="20">
        <f t="shared" si="1616"/>
        <v>234.64860251141675</v>
      </c>
      <c r="AC361" s="20">
        <f t="shared" si="1616"/>
        <v>251.49055773442996</v>
      </c>
      <c r="AD361" s="20">
        <f t="shared" si="1616"/>
        <v>287.13778756442116</v>
      </c>
      <c r="AE361" s="20">
        <f t="shared" si="1616"/>
        <v>310.60661208961744</v>
      </c>
      <c r="AF361" s="20">
        <f>AF342*AVERAGE(AC$266:AF$266)</f>
        <v>363.42581790999998</v>
      </c>
      <c r="AG361" s="20">
        <f t="shared" si="1616"/>
        <v>357.00179922000001</v>
      </c>
      <c r="AH361" s="20">
        <f t="shared" si="1616"/>
        <v>359.32229812500009</v>
      </c>
      <c r="AI361" s="20">
        <f t="shared" si="1616"/>
        <v>325.05749814999996</v>
      </c>
      <c r="AJ361" s="20">
        <f t="shared" si="1616"/>
        <v>326.26672107681168</v>
      </c>
      <c r="AK361" s="20">
        <f t="shared" si="1616"/>
        <v>320.041389815522</v>
      </c>
      <c r="AL361" s="20">
        <f t="shared" si="1616"/>
        <v>307.71757704907026</v>
      </c>
      <c r="AM361" s="20">
        <f t="shared" si="1616"/>
        <v>326.72596260847376</v>
      </c>
      <c r="AN361" s="20">
        <f t="shared" si="1616"/>
        <v>320.66630230495309</v>
      </c>
      <c r="AO361" s="20">
        <f t="shared" si="1616"/>
        <v>334.39611530676962</v>
      </c>
      <c r="AP361" s="20">
        <f t="shared" si="1616"/>
        <v>349.90399185844041</v>
      </c>
      <c r="AQ361" s="20">
        <f t="shared" si="1616"/>
        <v>357.19138381069826</v>
      </c>
      <c r="AR361" s="20">
        <f t="shared" si="1616"/>
        <v>358.9640571808041</v>
      </c>
      <c r="AS361" s="20">
        <f t="shared" si="1616"/>
        <v>360.17185373404112</v>
      </c>
      <c r="AT361" s="20">
        <f t="shared" si="1616"/>
        <v>318.67598759149286</v>
      </c>
      <c r="AU361" s="20">
        <f t="shared" si="1616"/>
        <v>338.75410377954978</v>
      </c>
      <c r="AV361" s="20">
        <f t="shared" si="1616"/>
        <v>319.14866161309766</v>
      </c>
      <c r="AW361" s="20">
        <f t="shared" si="1616"/>
        <v>317.18900418104505</v>
      </c>
      <c r="AX361" s="20">
        <f t="shared" si="1616"/>
        <v>409.45256337671168</v>
      </c>
      <c r="AY361" s="20">
        <f t="shared" si="1616"/>
        <v>394.51139138580777</v>
      </c>
      <c r="AZ361" s="20">
        <f t="shared" si="1616"/>
        <v>444.21435234625039</v>
      </c>
      <c r="BA361" s="20">
        <f t="shared" si="1616"/>
        <v>449.51611860486975</v>
      </c>
      <c r="BB361" s="20">
        <f t="shared" si="1616"/>
        <v>432.45652451414361</v>
      </c>
      <c r="BC361" s="20">
        <f t="shared" si="1616"/>
        <v>529.70683244385941</v>
      </c>
      <c r="BD361" s="20">
        <f t="shared" si="1616"/>
        <v>494.73190854203472</v>
      </c>
      <c r="BE361" s="20">
        <f t="shared" si="1616"/>
        <v>572.72212577436289</v>
      </c>
      <c r="BF361" s="20">
        <f t="shared" si="1616"/>
        <v>551.65669747041102</v>
      </c>
      <c r="BG361" s="20">
        <f t="shared" si="1616"/>
        <v>545.39524615538812</v>
      </c>
      <c r="BH361" s="20">
        <f t="shared" si="1616"/>
        <v>622.38540057300463</v>
      </c>
      <c r="BI361" s="20">
        <f t="shared" si="1616"/>
        <v>654.45291704606734</v>
      </c>
      <c r="BJ361" s="44"/>
      <c r="BK361" s="44"/>
      <c r="BL361" s="44"/>
      <c r="BM361" s="44"/>
      <c r="BN361" s="44"/>
      <c r="BO361" s="44"/>
      <c r="BP361" s="44"/>
      <c r="BQ361" s="44"/>
      <c r="BR361" s="44"/>
      <c r="BS361" s="44"/>
      <c r="BT361" s="44"/>
      <c r="BU361" s="44"/>
      <c r="BV361" s="44"/>
      <c r="BW361" s="44"/>
      <c r="BX361" s="44"/>
      <c r="BY361" s="44"/>
      <c r="BZ361" s="44"/>
      <c r="CA361" s="44"/>
      <c r="CB361" s="44"/>
      <c r="CC361" s="44"/>
      <c r="CD361" s="44"/>
      <c r="CE361" s="44"/>
      <c r="CF361" s="44"/>
      <c r="CG361" s="46"/>
      <c r="CH361" s="44"/>
      <c r="CI361" s="44"/>
    </row>
    <row r="362" spans="2:87" ht="13.5" customHeight="1">
      <c r="B362" s="1" t="s">
        <v>332</v>
      </c>
      <c r="C362" s="20">
        <f t="shared" si="1622"/>
        <v>513.43473684210517</v>
      </c>
      <c r="D362" s="20">
        <f t="shared" si="1622"/>
        <v>605.9508517350157</v>
      </c>
      <c r="E362" s="20">
        <f t="shared" si="1622"/>
        <v>704.97462037766593</v>
      </c>
      <c r="F362" s="20">
        <f t="shared" si="1622"/>
        <v>719.10589155997104</v>
      </c>
      <c r="G362" s="20">
        <f t="shared" si="1622"/>
        <v>784.38801999999998</v>
      </c>
      <c r="H362" s="20">
        <f t="shared" si="1609"/>
        <v>753.21131633999994</v>
      </c>
      <c r="I362" s="20">
        <f t="shared" si="1609"/>
        <v>656.56292164201091</v>
      </c>
      <c r="J362" s="20">
        <f t="shared" si="1610"/>
        <v>642.02429965831004</v>
      </c>
      <c r="K362" s="20">
        <f t="shared" si="1610"/>
        <v>577.91989216395143</v>
      </c>
      <c r="L362" s="20">
        <f t="shared" ref="L362:N362" si="1628">L343*L$266</f>
        <v>1034.2974580348462</v>
      </c>
      <c r="M362" s="20">
        <f t="shared" ref="M362" si="1629">M343*M$266</f>
        <v>1019.2344763680004</v>
      </c>
      <c r="N362" s="20">
        <f t="shared" si="1628"/>
        <v>1465.5412776523151</v>
      </c>
      <c r="O362" s="20">
        <f t="shared" ref="O362" si="1630">O343*O$266</f>
        <v>1465.0932352778891</v>
      </c>
      <c r="P362" s="20">
        <f t="shared" si="1613"/>
        <v>1976.962420296737</v>
      </c>
      <c r="Q362" s="20">
        <f t="shared" si="1613"/>
        <v>1579.4734699008477</v>
      </c>
      <c r="R362" s="20">
        <f t="shared" ref="R362" si="1631">R343*R$266</f>
        <v>1160.2039245990027</v>
      </c>
      <c r="S362" s="20">
        <f t="shared" ref="S362" si="1632">S343*S$266</f>
        <v>1011.4679170159025</v>
      </c>
      <c r="U362" s="20"/>
      <c r="V362" s="20"/>
      <c r="W362" s="20"/>
      <c r="X362" s="20">
        <f t="shared" si="1590"/>
        <v>705.42987705811913</v>
      </c>
      <c r="Y362" s="20">
        <f t="shared" si="1590"/>
        <v>736.64796448817458</v>
      </c>
      <c r="Z362" s="20">
        <f t="shared" si="1616"/>
        <v>704.01745166708895</v>
      </c>
      <c r="AA362" s="20">
        <f t="shared" si="1616"/>
        <v>709.16846028115719</v>
      </c>
      <c r="AB362" s="20">
        <f t="shared" si="1616"/>
        <v>719.10589155997104</v>
      </c>
      <c r="AC362" s="20">
        <f t="shared" si="1616"/>
        <v>765.68394405795402</v>
      </c>
      <c r="AD362" s="20">
        <f t="shared" si="1616"/>
        <v>805.73195388952843</v>
      </c>
      <c r="AE362" s="20">
        <f t="shared" si="1616"/>
        <v>817.00462851330337</v>
      </c>
      <c r="AF362" s="20">
        <f>AF343*AVERAGE(AC$266:AF$266)</f>
        <v>779.18990499999995</v>
      </c>
      <c r="AG362" s="20">
        <f t="shared" si="1616"/>
        <v>693.20784516999993</v>
      </c>
      <c r="AH362" s="20">
        <f t="shared" si="1616"/>
        <v>705.06044507500019</v>
      </c>
      <c r="AI362" s="20">
        <f t="shared" si="1616"/>
        <v>684.48193274999983</v>
      </c>
      <c r="AJ362" s="20">
        <f t="shared" si="1616"/>
        <v>656.56292164201091</v>
      </c>
      <c r="AK362" s="20">
        <f t="shared" si="1616"/>
        <v>663.31934008287794</v>
      </c>
      <c r="AL362" s="20">
        <f t="shared" si="1616"/>
        <v>586.43423142290646</v>
      </c>
      <c r="AM362" s="20">
        <f t="shared" si="1616"/>
        <v>552.0628530237401</v>
      </c>
      <c r="AN362" s="20">
        <f t="shared" si="1616"/>
        <v>577.91989216395143</v>
      </c>
      <c r="AO362" s="20">
        <f t="shared" si="1616"/>
        <v>591.97063913451245</v>
      </c>
      <c r="AP362" s="20">
        <f t="shared" si="1616"/>
        <v>705.12893029857412</v>
      </c>
      <c r="AQ362" s="20">
        <f t="shared" si="1616"/>
        <v>815.75659722276805</v>
      </c>
      <c r="AR362" s="20">
        <f t="shared" si="1616"/>
        <v>1019.2344763680004</v>
      </c>
      <c r="AS362" s="20">
        <f t="shared" si="1616"/>
        <v>1081.3048858213729</v>
      </c>
      <c r="AT362" s="20">
        <f t="shared" si="1616"/>
        <v>1170.9463566671129</v>
      </c>
      <c r="AU362" s="20">
        <f t="shared" si="1616"/>
        <v>1300.4887996514335</v>
      </c>
      <c r="AV362" s="20">
        <f t="shared" si="1616"/>
        <v>1465.5412776523151</v>
      </c>
      <c r="AW362" s="20">
        <f t="shared" si="1616"/>
        <v>1574.3455130902439</v>
      </c>
      <c r="AX362" s="20">
        <f t="shared" si="1616"/>
        <v>1689.1331298709636</v>
      </c>
      <c r="AY362" s="20">
        <f t="shared" si="1616"/>
        <v>1847.4049342483352</v>
      </c>
      <c r="AZ362" s="20">
        <f t="shared" si="1616"/>
        <v>1976.962420296737</v>
      </c>
      <c r="BA362" s="20">
        <f t="shared" si="1616"/>
        <v>2035.911522612465</v>
      </c>
      <c r="BB362" s="20">
        <f t="shared" si="1616"/>
        <v>1978.2093437889152</v>
      </c>
      <c r="BC362" s="20">
        <f t="shared" si="1616"/>
        <v>1825.7480491333467</v>
      </c>
      <c r="BD362" s="20">
        <f t="shared" si="1616"/>
        <v>1579.4734699008477</v>
      </c>
      <c r="BE362" s="20">
        <f t="shared" si="1616"/>
        <v>1494.1130035275928</v>
      </c>
      <c r="BF362" s="20">
        <f t="shared" si="1616"/>
        <v>1345.1726549719319</v>
      </c>
      <c r="BG362" s="20">
        <f t="shared" si="1616"/>
        <v>1223.067407970321</v>
      </c>
      <c r="BH362" s="20">
        <f t="shared" si="1616"/>
        <v>1160.2039245990027</v>
      </c>
      <c r="BI362" s="20">
        <f t="shared" si="1616"/>
        <v>1011.4679170159025</v>
      </c>
      <c r="BJ362" s="44"/>
      <c r="BK362" s="44"/>
      <c r="BL362" s="44"/>
      <c r="BM362" s="44"/>
      <c r="BN362" s="44"/>
      <c r="BO362" s="44"/>
      <c r="BP362" s="44"/>
      <c r="BQ362" s="44"/>
      <c r="BR362" s="44"/>
      <c r="BS362" s="44"/>
      <c r="BT362" s="44"/>
      <c r="BU362" s="44"/>
      <c r="BV362" s="44"/>
      <c r="BW362" s="44"/>
      <c r="BX362" s="44"/>
      <c r="BY362" s="44"/>
      <c r="BZ362" s="44"/>
      <c r="CA362" s="44"/>
      <c r="CB362" s="44"/>
      <c r="CC362" s="44"/>
      <c r="CD362" s="44"/>
      <c r="CE362" s="44"/>
      <c r="CF362" s="44"/>
      <c r="CG362" s="46"/>
      <c r="CH362" s="44"/>
      <c r="CI362" s="44"/>
    </row>
    <row r="363" spans="2:87" ht="13.5" customHeight="1">
      <c r="B363" s="1" t="s">
        <v>337</v>
      </c>
      <c r="C363" s="20">
        <f t="shared" si="1622"/>
        <v>-1407.1847368421052</v>
      </c>
      <c r="D363" s="20">
        <f t="shared" si="1622"/>
        <v>350.58883280757112</v>
      </c>
      <c r="E363" s="20">
        <f t="shared" si="1622"/>
        <v>49.450706716621887</v>
      </c>
      <c r="F363" s="20">
        <f t="shared" si="1622"/>
        <v>-185.12095656735573</v>
      </c>
      <c r="G363" s="20">
        <f t="shared" si="1622"/>
        <v>87.704596980000275</v>
      </c>
      <c r="H363" s="20">
        <f t="shared" si="1609"/>
        <v>-8.942554439999947</v>
      </c>
      <c r="I363" s="20">
        <f t="shared" si="1609"/>
        <v>904.28970547153494</v>
      </c>
      <c r="J363" s="20">
        <f t="shared" si="1610"/>
        <v>890.08456421455253</v>
      </c>
      <c r="K363" s="20">
        <f t="shared" si="1610"/>
        <v>812.51068466524396</v>
      </c>
      <c r="L363" s="20">
        <f t="shared" ref="L363:N363" si="1633">L344*L$266</f>
        <v>275.73412233221507</v>
      </c>
      <c r="M363" s="20">
        <f t="shared" ref="M363" si="1634">M344*M$266</f>
        <v>161.66672335165677</v>
      </c>
      <c r="N363" s="20">
        <f t="shared" si="1633"/>
        <v>1318.3679240483248</v>
      </c>
      <c r="O363" s="20">
        <f t="shared" ref="O363" si="1635">O344*O$266</f>
        <v>1151.0513403282116</v>
      </c>
      <c r="P363" s="20">
        <f t="shared" si="1613"/>
        <v>-1106.7770331316403</v>
      </c>
      <c r="Q363" s="20">
        <f t="shared" si="1613"/>
        <v>-443.42879070791622</v>
      </c>
      <c r="R363" s="20">
        <f t="shared" ref="R363" si="1636">R344*R$266</f>
        <v>-110.42629265574374</v>
      </c>
      <c r="S363" s="20">
        <f t="shared" ref="S363" si="1637">S344*S$266</f>
        <v>334.35000958182218</v>
      </c>
      <c r="U363" s="20"/>
      <c r="V363" s="20"/>
      <c r="W363" s="20"/>
      <c r="X363" s="20">
        <f t="shared" si="1590"/>
        <v>49.482640865646729</v>
      </c>
      <c r="Y363" s="20">
        <f t="shared" si="1590"/>
        <v>-0.89459410209283108</v>
      </c>
      <c r="Z363" s="20">
        <f t="shared" si="1616"/>
        <v>117.1409784452437</v>
      </c>
      <c r="AA363" s="20">
        <f t="shared" si="1616"/>
        <v>259.03545658468028</v>
      </c>
      <c r="AB363" s="20">
        <f t="shared" si="1616"/>
        <v>-185.12095656735579</v>
      </c>
      <c r="AC363" s="20">
        <f t="shared" si="1616"/>
        <v>-308.71371025409707</v>
      </c>
      <c r="AD363" s="20">
        <f t="shared" si="1616"/>
        <v>-548.15184173456794</v>
      </c>
      <c r="AE363" s="20">
        <f t="shared" si="1616"/>
        <v>-498.29845747162898</v>
      </c>
      <c r="AF363" s="20">
        <f>AF344*AVERAGE(AC$266:AF$266)</f>
        <v>87.123381345000141</v>
      </c>
      <c r="AG363" s="20">
        <f t="shared" si="1616"/>
        <v>271.25869840000018</v>
      </c>
      <c r="AH363" s="20">
        <f t="shared" si="1616"/>
        <v>665.26445005000028</v>
      </c>
      <c r="AI363" s="20">
        <f t="shared" si="1616"/>
        <v>871.6919311100005</v>
      </c>
      <c r="AJ363" s="20">
        <f t="shared" si="1616"/>
        <v>904.28970547153494</v>
      </c>
      <c r="AK363" s="20">
        <f t="shared" si="1616"/>
        <v>936.85501765318429</v>
      </c>
      <c r="AL363" s="20">
        <f t="shared" si="1616"/>
        <v>761.41740060697396</v>
      </c>
      <c r="AM363" s="20">
        <f t="shared" si="1616"/>
        <v>711.61242746053358</v>
      </c>
      <c r="AN363" s="20">
        <f t="shared" si="1616"/>
        <v>812.51068466524373</v>
      </c>
      <c r="AO363" s="20">
        <f t="shared" si="1616"/>
        <v>840.16364604930004</v>
      </c>
      <c r="AP363" s="20">
        <f t="shared" si="1616"/>
        <v>859.78288488938063</v>
      </c>
      <c r="AQ363" s="20">
        <f t="shared" si="1616"/>
        <v>574.62590133022002</v>
      </c>
      <c r="AR363" s="20">
        <f t="shared" si="1616"/>
        <v>161.66672335165654</v>
      </c>
      <c r="AS363" s="20">
        <f t="shared" si="1616"/>
        <v>108.17607653982613</v>
      </c>
      <c r="AT363" s="20">
        <f t="shared" si="1616"/>
        <v>268.18470135875606</v>
      </c>
      <c r="AU363" s="20">
        <f t="shared" si="1616"/>
        <v>39.851933721451239</v>
      </c>
      <c r="AV363" s="20">
        <f t="shared" si="1616"/>
        <v>1318.3679240483252</v>
      </c>
      <c r="AW363" s="20">
        <f t="shared" si="1616"/>
        <v>810.89153460826083</v>
      </c>
      <c r="AX363" s="20">
        <f t="shared" si="1616"/>
        <v>265.35941990021104</v>
      </c>
      <c r="AY363" s="20">
        <f t="shared" si="1616"/>
        <v>507.59574842293472</v>
      </c>
      <c r="AZ363" s="20">
        <f t="shared" si="1616"/>
        <v>-1106.7770331316408</v>
      </c>
      <c r="BA363" s="20">
        <f t="shared" si="1616"/>
        <v>-785.88234823593984</v>
      </c>
      <c r="BB363" s="20">
        <f t="shared" si="1616"/>
        <v>-682.48624186473239</v>
      </c>
      <c r="BC363" s="20">
        <f t="shared" si="1616"/>
        <v>-632.53779451218929</v>
      </c>
      <c r="BD363" s="20">
        <f t="shared" si="1616"/>
        <v>-443.42879070791656</v>
      </c>
      <c r="BE363" s="20">
        <f t="shared" si="1616"/>
        <v>-193.18582769253757</v>
      </c>
      <c r="BF363" s="20">
        <f t="shared" si="1616"/>
        <v>-312.19149927838157</v>
      </c>
      <c r="BG363" s="20">
        <f t="shared" si="1616"/>
        <v>19.18184040775056</v>
      </c>
      <c r="BH363" s="20">
        <f t="shared" si="1616"/>
        <v>-110.42629265574351</v>
      </c>
      <c r="BI363" s="20">
        <f t="shared" si="1616"/>
        <v>334.35000958182212</v>
      </c>
      <c r="BJ363" s="44"/>
      <c r="BK363" s="44"/>
      <c r="BL363" s="44"/>
      <c r="BM363" s="44"/>
      <c r="BN363" s="44"/>
      <c r="BO363" s="44"/>
      <c r="BP363" s="44"/>
      <c r="BQ363" s="44"/>
      <c r="BR363" s="44"/>
      <c r="BS363" s="44"/>
      <c r="BT363" s="44"/>
      <c r="BU363" s="44"/>
      <c r="BV363" s="44"/>
      <c r="BW363" s="44"/>
      <c r="BX363" s="44"/>
      <c r="BY363" s="44"/>
      <c r="BZ363" s="44"/>
      <c r="CA363" s="44"/>
      <c r="CB363" s="44"/>
      <c r="CC363" s="44"/>
      <c r="CD363" s="44"/>
      <c r="CE363" s="44"/>
      <c r="CF363" s="44"/>
      <c r="CG363" s="46"/>
      <c r="CH363" s="44"/>
      <c r="CI363" s="44"/>
    </row>
    <row r="364" spans="2:87" ht="13.5" customHeight="1">
      <c r="B364" s="1" t="s">
        <v>63</v>
      </c>
      <c r="C364" s="20">
        <f t="shared" ref="C364:G364" si="1638">C345*C$267</f>
        <v>174.72826086956522</v>
      </c>
      <c r="D364" s="20">
        <f t="shared" si="1638"/>
        <v>222.25450319581637</v>
      </c>
      <c r="E364" s="20">
        <f t="shared" si="1638"/>
        <v>329.76529229578011</v>
      </c>
      <c r="F364" s="20">
        <f t="shared" si="1638"/>
        <v>366.92454719213617</v>
      </c>
      <c r="G364" s="20">
        <f t="shared" si="1638"/>
        <v>386.01628529999999</v>
      </c>
      <c r="H364" s="20">
        <f t="shared" ref="H364:I368" si="1639">H345*H$267</f>
        <v>386.01628529999999</v>
      </c>
      <c r="I364" s="20">
        <f t="shared" si="1639"/>
        <v>330.25083338176017</v>
      </c>
      <c r="J364" s="20">
        <f t="shared" ref="J364:K368" si="1640">J345*J$267</f>
        <v>330.25083338176017</v>
      </c>
      <c r="K364" s="20">
        <f t="shared" si="1640"/>
        <v>465.37131608944327</v>
      </c>
      <c r="L364" s="20">
        <f t="shared" ref="L364:N364" si="1641">L345*L$267</f>
        <v>439.255459644577</v>
      </c>
      <c r="M364" s="20">
        <f t="shared" ref="M364" si="1642">M345*M$267</f>
        <v>439.255459644577</v>
      </c>
      <c r="N364" s="20">
        <f t="shared" si="1641"/>
        <v>631.17145388000006</v>
      </c>
      <c r="O364" s="20">
        <f t="shared" ref="O364" si="1643">O345*O$267</f>
        <v>631.17145388000006</v>
      </c>
      <c r="P364" s="20">
        <f t="shared" ref="P364:Q368" si="1644">P345*P$267</f>
        <v>373.94487864000001</v>
      </c>
      <c r="Q364" s="20">
        <f t="shared" si="1644"/>
        <v>386.99131111399294</v>
      </c>
      <c r="R364" s="20">
        <f t="shared" ref="R364" si="1645">R345*R$267</f>
        <v>473.9108152228232</v>
      </c>
      <c r="S364" s="20">
        <f t="shared" ref="S364" si="1646">S345*S$267</f>
        <v>1091.1398071241429</v>
      </c>
      <c r="U364" s="20"/>
      <c r="V364" s="20"/>
      <c r="W364" s="20"/>
      <c r="X364" s="20">
        <f t="shared" ref="X364:Y368" si="1647">X345*X$267</f>
        <v>329.76529229578011</v>
      </c>
      <c r="Y364" s="20">
        <f t="shared" si="1647"/>
        <v>413.82243487506651</v>
      </c>
      <c r="Z364" s="20">
        <f t="shared" ref="Z364:AF364" si="1648">Z345*Z$267</f>
        <v>314.4692737430168</v>
      </c>
      <c r="AA364" s="20">
        <f t="shared" si="1648"/>
        <v>312.39868336456402</v>
      </c>
      <c r="AB364" s="20">
        <f t="shared" si="1648"/>
        <v>366.92454719213617</v>
      </c>
      <c r="AC364" s="20">
        <f t="shared" si="1648"/>
        <v>275.86998269999998</v>
      </c>
      <c r="AD364" s="20">
        <f t="shared" si="1648"/>
        <v>425.68980783000001</v>
      </c>
      <c r="AE364" s="20">
        <f t="shared" si="1648"/>
        <v>426.03564588</v>
      </c>
      <c r="AF364" s="20">
        <f t="shared" si="1648"/>
        <v>386.01628529999999</v>
      </c>
      <c r="AG364" s="20">
        <f t="shared" ref="AG364:AH368" si="1649">AG345*AG$267</f>
        <v>365.68910006000004</v>
      </c>
      <c r="AH364" s="20">
        <f t="shared" si="1649"/>
        <v>295.98862821</v>
      </c>
      <c r="AI364" s="20">
        <f t="shared" ref="AI364:AK368" si="1650">AI345*AI$267</f>
        <v>864.44002997999996</v>
      </c>
      <c r="AJ364" s="20">
        <f t="shared" si="1650"/>
        <v>330.25083338176017</v>
      </c>
      <c r="AK364" s="20">
        <f t="shared" si="1650"/>
        <v>1073.5366666666666</v>
      </c>
      <c r="AL364" s="20">
        <f t="shared" ref="AL364:AO368" si="1651">AL345*AL$267</f>
        <v>449.29060133707736</v>
      </c>
      <c r="AM364" s="20">
        <f t="shared" si="1651"/>
        <v>544.06333372523136</v>
      </c>
      <c r="AN364" s="20">
        <f t="shared" si="1651"/>
        <v>465.37131608944327</v>
      </c>
      <c r="AO364" s="20">
        <f t="shared" si="1651"/>
        <v>556.85982245800005</v>
      </c>
      <c r="AP364" s="20">
        <f t="shared" ref="AP364:AS368" si="1652">AP345*AP$267</f>
        <v>601.14068594553407</v>
      </c>
      <c r="AQ364" s="20">
        <f t="shared" si="1652"/>
        <v>544.47244325115935</v>
      </c>
      <c r="AR364" s="20">
        <f t="shared" si="1652"/>
        <v>439.255459644577</v>
      </c>
      <c r="AS364" s="20">
        <f t="shared" si="1652"/>
        <v>457.21831800000001</v>
      </c>
      <c r="AT364" s="20">
        <f t="shared" ref="AT364:AW364" si="1653">AT345*AT$267</f>
        <v>337.1335556772363</v>
      </c>
      <c r="AU364" s="20">
        <f t="shared" si="1653"/>
        <v>363.05473289999998</v>
      </c>
      <c r="AV364" s="20">
        <f t="shared" si="1653"/>
        <v>631.17145388000006</v>
      </c>
      <c r="AW364" s="20">
        <f t="shared" si="1653"/>
        <v>330.27982085999997</v>
      </c>
      <c r="AX364" s="20">
        <f t="shared" ref="AX364:BA364" si="1654">AX345*AX$267</f>
        <v>378.7741121642693</v>
      </c>
      <c r="AY364" s="20">
        <f t="shared" si="1654"/>
        <v>358.33423126000002</v>
      </c>
      <c r="AZ364" s="20">
        <f t="shared" si="1654"/>
        <v>373.94487864000001</v>
      </c>
      <c r="BA364" s="20">
        <f t="shared" si="1654"/>
        <v>1059.3270036000001</v>
      </c>
      <c r="BB364" s="20">
        <f t="shared" ref="BB364:BE364" si="1655">BB345*BB$267</f>
        <v>415.47299509001641</v>
      </c>
      <c r="BC364" s="20">
        <f t="shared" si="1655"/>
        <v>428.54764676999997</v>
      </c>
      <c r="BD364" s="20">
        <f t="shared" si="1655"/>
        <v>386.99131111399294</v>
      </c>
      <c r="BE364" s="20">
        <f t="shared" si="1655"/>
        <v>869.04609443738389</v>
      </c>
      <c r="BF364" s="20">
        <f t="shared" ref="BF364:BG364" si="1656">BF345*BF$267</f>
        <v>399.73179708753401</v>
      </c>
      <c r="BG364" s="20">
        <f t="shared" si="1656"/>
        <v>743.56916238457472</v>
      </c>
      <c r="BH364" s="20">
        <f t="shared" ref="BH364:BI364" si="1657">BH345*BH$267</f>
        <v>473.9108152228232</v>
      </c>
      <c r="BI364" s="20">
        <f t="shared" si="1657"/>
        <v>1091.1398071241429</v>
      </c>
      <c r="BJ364" s="44"/>
      <c r="BK364" s="44"/>
      <c r="BL364" s="44"/>
      <c r="BM364" s="44"/>
      <c r="BN364" s="44"/>
      <c r="BO364" s="44"/>
      <c r="BP364" s="44"/>
      <c r="BQ364" s="44"/>
      <c r="BR364" s="44"/>
      <c r="BS364" s="44"/>
      <c r="BT364" s="44"/>
      <c r="BU364" s="44"/>
      <c r="BV364" s="44"/>
      <c r="BW364" s="44"/>
      <c r="BX364" s="44"/>
      <c r="BY364" s="44"/>
      <c r="BZ364" s="44"/>
      <c r="CA364" s="44"/>
      <c r="CB364" s="44"/>
      <c r="CC364" s="44"/>
      <c r="CD364" s="44"/>
      <c r="CE364" s="44"/>
      <c r="CF364" s="44"/>
      <c r="CG364" s="46"/>
      <c r="CH364" s="44"/>
      <c r="CI364" s="44"/>
    </row>
    <row r="365" spans="2:87" ht="13.5" customHeight="1">
      <c r="B365" s="1" t="s">
        <v>416</v>
      </c>
      <c r="C365" s="20">
        <f t="shared" ref="C365:G368" si="1658">C346*C$267</f>
        <v>4225.815217391304</v>
      </c>
      <c r="D365" s="20">
        <f t="shared" si="1658"/>
        <v>3937.303893085415</v>
      </c>
      <c r="E365" s="20">
        <f t="shared" si="1658"/>
        <v>3992.4990321331779</v>
      </c>
      <c r="F365" s="20">
        <f t="shared" si="1658"/>
        <v>4795.54745501667</v>
      </c>
      <c r="G365" s="20">
        <f t="shared" si="1658"/>
        <v>4573.1513218</v>
      </c>
      <c r="H365" s="20">
        <f t="shared" si="1639"/>
        <v>4573.1513218</v>
      </c>
      <c r="I365" s="20">
        <f t="shared" si="1639"/>
        <v>4578.8068508999468</v>
      </c>
      <c r="J365" s="20">
        <f t="shared" si="1640"/>
        <v>4578.8068508999468</v>
      </c>
      <c r="K365" s="20">
        <f t="shared" si="1640"/>
        <v>4279.7763918390301</v>
      </c>
      <c r="L365" s="20">
        <f t="shared" ref="L365:N365" si="1659">L346*L$267</f>
        <v>4662.7386852663658</v>
      </c>
      <c r="M365" s="20">
        <f t="shared" ref="M365" si="1660">M346*M$267</f>
        <v>4662.7386852663658</v>
      </c>
      <c r="N365" s="20">
        <f t="shared" si="1659"/>
        <v>4308.6323372400002</v>
      </c>
      <c r="O365" s="20">
        <f t="shared" ref="O365" si="1661">O346*O$267</f>
        <v>4308.6323372400002</v>
      </c>
      <c r="P365" s="20">
        <f t="shared" si="1644"/>
        <v>6470.7929940599997</v>
      </c>
      <c r="Q365" s="20">
        <f t="shared" si="1644"/>
        <v>7248.2097244436764</v>
      </c>
      <c r="R365" s="20">
        <f t="shared" ref="R365" si="1662">R346*R$267</f>
        <v>8532.1931392908318</v>
      </c>
      <c r="S365" s="20">
        <f t="shared" ref="S365" si="1663">S346*S$267</f>
        <v>8770.0061318914104</v>
      </c>
      <c r="U365" s="20"/>
      <c r="V365" s="20"/>
      <c r="W365" s="20"/>
      <c r="X365" s="20">
        <f t="shared" si="1647"/>
        <v>3992.4990321331779</v>
      </c>
      <c r="Y365" s="20">
        <f t="shared" si="1647"/>
        <v>4116.6932482721959</v>
      </c>
      <c r="Z365" s="20">
        <f t="shared" ref="Z365:AF365" si="1664">Z346*Z$267</f>
        <v>4074.9720670391066</v>
      </c>
      <c r="AA365" s="20">
        <f t="shared" si="1664"/>
        <v>4151.9076376944586</v>
      </c>
      <c r="AB365" s="20">
        <f t="shared" si="1664"/>
        <v>4795.54745501667</v>
      </c>
      <c r="AC365" s="20">
        <f t="shared" si="1664"/>
        <v>4923.8373190499997</v>
      </c>
      <c r="AD365" s="20">
        <f t="shared" si="1664"/>
        <v>4887.8769433199996</v>
      </c>
      <c r="AE365" s="20">
        <f t="shared" si="1664"/>
        <v>4698.3729807299997</v>
      </c>
      <c r="AF365" s="20">
        <f t="shared" si="1664"/>
        <v>4573.1513218</v>
      </c>
      <c r="AG365" s="20">
        <f t="shared" si="1649"/>
        <v>4632.6689884300004</v>
      </c>
      <c r="AH365" s="20">
        <f t="shared" si="1649"/>
        <v>4636.6351354400003</v>
      </c>
      <c r="AI365" s="20">
        <f t="shared" si="1650"/>
        <v>5165.9204568300001</v>
      </c>
      <c r="AJ365" s="20">
        <f t="shared" si="1650"/>
        <v>4578.8068508999468</v>
      </c>
      <c r="AK365" s="20">
        <f t="shared" si="1650"/>
        <v>5069.0536708860755</v>
      </c>
      <c r="AL365" s="20">
        <f t="shared" si="1651"/>
        <v>4485.5929912107586</v>
      </c>
      <c r="AM365" s="20">
        <f t="shared" si="1651"/>
        <v>4371.3866404999417</v>
      </c>
      <c r="AN365" s="20">
        <f t="shared" si="1651"/>
        <v>4279.7763918390301</v>
      </c>
      <c r="AO365" s="20">
        <f t="shared" si="1651"/>
        <v>4333.300486866</v>
      </c>
      <c r="AP365" s="20">
        <f t="shared" si="1652"/>
        <v>4463.7465624511169</v>
      </c>
      <c r="AQ365" s="20">
        <f t="shared" si="1652"/>
        <v>4436.8113253600195</v>
      </c>
      <c r="AR365" s="20">
        <f t="shared" si="1652"/>
        <v>4662.7386852663658</v>
      </c>
      <c r="AS365" s="20">
        <f t="shared" si="1652"/>
        <v>4573.8445957499998</v>
      </c>
      <c r="AT365" s="20">
        <f t="shared" ref="AT365:AW365" si="1665">AT346*AT$267</f>
        <v>4662.8992483448656</v>
      </c>
      <c r="AU365" s="20">
        <f t="shared" si="1665"/>
        <v>4941.0428550999995</v>
      </c>
      <c r="AV365" s="20">
        <f t="shared" si="1665"/>
        <v>4308.6323372400002</v>
      </c>
      <c r="AW365" s="20">
        <f t="shared" si="1665"/>
        <v>5110.0067827600005</v>
      </c>
      <c r="AX365" s="20">
        <f t="shared" ref="AX365:BA365" si="1666">AX346*AX$267</f>
        <v>5868.0971319445653</v>
      </c>
      <c r="AY365" s="20">
        <f t="shared" si="1666"/>
        <v>6151.5337674600005</v>
      </c>
      <c r="AZ365" s="20">
        <f t="shared" si="1666"/>
        <v>6470.7929940599997</v>
      </c>
      <c r="BA365" s="20">
        <f t="shared" si="1666"/>
        <v>7742.0032892999998</v>
      </c>
      <c r="BB365" s="20">
        <f t="shared" ref="BB365:BE365" si="1667">BB346*BB$267</f>
        <v>7391.9977086743047</v>
      </c>
      <c r="BC365" s="20">
        <f t="shared" si="1667"/>
        <v>7399.7402631000004</v>
      </c>
      <c r="BD365" s="20">
        <f t="shared" si="1667"/>
        <v>7248.2097244436764</v>
      </c>
      <c r="BE365" s="20">
        <f t="shared" si="1667"/>
        <v>7881.4360641313924</v>
      </c>
      <c r="BF365" s="20">
        <f t="shared" ref="BF365:BG365" si="1668">BF346*BF$267</f>
        <v>8371.2120872672967</v>
      </c>
      <c r="BG365" s="20">
        <f t="shared" si="1668"/>
        <v>8556.2546211099416</v>
      </c>
      <c r="BH365" s="20">
        <f t="shared" ref="BH365:BI365" si="1669">BH346*BH$267</f>
        <v>8532.1931392908318</v>
      </c>
      <c r="BI365" s="20">
        <f t="shared" si="1669"/>
        <v>8770.0061318914104</v>
      </c>
      <c r="BJ365" s="44"/>
      <c r="BK365" s="44"/>
      <c r="BL365" s="44"/>
      <c r="BM365" s="44"/>
      <c r="BN365" s="44"/>
      <c r="BO365" s="44"/>
      <c r="BP365" s="44"/>
      <c r="BQ365" s="44"/>
      <c r="BR365" s="44"/>
      <c r="BS365" s="44"/>
      <c r="BT365" s="44"/>
      <c r="BU365" s="44"/>
      <c r="BV365" s="44"/>
      <c r="BW365" s="44"/>
      <c r="BX365" s="44"/>
      <c r="BY365" s="44"/>
      <c r="BZ365" s="44"/>
      <c r="CA365" s="44"/>
      <c r="CB365" s="44"/>
      <c r="CC365" s="44"/>
      <c r="CD365" s="44"/>
      <c r="CE365" s="44"/>
      <c r="CF365" s="44"/>
      <c r="CG365" s="46"/>
      <c r="CH365" s="44"/>
      <c r="CI365" s="44"/>
    </row>
    <row r="366" spans="2:87" ht="13.5" customHeight="1">
      <c r="B366" s="1" t="s">
        <v>417</v>
      </c>
      <c r="C366" s="20">
        <f t="shared" si="1658"/>
        <v>6119.836956521739</v>
      </c>
      <c r="D366" s="20">
        <f t="shared" si="1658"/>
        <v>5859.9070307960483</v>
      </c>
      <c r="E366" s="20">
        <f t="shared" si="1658"/>
        <v>5874.4192799070843</v>
      </c>
      <c r="F366" s="20">
        <f t="shared" si="1658"/>
        <v>7136.1403242938695</v>
      </c>
      <c r="G366" s="20">
        <f t="shared" si="1658"/>
        <v>7577.7273708999992</v>
      </c>
      <c r="H366" s="20">
        <f t="shared" si="1639"/>
        <v>7575.4793215000009</v>
      </c>
      <c r="I366" s="20">
        <f t="shared" si="1639"/>
        <v>6389.3455509828882</v>
      </c>
      <c r="J366" s="20">
        <f t="shared" si="1640"/>
        <v>6389.3455509828882</v>
      </c>
      <c r="K366" s="20">
        <f t="shared" si="1640"/>
        <v>6192.1677387605887</v>
      </c>
      <c r="L366" s="20">
        <f t="shared" ref="L366:N366" si="1670">L347*L$267</f>
        <v>6672.1536282972538</v>
      </c>
      <c r="M366" s="20">
        <f t="shared" ref="M366" si="1671">M347*M$267</f>
        <v>6672.1536282972538</v>
      </c>
      <c r="N366" s="20">
        <f t="shared" si="1670"/>
        <v>6218.1290542799998</v>
      </c>
      <c r="O366" s="20">
        <f t="shared" ref="O366" si="1672">O347*O$267</f>
        <v>6218.1290542799998</v>
      </c>
      <c r="P366" s="20">
        <f t="shared" si="1644"/>
        <v>8049.0869888399993</v>
      </c>
      <c r="Q366" s="20">
        <f t="shared" si="1644"/>
        <v>8967.7624557510426</v>
      </c>
      <c r="R366" s="20">
        <f t="shared" ref="R366" si="1673">R347*R$267</f>
        <v>10463.910037868272</v>
      </c>
      <c r="S366" s="20">
        <f t="shared" ref="S366" si="1674">S347*S$267</f>
        <v>10690.802218629802</v>
      </c>
      <c r="U366" s="20"/>
      <c r="V366" s="20"/>
      <c r="W366" s="20"/>
      <c r="X366" s="20">
        <f t="shared" si="1647"/>
        <v>5874.4192799070843</v>
      </c>
      <c r="Y366" s="20">
        <f t="shared" si="1647"/>
        <v>6279.0511430090382</v>
      </c>
      <c r="Z366" s="20">
        <f t="shared" ref="Z366:AF366" si="1675">Z347*Z$267</f>
        <v>6447.0337430167601</v>
      </c>
      <c r="AA366" s="20">
        <f t="shared" si="1675"/>
        <v>6583.2791695745109</v>
      </c>
      <c r="AB366" s="20">
        <f t="shared" si="1675"/>
        <v>7136.1403242938695</v>
      </c>
      <c r="AC366" s="20">
        <f t="shared" si="1675"/>
        <v>7507.572713550001</v>
      </c>
      <c r="AD366" s="20">
        <f t="shared" si="1675"/>
        <v>7902.7312350000002</v>
      </c>
      <c r="AE366" s="20">
        <f t="shared" si="1675"/>
        <v>7797.0353584499999</v>
      </c>
      <c r="AF366" s="20">
        <f t="shared" si="1675"/>
        <v>7577.7273708999992</v>
      </c>
      <c r="AG366" s="20">
        <f t="shared" si="1649"/>
        <v>6235.8686438800005</v>
      </c>
      <c r="AH366" s="20">
        <f t="shared" si="1649"/>
        <v>6244.1942866600002</v>
      </c>
      <c r="AI366" s="20">
        <f t="shared" si="1650"/>
        <v>6774.7396238999991</v>
      </c>
      <c r="AJ366" s="20">
        <f t="shared" si="1650"/>
        <v>6389.3455509828882</v>
      </c>
      <c r="AK366" s="20">
        <f t="shared" si="1650"/>
        <v>6740.2948523206751</v>
      </c>
      <c r="AL366" s="20">
        <f t="shared" si="1651"/>
        <v>6180.5576082137222</v>
      </c>
      <c r="AM366" s="20">
        <f t="shared" si="1651"/>
        <v>6161.2470494605377</v>
      </c>
      <c r="AN366" s="20">
        <f t="shared" si="1651"/>
        <v>6192.1677387605887</v>
      </c>
      <c r="AO366" s="20">
        <f t="shared" si="1651"/>
        <v>6236.1832118780003</v>
      </c>
      <c r="AP366" s="20">
        <f t="shared" si="1652"/>
        <v>6354.7992976046908</v>
      </c>
      <c r="AQ366" s="20">
        <f t="shared" si="1652"/>
        <v>6299.4119111545033</v>
      </c>
      <c r="AR366" s="20">
        <f t="shared" si="1652"/>
        <v>6672.1536282972538</v>
      </c>
      <c r="AS366" s="20">
        <f t="shared" si="1652"/>
        <v>6554.2000102500006</v>
      </c>
      <c r="AT366" s="20">
        <f t="shared" ref="AT366:AW366" si="1676">AT347*AT$267</f>
        <v>6599.6646921200654</v>
      </c>
      <c r="AU366" s="20">
        <f t="shared" si="1676"/>
        <v>6870.5559770499995</v>
      </c>
      <c r="AV366" s="20">
        <f t="shared" si="1676"/>
        <v>6218.1290542799998</v>
      </c>
      <c r="AW366" s="20">
        <f t="shared" si="1676"/>
        <v>7083.1909392199996</v>
      </c>
      <c r="AX366" s="20">
        <f t="shared" ref="AX366:BA366" si="1677">AX347*AX$267</f>
        <v>7416.9614146971053</v>
      </c>
      <c r="AY366" s="20">
        <f t="shared" si="1677"/>
        <v>7716.8779230600012</v>
      </c>
      <c r="AZ366" s="20">
        <f t="shared" si="1677"/>
        <v>8049.0869888399993</v>
      </c>
      <c r="BA366" s="20">
        <f t="shared" si="1677"/>
        <v>9367.5626694000002</v>
      </c>
      <c r="BB366" s="20">
        <f t="shared" ref="BB366:BE366" si="1678">BB347*BB$267</f>
        <v>9038.494599018004</v>
      </c>
      <c r="BC366" s="20">
        <f t="shared" si="1678"/>
        <v>9091.1379922800006</v>
      </c>
      <c r="BD366" s="20">
        <f t="shared" si="1678"/>
        <v>8967.7624557510426</v>
      </c>
      <c r="BE366" s="20">
        <f t="shared" si="1678"/>
        <v>9664.2766155049376</v>
      </c>
      <c r="BF366" s="20">
        <f t="shared" ref="BF366:BG366" si="1679">BF347*BF$267</f>
        <v>10281.168293593641</v>
      </c>
      <c r="BG366" s="20">
        <f t="shared" si="1679"/>
        <v>10544.048611073191</v>
      </c>
      <c r="BH366" s="20">
        <f t="shared" ref="BH366:BI366" si="1680">BH347*BH$267</f>
        <v>10463.910037868272</v>
      </c>
      <c r="BI366" s="20">
        <f t="shared" si="1680"/>
        <v>10690.802218629802</v>
      </c>
      <c r="BJ366" s="44"/>
      <c r="BK366" s="44"/>
      <c r="BL366" s="44"/>
      <c r="BM366" s="44"/>
      <c r="BN366" s="44"/>
      <c r="BO366" s="44"/>
      <c r="BP366" s="44"/>
      <c r="BQ366" s="44"/>
      <c r="BR366" s="44"/>
      <c r="BS366" s="44"/>
      <c r="BT366" s="44"/>
      <c r="BU366" s="44"/>
      <c r="BV366" s="44"/>
      <c r="BW366" s="44"/>
      <c r="BX366" s="44"/>
      <c r="BY366" s="44"/>
      <c r="BZ366" s="44"/>
      <c r="CA366" s="44"/>
      <c r="CB366" s="44"/>
      <c r="CC366" s="44"/>
      <c r="CD366" s="44"/>
      <c r="CE366" s="44"/>
      <c r="CF366" s="44"/>
      <c r="CG366" s="46"/>
      <c r="CH366" s="44"/>
      <c r="CI366" s="44"/>
    </row>
    <row r="367" spans="2:87" ht="13.5" customHeight="1">
      <c r="B367" s="1" t="s">
        <v>406</v>
      </c>
      <c r="C367" s="20">
        <f t="shared" si="1658"/>
        <v>4051.086956521739</v>
      </c>
      <c r="D367" s="20">
        <f t="shared" si="1658"/>
        <v>3715.0493898895988</v>
      </c>
      <c r="E367" s="20">
        <f t="shared" si="1658"/>
        <v>3662.7337398373979</v>
      </c>
      <c r="F367" s="20">
        <f t="shared" si="1658"/>
        <v>4428.6229078245333</v>
      </c>
      <c r="G367" s="20">
        <f t="shared" si="1658"/>
        <v>4187.1350364999998</v>
      </c>
      <c r="H367" s="20">
        <f t="shared" si="1639"/>
        <v>4187.1350364999998</v>
      </c>
      <c r="I367" s="20">
        <f t="shared" si="1639"/>
        <v>4248.5560175181863</v>
      </c>
      <c r="J367" s="20">
        <f t="shared" si="1640"/>
        <v>4248.5560175181863</v>
      </c>
      <c r="K367" s="20">
        <f t="shared" si="1640"/>
        <v>3814.4050757495866</v>
      </c>
      <c r="L367" s="20">
        <f t="shared" ref="L367:N367" si="1681">L348*L$267</f>
        <v>4223.4832256217896</v>
      </c>
      <c r="M367" s="20">
        <f t="shared" ref="M367" si="1682">M348*M$267</f>
        <v>4223.4832256217896</v>
      </c>
      <c r="N367" s="20">
        <f t="shared" si="1681"/>
        <v>3677.4608833599996</v>
      </c>
      <c r="O367" s="20">
        <f t="shared" ref="O367" si="1683">O348*O$267</f>
        <v>3677.4608833599996</v>
      </c>
      <c r="P367" s="20">
        <f t="shared" si="1644"/>
        <v>6096.8481154199999</v>
      </c>
      <c r="Q367" s="20">
        <f t="shared" si="1644"/>
        <v>6861.2184133296832</v>
      </c>
      <c r="R367" s="20">
        <f t="shared" ref="R367" si="1684">R348*R$267</f>
        <v>8058.2823240680091</v>
      </c>
      <c r="S367" s="20">
        <f t="shared" ref="S367" si="1685">S348*S$267</f>
        <v>7678.8663247672685</v>
      </c>
      <c r="U367" s="20"/>
      <c r="V367" s="20"/>
      <c r="W367" s="20"/>
      <c r="X367" s="20">
        <f t="shared" si="1647"/>
        <v>3662.7337398373979</v>
      </c>
      <c r="Y367" s="20">
        <f t="shared" si="1647"/>
        <v>3702.8708133971295</v>
      </c>
      <c r="Z367" s="20">
        <f t="shared" ref="Z367:AF367" si="1686">Z348*Z$267</f>
        <v>3760.5027932960897</v>
      </c>
      <c r="AA367" s="20">
        <f t="shared" si="1686"/>
        <v>3839.508954329895</v>
      </c>
      <c r="AB367" s="20">
        <f t="shared" si="1686"/>
        <v>4428.6229078245333</v>
      </c>
      <c r="AC367" s="20">
        <f t="shared" si="1686"/>
        <v>4647.9673363499996</v>
      </c>
      <c r="AD367" s="20">
        <f t="shared" si="1686"/>
        <v>4462.1871354899995</v>
      </c>
      <c r="AE367" s="20">
        <f t="shared" si="1686"/>
        <v>4272.3373348499999</v>
      </c>
      <c r="AF367" s="20">
        <f t="shared" si="1686"/>
        <v>4187.1350364999998</v>
      </c>
      <c r="AG367" s="20">
        <f t="shared" si="1649"/>
        <v>4266.9798883700005</v>
      </c>
      <c r="AH367" s="20">
        <f t="shared" si="1649"/>
        <v>4340.6465072299998</v>
      </c>
      <c r="AI367" s="20">
        <f t="shared" si="1650"/>
        <v>4301.4804268499993</v>
      </c>
      <c r="AJ367" s="20">
        <f t="shared" si="1650"/>
        <v>4248.5560175181863</v>
      </c>
      <c r="AK367" s="20">
        <f t="shared" si="1650"/>
        <v>3995.517004219409</v>
      </c>
      <c r="AL367" s="20">
        <f t="shared" si="1651"/>
        <v>4036.302389873681</v>
      </c>
      <c r="AM367" s="20">
        <f t="shared" si="1651"/>
        <v>3827.3233067747101</v>
      </c>
      <c r="AN367" s="20">
        <f t="shared" si="1651"/>
        <v>3814.4050757495866</v>
      </c>
      <c r="AO367" s="20">
        <f t="shared" si="1651"/>
        <v>3776.4406644080004</v>
      </c>
      <c r="AP367" s="20">
        <f t="shared" si="1652"/>
        <v>3862.6058765055827</v>
      </c>
      <c r="AQ367" s="20">
        <f t="shared" si="1652"/>
        <v>3892.3388821088606</v>
      </c>
      <c r="AR367" s="20">
        <f t="shared" si="1652"/>
        <v>4223.4832256217896</v>
      </c>
      <c r="AS367" s="20">
        <f t="shared" si="1652"/>
        <v>4116.6262777499996</v>
      </c>
      <c r="AT367" s="20">
        <f t="shared" ref="AT367:AW367" si="1687">AT348*AT$267</f>
        <v>4325.7656926676291</v>
      </c>
      <c r="AU367" s="20">
        <f t="shared" si="1687"/>
        <v>4577.9881221999995</v>
      </c>
      <c r="AV367" s="20">
        <f t="shared" si="1687"/>
        <v>3677.4608833599996</v>
      </c>
      <c r="AW367" s="20">
        <f t="shared" si="1687"/>
        <v>4779.7269618999999</v>
      </c>
      <c r="AX367" s="20">
        <f t="shared" ref="AX367:BA367" si="1688">AX348*AX$267</f>
        <v>5489.3230197802968</v>
      </c>
      <c r="AY367" s="20">
        <f t="shared" si="1688"/>
        <v>5793.1995361999998</v>
      </c>
      <c r="AZ367" s="20">
        <f t="shared" si="1688"/>
        <v>6096.8481154199999</v>
      </c>
      <c r="BA367" s="20">
        <f t="shared" si="1688"/>
        <v>6682.6762856999994</v>
      </c>
      <c r="BB367" s="20">
        <f t="shared" ref="BB367:BE367" si="1689">BB348*BB$267</f>
        <v>6976.5247135842892</v>
      </c>
      <c r="BC367" s="20">
        <f t="shared" si="1689"/>
        <v>6971.1926163300004</v>
      </c>
      <c r="BD367" s="20">
        <f t="shared" si="1689"/>
        <v>6861.2184133296832</v>
      </c>
      <c r="BE367" s="20">
        <f t="shared" si="1689"/>
        <v>7012.389969694008</v>
      </c>
      <c r="BF367" s="20">
        <f t="shared" ref="BF367:BG367" si="1690">BF348*BF$267</f>
        <v>7971.4802901797621</v>
      </c>
      <c r="BG367" s="20">
        <f t="shared" si="1690"/>
        <v>7812.6854587253674</v>
      </c>
      <c r="BH367" s="20">
        <f t="shared" ref="BH367:BI367" si="1691">BH348*BH$267</f>
        <v>8058.2823240680091</v>
      </c>
      <c r="BI367" s="20">
        <f t="shared" si="1691"/>
        <v>7678.8663247672685</v>
      </c>
      <c r="BJ367" s="44"/>
      <c r="BK367" s="44"/>
      <c r="BL367" s="44"/>
      <c r="BM367" s="44"/>
      <c r="BN367" s="44"/>
      <c r="BO367" s="44"/>
      <c r="BP367" s="44"/>
      <c r="BQ367" s="44"/>
      <c r="BR367" s="44"/>
      <c r="BS367" s="44"/>
      <c r="BT367" s="44"/>
      <c r="BU367" s="44"/>
      <c r="BV367" s="44"/>
      <c r="BW367" s="44"/>
      <c r="BX367" s="44"/>
      <c r="BY367" s="44"/>
      <c r="BZ367" s="44"/>
      <c r="CA367" s="44"/>
      <c r="CB367" s="44"/>
      <c r="CC367" s="44"/>
      <c r="CD367" s="44"/>
      <c r="CE367" s="44"/>
      <c r="CF367" s="44"/>
      <c r="CG367" s="46"/>
      <c r="CH367" s="44"/>
      <c r="CI367" s="44"/>
    </row>
    <row r="368" spans="2:87" ht="13.5" customHeight="1">
      <c r="B368" s="1" t="s">
        <v>418</v>
      </c>
      <c r="C368" s="20">
        <f t="shared" si="1658"/>
        <v>5945.108695652174</v>
      </c>
      <c r="D368" s="20">
        <f t="shared" si="1658"/>
        <v>5637.6525276002321</v>
      </c>
      <c r="E368" s="20">
        <f t="shared" si="1658"/>
        <v>5544.6539876113038</v>
      </c>
      <c r="F368" s="20">
        <f t="shared" si="1658"/>
        <v>6769.2157771017337</v>
      </c>
      <c r="G368" s="20">
        <f t="shared" si="1658"/>
        <v>7191.7110855999999</v>
      </c>
      <c r="H368" s="20">
        <f t="shared" si="1639"/>
        <v>7189.4630361999998</v>
      </c>
      <c r="I368" s="20">
        <f t="shared" si="1639"/>
        <v>6059.0947176011277</v>
      </c>
      <c r="J368" s="20">
        <f t="shared" si="1640"/>
        <v>6059.0947176011277</v>
      </c>
      <c r="K368" s="20">
        <f t="shared" si="1640"/>
        <v>5726.7964226711456</v>
      </c>
      <c r="L368" s="20">
        <f t="shared" ref="L368:N368" si="1692">L349*L$267</f>
        <v>6232.8981686526768</v>
      </c>
      <c r="M368" s="20">
        <f t="shared" ref="M368" si="1693">M349*M$267</f>
        <v>6232.8981686526768</v>
      </c>
      <c r="N368" s="20">
        <f t="shared" si="1692"/>
        <v>5586.9576004</v>
      </c>
      <c r="O368" s="20">
        <f t="shared" ref="O368" si="1694">O349*O$267</f>
        <v>5586.9576004</v>
      </c>
      <c r="P368" s="20">
        <f t="shared" si="1644"/>
        <v>7675.1421102000004</v>
      </c>
      <c r="Q368" s="20">
        <f t="shared" si="1644"/>
        <v>8580.7711446370504</v>
      </c>
      <c r="R368" s="20">
        <f t="shared" ref="R368" si="1695">R349*R$267</f>
        <v>9989.9992226454506</v>
      </c>
      <c r="S368" s="20">
        <f t="shared" ref="S368" si="1696">S349*S$267</f>
        <v>9599.6624115056584</v>
      </c>
      <c r="U368" s="20"/>
      <c r="V368" s="20"/>
      <c r="W368" s="20"/>
      <c r="X368" s="20">
        <f t="shared" si="1647"/>
        <v>5544.6539876113038</v>
      </c>
      <c r="Y368" s="20">
        <f t="shared" si="1647"/>
        <v>5865.2287081339709</v>
      </c>
      <c r="Z368" s="20">
        <f t="shared" ref="Z368:AF368" si="1697">Z349*Z$267</f>
        <v>6132.5644692737433</v>
      </c>
      <c r="AA368" s="20">
        <f t="shared" si="1697"/>
        <v>6270.8804862099469</v>
      </c>
      <c r="AB368" s="20">
        <f t="shared" si="1697"/>
        <v>6769.2157771017337</v>
      </c>
      <c r="AC368" s="20">
        <f t="shared" si="1697"/>
        <v>7231.7027308500001</v>
      </c>
      <c r="AD368" s="20">
        <f t="shared" si="1697"/>
        <v>7477.0414271700001</v>
      </c>
      <c r="AE368" s="20">
        <f t="shared" si="1697"/>
        <v>7370.9997125700011</v>
      </c>
      <c r="AF368" s="20">
        <f t="shared" si="1697"/>
        <v>7191.7110855999999</v>
      </c>
      <c r="AG368" s="20">
        <f t="shared" si="1649"/>
        <v>5870.1795438200006</v>
      </c>
      <c r="AH368" s="20">
        <f t="shared" si="1649"/>
        <v>5948.2056584500006</v>
      </c>
      <c r="AI368" s="20">
        <f t="shared" si="1650"/>
        <v>5910.29959392</v>
      </c>
      <c r="AJ368" s="20">
        <f t="shared" si="1650"/>
        <v>6059.0947176011277</v>
      </c>
      <c r="AK368" s="20">
        <f t="shared" si="1650"/>
        <v>5666.7581856540082</v>
      </c>
      <c r="AL368" s="20">
        <f t="shared" si="1651"/>
        <v>5731.2670068766456</v>
      </c>
      <c r="AM368" s="20">
        <f t="shared" si="1651"/>
        <v>5617.1837157353066</v>
      </c>
      <c r="AN368" s="20">
        <f t="shared" si="1651"/>
        <v>5726.7964226711456</v>
      </c>
      <c r="AO368" s="20">
        <f t="shared" si="1651"/>
        <v>5679.3233894200002</v>
      </c>
      <c r="AP368" s="20">
        <f t="shared" si="1652"/>
        <v>5753.6586116591552</v>
      </c>
      <c r="AQ368" s="20">
        <f t="shared" si="1652"/>
        <v>5754.9394679033448</v>
      </c>
      <c r="AR368" s="20">
        <f t="shared" si="1652"/>
        <v>6232.8981686526768</v>
      </c>
      <c r="AS368" s="20">
        <f t="shared" si="1652"/>
        <v>6096.9816922500004</v>
      </c>
      <c r="AT368" s="20">
        <f t="shared" ref="AT368:AW368" si="1698">AT349*AT$267</f>
        <v>6262.5311364428289</v>
      </c>
      <c r="AU368" s="20">
        <f t="shared" si="1698"/>
        <v>6507.5012441500003</v>
      </c>
      <c r="AV368" s="20">
        <f t="shared" si="1698"/>
        <v>5586.9576004</v>
      </c>
      <c r="AW368" s="20">
        <f t="shared" si="1698"/>
        <v>6752.9111183599998</v>
      </c>
      <c r="AX368" s="20">
        <f t="shared" ref="AX368:BA368" si="1699">AX349*AX$267</f>
        <v>7038.187302532835</v>
      </c>
      <c r="AY368" s="20">
        <f t="shared" si="1699"/>
        <v>7358.5436917999996</v>
      </c>
      <c r="AZ368" s="20">
        <f t="shared" si="1699"/>
        <v>7675.1421102000004</v>
      </c>
      <c r="BA368" s="20">
        <f t="shared" si="1699"/>
        <v>8308.235665799999</v>
      </c>
      <c r="BB368" s="20">
        <f t="shared" ref="BB368:BE368" si="1700">BB349*BB$267</f>
        <v>8623.0216039279876</v>
      </c>
      <c r="BC368" s="20">
        <f t="shared" si="1700"/>
        <v>8662.5903455099997</v>
      </c>
      <c r="BD368" s="20">
        <f t="shared" si="1700"/>
        <v>8580.7711446370504</v>
      </c>
      <c r="BE368" s="20">
        <f t="shared" si="1700"/>
        <v>8795.2305210675531</v>
      </c>
      <c r="BF368" s="20">
        <f t="shared" ref="BF368:BG368" si="1701">BF349*BF$267</f>
        <v>9881.4364965061068</v>
      </c>
      <c r="BG368" s="20">
        <f t="shared" si="1701"/>
        <v>9800.4794486886167</v>
      </c>
      <c r="BH368" s="20">
        <f t="shared" ref="BH368:BI368" si="1702">BH349*BH$267</f>
        <v>9989.9992226454506</v>
      </c>
      <c r="BI368" s="20">
        <f t="shared" si="1702"/>
        <v>9599.6624115056584</v>
      </c>
      <c r="BJ368" s="44"/>
      <c r="BK368" s="44"/>
      <c r="BL368" s="44"/>
      <c r="BM368" s="44"/>
      <c r="BN368" s="44"/>
      <c r="BO368" s="44"/>
      <c r="BP368" s="44"/>
      <c r="BQ368" s="44"/>
      <c r="BR368" s="44"/>
      <c r="BS368" s="44"/>
      <c r="BT368" s="44"/>
      <c r="BU368" s="44"/>
      <c r="BV368" s="44"/>
      <c r="BW368" s="44"/>
      <c r="BX368" s="44"/>
      <c r="BY368" s="44"/>
      <c r="BZ368" s="44"/>
      <c r="CA368" s="44"/>
      <c r="CB368" s="44"/>
      <c r="CC368" s="44"/>
      <c r="CD368" s="44"/>
      <c r="CE368" s="44"/>
      <c r="CF368" s="44"/>
      <c r="CG368" s="46"/>
      <c r="CH368" s="44"/>
      <c r="CI368" s="44"/>
    </row>
    <row r="369" spans="2:87" ht="13.5" customHeight="1">
      <c r="B369" s="1" t="s">
        <v>419</v>
      </c>
      <c r="C369" s="44">
        <f t="shared" ref="C369:I369" si="1703">C365/C357</f>
        <v>3.0512129419817779</v>
      </c>
      <c r="D369" s="44">
        <f t="shared" si="1703"/>
        <v>2.6704722797468365</v>
      </c>
      <c r="E369" s="44">
        <f t="shared" si="1703"/>
        <v>2.5423870807836391</v>
      </c>
      <c r="F369" s="44">
        <f t="shared" si="1703"/>
        <v>3.3169497913061692</v>
      </c>
      <c r="G369" s="44">
        <f t="shared" si="1703"/>
        <v>2.770662653448464</v>
      </c>
      <c r="H369" s="44">
        <f t="shared" si="1703"/>
        <v>2.7710996664852856</v>
      </c>
      <c r="I369" s="44">
        <f t="shared" si="1703"/>
        <v>2.638613732634711</v>
      </c>
      <c r="J369" s="44">
        <f t="shared" ref="J369:N369" si="1704">J365/J357</f>
        <v>2.3815264351525633</v>
      </c>
      <c r="K369" s="44">
        <f t="shared" si="1704"/>
        <v>2.0767157235527902</v>
      </c>
      <c r="L369" s="44">
        <f t="shared" si="1704"/>
        <v>1.9194550016943821</v>
      </c>
      <c r="M369" s="44">
        <f t="shared" si="1704"/>
        <v>1.9926318938049126</v>
      </c>
      <c r="N369" s="44">
        <f t="shared" si="1704"/>
        <v>1.6186863775531155</v>
      </c>
      <c r="O369" s="44">
        <f t="shared" ref="O369" si="1705">O365/O357</f>
        <v>1.6186863775531155</v>
      </c>
      <c r="P369" s="44">
        <f>P365/P357</f>
        <v>2.0936377010250231</v>
      </c>
      <c r="Q369" s="44">
        <f>Q365/Q357</f>
        <v>2.3800985491789088</v>
      </c>
      <c r="R369" s="44">
        <f>R365/R357</f>
        <v>2.7513885257711452</v>
      </c>
      <c r="S369" s="44">
        <f t="shared" ref="S369" si="1706">S365/S357</f>
        <v>2.6699000566566551</v>
      </c>
      <c r="U369" s="44"/>
      <c r="V369" s="44"/>
      <c r="W369" s="44"/>
      <c r="X369" s="44">
        <f>X365/X357</f>
        <v>2.5407463242173711</v>
      </c>
      <c r="Y369" s="44">
        <f>Y365/Y357</f>
        <v>2.6958254612565549</v>
      </c>
      <c r="Z369" s="44">
        <f t="shared" ref="Z369:AF369" si="1707">Z365/Z357</f>
        <v>2.6872062263907592</v>
      </c>
      <c r="AA369" s="44">
        <f t="shared" si="1707"/>
        <v>2.7890215360318482</v>
      </c>
      <c r="AB369" s="44">
        <f t="shared" si="1707"/>
        <v>3.3169497913061692</v>
      </c>
      <c r="AC369" s="44">
        <f t="shared" si="1707"/>
        <v>3.2577613098847196</v>
      </c>
      <c r="AD369" s="44">
        <f t="shared" si="1707"/>
        <v>3.2208808415299464</v>
      </c>
      <c r="AE369" s="44">
        <f t="shared" si="1707"/>
        <v>3.0183360471075185</v>
      </c>
      <c r="AF369" s="44">
        <f t="shared" si="1707"/>
        <v>2.7891462387803743</v>
      </c>
      <c r="AG369" s="44">
        <f>AG365/AG357</f>
        <v>2.8051696136267625</v>
      </c>
      <c r="AH369" s="44">
        <f>AH365/AH357</f>
        <v>2.7578013819860985</v>
      </c>
      <c r="AI369" s="44">
        <f>AI365/AI357</f>
        <v>3.0149081196280036</v>
      </c>
      <c r="AJ369" s="44">
        <f>AJ365/AJ357</f>
        <v>2.638613732634711</v>
      </c>
      <c r="AK369" s="248"/>
      <c r="AL369" s="248"/>
      <c r="AM369" s="248"/>
      <c r="AN369" s="247"/>
      <c r="AO369" s="248"/>
      <c r="AP369" s="248"/>
      <c r="AQ369" s="248"/>
      <c r="AR369" s="247"/>
      <c r="AS369" s="44">
        <f t="shared" ref="AS369:AW369" si="1708">AS365/AS357</f>
        <v>7.8894645966876125</v>
      </c>
      <c r="AT369" s="44">
        <f t="shared" si="1708"/>
        <v>3.7458888386977667</v>
      </c>
      <c r="AU369" s="44">
        <f t="shared" si="1708"/>
        <v>2.5254845793655045</v>
      </c>
      <c r="AV369" s="44">
        <f t="shared" si="1708"/>
        <v>1.5866573953041283</v>
      </c>
      <c r="AW369" s="44">
        <f t="shared" si="1708"/>
        <v>1.7529920748602781</v>
      </c>
      <c r="AX369" s="44">
        <f t="shared" ref="AX369:BA369" si="1709">AX365/AX357</f>
        <v>1.8710880135864747</v>
      </c>
      <c r="AY369" s="44">
        <f t="shared" si="1709"/>
        <v>1.9195441421309387</v>
      </c>
      <c r="AZ369" s="44">
        <f t="shared" si="1709"/>
        <v>2.0673157939410816</v>
      </c>
      <c r="BA369" s="44">
        <f t="shared" si="1709"/>
        <v>2.4360727947139438</v>
      </c>
      <c r="BB369" s="44">
        <f t="shared" ref="BB369:BE369" si="1710">BB365/BB357</f>
        <v>2.3630999575654563</v>
      </c>
      <c r="BC369" s="44">
        <f t="shared" si="1710"/>
        <v>2.5429279127520226</v>
      </c>
      <c r="BD369" s="44">
        <f t="shared" si="1710"/>
        <v>2.6220895837889491</v>
      </c>
      <c r="BE369" s="44">
        <f t="shared" si="1710"/>
        <v>2.8504706373491389</v>
      </c>
      <c r="BF369" s="44">
        <f t="shared" ref="BF369:BG369" si="1711">BF365/BF357</f>
        <v>2.8444579829813952</v>
      </c>
      <c r="BG369" s="44">
        <f t="shared" si="1711"/>
        <v>2.7722003072047801</v>
      </c>
      <c r="BH369" s="44">
        <f t="shared" ref="BH369:BI369" si="1712">BH365/BH357</f>
        <v>2.6264735554453127</v>
      </c>
      <c r="BI369" s="44">
        <f t="shared" si="1712"/>
        <v>2.539016146904288</v>
      </c>
      <c r="BJ369" s="44"/>
      <c r="BK369" s="44"/>
      <c r="BL369" s="44"/>
      <c r="BM369" s="44"/>
      <c r="BN369" s="44"/>
      <c r="BO369" s="44"/>
      <c r="BP369" s="44"/>
      <c r="BQ369" s="44"/>
      <c r="BR369" s="44"/>
      <c r="BS369" s="44"/>
      <c r="BT369" s="44"/>
      <c r="BU369" s="44"/>
      <c r="BV369" s="44"/>
      <c r="BW369" s="44"/>
      <c r="BX369" s="44"/>
      <c r="BY369" s="44"/>
      <c r="BZ369" s="44"/>
      <c r="CA369" s="44"/>
      <c r="CB369" s="44"/>
      <c r="CC369" s="44"/>
      <c r="CD369" s="44"/>
      <c r="CE369" s="44"/>
      <c r="CF369" s="44"/>
      <c r="CG369" s="46"/>
      <c r="CH369" s="44"/>
      <c r="CI369" s="44"/>
    </row>
    <row r="370" spans="2:87" ht="13.5" customHeight="1">
      <c r="B370" s="5" t="s">
        <v>420</v>
      </c>
      <c r="C370" s="43">
        <f t="shared" ref="C370:I370" si="1713">C367/C357</f>
        <v>2.9250519284331777</v>
      </c>
      <c r="D370" s="43">
        <f t="shared" si="1713"/>
        <v>2.5197283935876649</v>
      </c>
      <c r="E370" s="43">
        <f t="shared" si="1713"/>
        <v>2.3323955411299195</v>
      </c>
      <c r="F370" s="43">
        <f t="shared" si="1713"/>
        <v>3.0631580581098103</v>
      </c>
      <c r="G370" s="43">
        <f t="shared" si="1713"/>
        <v>2.5367930895428787</v>
      </c>
      <c r="H370" s="43">
        <f t="shared" si="1713"/>
        <v>2.5371932146358662</v>
      </c>
      <c r="I370" s="43">
        <f t="shared" si="1713"/>
        <v>2.4483011877838838</v>
      </c>
      <c r="J370" s="43">
        <f t="shared" ref="J370:N370" si="1714">J367/J357</f>
        <v>2.2097565580774381</v>
      </c>
      <c r="K370" s="43">
        <f t="shared" si="1714"/>
        <v>1.8508992693903052</v>
      </c>
      <c r="L370" s="43">
        <f t="shared" si="1714"/>
        <v>1.738631853337274</v>
      </c>
      <c r="M370" s="43">
        <f t="shared" si="1714"/>
        <v>1.8049150823993174</v>
      </c>
      <c r="N370" s="43">
        <f t="shared" si="1714"/>
        <v>1.381565046622752</v>
      </c>
      <c r="O370" s="43">
        <f t="shared" ref="O370" si="1715">O367/O357</f>
        <v>1.381565046622752</v>
      </c>
      <c r="P370" s="43">
        <f>P367/P357</f>
        <v>1.9726471057850559</v>
      </c>
      <c r="Q370" s="43">
        <f>Q367/Q357</f>
        <v>2.253022002949701</v>
      </c>
      <c r="R370" s="43">
        <f>R367/R357</f>
        <v>2.5985658273211545</v>
      </c>
      <c r="S370" s="43">
        <f t="shared" ref="S370" si="1716">S367/S357</f>
        <v>2.337718506376167</v>
      </c>
      <c r="U370" s="43"/>
      <c r="V370" s="43"/>
      <c r="W370" s="43"/>
      <c r="X370" s="43">
        <f>X367/X357</f>
        <v>2.3308903048391247</v>
      </c>
      <c r="Y370" s="43">
        <f>Y367/Y357</f>
        <v>2.4248329463676672</v>
      </c>
      <c r="Z370" s="43">
        <f t="shared" ref="Z370:AF370" si="1717">Z367/Z357</f>
        <v>2.4798320955970659</v>
      </c>
      <c r="AA370" s="43">
        <f t="shared" si="1717"/>
        <v>2.5791694073810323</v>
      </c>
      <c r="AB370" s="43">
        <f t="shared" si="1717"/>
        <v>3.0631580581098103</v>
      </c>
      <c r="AC370" s="43">
        <f t="shared" si="1717"/>
        <v>3.0752372949824509</v>
      </c>
      <c r="AD370" s="43">
        <f t="shared" si="1717"/>
        <v>2.940371294670749</v>
      </c>
      <c r="AE370" s="43">
        <f t="shared" si="1717"/>
        <v>2.7446415676384706</v>
      </c>
      <c r="AF370" s="43">
        <f t="shared" si="1717"/>
        <v>2.5537164892507449</v>
      </c>
      <c r="AG370" s="43">
        <f>AG367/AG357</f>
        <v>2.5837378743669981</v>
      </c>
      <c r="AH370" s="43">
        <f>AH367/AH357</f>
        <v>2.5817517632247449</v>
      </c>
      <c r="AI370" s="43">
        <f>AI367/AI357</f>
        <v>2.5104080431948788</v>
      </c>
      <c r="AJ370" s="43">
        <f>AJ367/AJ357</f>
        <v>2.4483011877838838</v>
      </c>
      <c r="AK370" s="248"/>
      <c r="AL370" s="248"/>
      <c r="AM370" s="248"/>
      <c r="AN370" s="247"/>
      <c r="AO370" s="248"/>
      <c r="AP370" s="248"/>
      <c r="AQ370" s="248"/>
      <c r="AR370" s="247"/>
      <c r="AS370" s="43">
        <f t="shared" ref="AS370:AW370" si="1718">AS367/AS357</f>
        <v>7.1008047160764818</v>
      </c>
      <c r="AT370" s="43">
        <f t="shared" si="1718"/>
        <v>3.4750563038086382</v>
      </c>
      <c r="AU370" s="43">
        <f t="shared" si="1718"/>
        <v>2.3399186661983626</v>
      </c>
      <c r="AV370" s="43">
        <f t="shared" si="1718"/>
        <v>1.3542279892608484</v>
      </c>
      <c r="AW370" s="43">
        <f t="shared" si="1718"/>
        <v>1.6396893077470927</v>
      </c>
      <c r="AX370" s="43">
        <f t="shared" ref="AX370:BA370" si="1719">AX367/AX357</f>
        <v>1.7503129675721005</v>
      </c>
      <c r="AY370" s="43">
        <f t="shared" si="1719"/>
        <v>1.807728390069459</v>
      </c>
      <c r="AZ370" s="43">
        <f t="shared" si="1719"/>
        <v>1.9478463325650952</v>
      </c>
      <c r="BA370" s="43">
        <f t="shared" si="1719"/>
        <v>2.1027485118707205</v>
      </c>
      <c r="BB370" s="43">
        <f t="shared" ref="BB370:BE370" si="1720">BB367/BB357</f>
        <v>2.2302800818348825</v>
      </c>
      <c r="BC370" s="43">
        <f t="shared" si="1720"/>
        <v>2.3956570986195427</v>
      </c>
      <c r="BD370" s="43">
        <f t="shared" si="1720"/>
        <v>2.4820928225933128</v>
      </c>
      <c r="BE370" s="43">
        <f t="shared" si="1720"/>
        <v>2.5361636564208201</v>
      </c>
      <c r="BF370" s="43">
        <f t="shared" ref="BF370:BG370" si="1721">BF367/BF357</f>
        <v>2.7086329328663044</v>
      </c>
      <c r="BG370" s="43">
        <f t="shared" si="1721"/>
        <v>2.53128617459998</v>
      </c>
      <c r="BH370" s="43">
        <f t="shared" ref="BH370:BI370" si="1722">BH367/BH357</f>
        <v>2.4805891147743258</v>
      </c>
      <c r="BI370" s="43">
        <f t="shared" si="1722"/>
        <v>2.2231188091882044</v>
      </c>
      <c r="BJ370" s="44"/>
      <c r="BK370" s="44"/>
      <c r="BL370" s="44"/>
      <c r="BM370" s="44"/>
      <c r="BN370" s="44"/>
      <c r="BO370" s="44"/>
      <c r="BP370" s="44"/>
      <c r="BQ370" s="44"/>
      <c r="BR370" s="44"/>
      <c r="BS370" s="44"/>
      <c r="BT370" s="44"/>
      <c r="BU370" s="44"/>
      <c r="BV370" s="44"/>
      <c r="BW370" s="44"/>
      <c r="BX370" s="44"/>
      <c r="BY370" s="44"/>
      <c r="BZ370" s="44"/>
      <c r="CA370" s="44"/>
      <c r="CB370" s="44"/>
      <c r="CC370" s="44"/>
      <c r="CD370" s="44"/>
      <c r="CE370" s="44"/>
      <c r="CF370" s="44"/>
      <c r="CG370" s="46"/>
      <c r="CH370" s="44"/>
      <c r="CI370" s="44"/>
    </row>
    <row r="371" spans="2:87" ht="13.5" customHeight="1">
      <c r="B371" s="1" t="s">
        <v>421</v>
      </c>
      <c r="C371" s="44">
        <f>C366/C358</f>
        <v>3.7157649633297938</v>
      </c>
      <c r="D371" s="44">
        <f t="shared" ref="D371:G371" si="1723">D366/D358</f>
        <v>3.3768233571393336</v>
      </c>
      <c r="E371" s="44">
        <f t="shared" si="1723"/>
        <v>3.2084451587998037</v>
      </c>
      <c r="F371" s="44">
        <f t="shared" si="1723"/>
        <v>4.0763341851917438</v>
      </c>
      <c r="G371" s="44">
        <f t="shared" si="1723"/>
        <v>3.8369401720494363</v>
      </c>
      <c r="H371" s="44">
        <f t="shared" ref="H371:N371" si="1724">H366/H358</f>
        <v>3.8363075156495356</v>
      </c>
      <c r="I371" s="44">
        <f t="shared" si="1724"/>
        <v>3.2496349119811079</v>
      </c>
      <c r="J371" s="44">
        <f t="shared" si="1724"/>
        <v>3.3232228020274421</v>
      </c>
      <c r="K371" s="44">
        <f t="shared" si="1724"/>
        <v>3.0046831723455387</v>
      </c>
      <c r="L371" s="44">
        <f t="shared" si="1724"/>
        <v>2.7466473071666182</v>
      </c>
      <c r="M371" s="44">
        <f t="shared" ref="M371" si="1725">M366/M358</f>
        <v>2.8513599018795905</v>
      </c>
      <c r="N371" s="44">
        <f t="shared" si="1724"/>
        <v>2.3360546935127409</v>
      </c>
      <c r="O371" s="44">
        <f t="shared" ref="O371" si="1726">O366/O358</f>
        <v>2.3360546935127409</v>
      </c>
      <c r="P371" s="44">
        <f>P366/P358</f>
        <v>2.6042978030876482</v>
      </c>
      <c r="Q371" s="44">
        <f>Q366/Q358</f>
        <v>2.9447490099981035</v>
      </c>
      <c r="R371" s="44">
        <f>R366/R358</f>
        <v>3.374312037114203</v>
      </c>
      <c r="S371" s="44">
        <f t="shared" ref="S371" si="1727">S366/S358</f>
        <v>3.254658322920569</v>
      </c>
      <c r="U371" s="44"/>
      <c r="V371" s="44"/>
      <c r="W371" s="44"/>
      <c r="X371" s="44">
        <f t="shared" ref="X371:AG371" si="1728">X366/X358</f>
        <v>3.2063745545627067</v>
      </c>
      <c r="Y371" s="44">
        <f t="shared" si="1728"/>
        <v>3.504008444902226</v>
      </c>
      <c r="Z371" s="44">
        <f t="shared" si="1728"/>
        <v>3.5997510841899887</v>
      </c>
      <c r="AA371" s="44">
        <f t="shared" si="1728"/>
        <v>3.7014260281077247</v>
      </c>
      <c r="AB371" s="44">
        <f t="shared" si="1728"/>
        <v>4.0763341851917438</v>
      </c>
      <c r="AC371" s="44">
        <f t="shared" si="1728"/>
        <v>4.1058798747256038</v>
      </c>
      <c r="AD371" s="44">
        <f t="shared" si="1728"/>
        <v>4.3049108052270766</v>
      </c>
      <c r="AE371" s="44">
        <f t="shared" si="1728"/>
        <v>4.1560296848155618</v>
      </c>
      <c r="AF371" s="44">
        <f t="shared" si="1728"/>
        <v>3.8625370851183156</v>
      </c>
      <c r="AG371" s="44">
        <f t="shared" si="1728"/>
        <v>3.2049176108198019</v>
      </c>
      <c r="AH371" s="44">
        <f t="shared" ref="AH371:AM371" si="1729">AH366/AH358</f>
        <v>3.1971060219049723</v>
      </c>
      <c r="AI371" s="44">
        <f t="shared" si="1729"/>
        <v>3.4550581160430123</v>
      </c>
      <c r="AJ371" s="44">
        <f t="shared" si="1729"/>
        <v>3.2496349119811079</v>
      </c>
      <c r="AK371" s="44">
        <f t="shared" si="1729"/>
        <v>3.4231465739240377</v>
      </c>
      <c r="AL371" s="44">
        <f t="shared" si="1729"/>
        <v>3.0884464745840301</v>
      </c>
      <c r="AM371" s="44">
        <f t="shared" si="1729"/>
        <v>3.0601692265085485</v>
      </c>
      <c r="AN371" s="44">
        <f t="shared" ref="AN371:AS371" si="1730">AN366/AN358</f>
        <v>3.0046831723455387</v>
      </c>
      <c r="AO371" s="44">
        <f t="shared" si="1730"/>
        <v>2.895707073200358</v>
      </c>
      <c r="AP371" s="44">
        <f t="shared" si="1730"/>
        <v>2.8017170993716034</v>
      </c>
      <c r="AQ371" s="44">
        <f t="shared" si="1730"/>
        <v>2.6546522471909002</v>
      </c>
      <c r="AR371" s="44">
        <f t="shared" si="1730"/>
        <v>2.8513599018795905</v>
      </c>
      <c r="AS371" s="44">
        <f t="shared" si="1730"/>
        <v>2.7274860567845072</v>
      </c>
      <c r="AT371" s="44">
        <f t="shared" ref="AT371:AW371" si="1731">AT366/AT358</f>
        <v>2.6920294861362724</v>
      </c>
      <c r="AU371" s="44">
        <f t="shared" si="1731"/>
        <v>2.7175849335794311</v>
      </c>
      <c r="AV371" s="44">
        <f t="shared" si="1731"/>
        <v>2.3360546935127409</v>
      </c>
      <c r="AW371" s="44">
        <f t="shared" si="1731"/>
        <v>2.5519618864438787</v>
      </c>
      <c r="AX371" s="44">
        <f t="shared" ref="AX371:BA371" si="1732">AX366/AX358</f>
        <v>2.5415543157867497</v>
      </c>
      <c r="AY371" s="44">
        <f t="shared" si="1732"/>
        <v>2.5469222638754898</v>
      </c>
      <c r="AZ371" s="44">
        <f t="shared" si="1732"/>
        <v>2.6042978030876482</v>
      </c>
      <c r="BA371" s="44">
        <f t="shared" si="1732"/>
        <v>3.0149411277603662</v>
      </c>
      <c r="BB371" s="44">
        <f t="shared" ref="BB371:BE371" si="1733">BB366/BB358</f>
        <v>2.8936871683146665</v>
      </c>
      <c r="BC371" s="44">
        <f t="shared" si="1733"/>
        <v>2.9118842430624441</v>
      </c>
      <c r="BD371" s="44">
        <f t="shared" si="1733"/>
        <v>2.9447490099981035</v>
      </c>
      <c r="BE371" s="44">
        <f t="shared" si="1733"/>
        <v>3.2675108588538553</v>
      </c>
      <c r="BF371" s="44">
        <f t="shared" ref="BF371:BG371" si="1734">BF366/BF358</f>
        <v>3.5321015754317093</v>
      </c>
      <c r="BG371" s="44">
        <f t="shared" si="1734"/>
        <v>3.5988054342074296</v>
      </c>
      <c r="BH371" s="44">
        <f t="shared" ref="BH371:BI371" si="1735">BH366/BH358</f>
        <v>3.374312037114203</v>
      </c>
      <c r="BI371" s="44">
        <f t="shared" si="1735"/>
        <v>3.254658322920569</v>
      </c>
      <c r="BJ371" s="44"/>
      <c r="BK371" s="44"/>
      <c r="BL371" s="44"/>
      <c r="BM371" s="44"/>
      <c r="BN371" s="44"/>
      <c r="BO371" s="44"/>
      <c r="BP371" s="44"/>
      <c r="BQ371" s="44"/>
      <c r="BR371" s="44"/>
      <c r="BS371" s="44"/>
      <c r="BT371" s="44"/>
      <c r="BU371" s="44"/>
      <c r="BV371" s="44"/>
      <c r="BW371" s="44"/>
      <c r="BX371" s="44"/>
      <c r="BY371" s="44"/>
      <c r="BZ371" s="44"/>
      <c r="CA371" s="44"/>
      <c r="CB371" s="44"/>
      <c r="CC371" s="44"/>
      <c r="CD371" s="44"/>
      <c r="CE371" s="44"/>
      <c r="CF371" s="44"/>
      <c r="CG371" s="46"/>
      <c r="CH371" s="44"/>
      <c r="CI371" s="44"/>
    </row>
    <row r="372" spans="2:87" ht="13.5" customHeight="1">
      <c r="B372" s="5" t="s">
        <v>422</v>
      </c>
      <c r="C372" s="43">
        <f>C368/C358</f>
        <v>3.6096756746027809</v>
      </c>
      <c r="D372" s="43">
        <f t="shared" ref="D372:G372" si="1736">D368/D358</f>
        <v>3.2487472300477616</v>
      </c>
      <c r="E372" s="43">
        <f t="shared" si="1736"/>
        <v>3.0283364867434002</v>
      </c>
      <c r="F372" s="43">
        <f t="shared" si="1736"/>
        <v>3.866738100034421</v>
      </c>
      <c r="G372" s="43">
        <f t="shared" si="1736"/>
        <v>3.6414829696934019</v>
      </c>
      <c r="H372" s="43">
        <f t="shared" ref="H372:N372" si="1737">H368/H358</f>
        <v>3.640824548353113</v>
      </c>
      <c r="I372" s="43">
        <f t="shared" si="1737"/>
        <v>3.0816686266542592</v>
      </c>
      <c r="J372" s="43">
        <f t="shared" si="1737"/>
        <v>3.1514529249523164</v>
      </c>
      <c r="K372" s="43">
        <f t="shared" si="1737"/>
        <v>2.7788667181830542</v>
      </c>
      <c r="L372" s="43">
        <f t="shared" si="1737"/>
        <v>2.5658241588095101</v>
      </c>
      <c r="M372" s="43">
        <f t="shared" ref="M372" si="1738">M368/M358</f>
        <v>2.6636430904739949</v>
      </c>
      <c r="N372" s="43">
        <f t="shared" si="1737"/>
        <v>2.0989333625823776</v>
      </c>
      <c r="O372" s="43">
        <f t="shared" ref="O372" si="1739">O368/O358</f>
        <v>2.0989333625823776</v>
      </c>
      <c r="P372" s="43">
        <f>P368/P358</f>
        <v>2.4833072078476812</v>
      </c>
      <c r="Q372" s="43">
        <f>Q368/Q358</f>
        <v>2.8176724637688961</v>
      </c>
      <c r="R372" s="43">
        <f>R368/R358</f>
        <v>3.2214893386642127</v>
      </c>
      <c r="S372" s="43">
        <f>S368/S358</f>
        <v>2.92247677264008</v>
      </c>
      <c r="U372" s="43"/>
      <c r="V372" s="43"/>
      <c r="W372" s="43"/>
      <c r="X372" s="43">
        <f t="shared" ref="X372:AG372" si="1740">X368/X358</f>
        <v>3.02638211755507</v>
      </c>
      <c r="Y372" s="43">
        <f t="shared" si="1740"/>
        <v>3.2730758925998487</v>
      </c>
      <c r="Z372" s="43">
        <f t="shared" si="1740"/>
        <v>3.4241647363867025</v>
      </c>
      <c r="AA372" s="43">
        <f t="shared" si="1740"/>
        <v>3.5257809448646702</v>
      </c>
      <c r="AB372" s="43">
        <f t="shared" si="1740"/>
        <v>3.866738100034421</v>
      </c>
      <c r="AC372" s="43">
        <f t="shared" si="1740"/>
        <v>3.9550070089903837</v>
      </c>
      <c r="AD372" s="43">
        <f t="shared" si="1740"/>
        <v>4.073021778647723</v>
      </c>
      <c r="AE372" s="43">
        <f t="shared" si="1740"/>
        <v>3.9289412198199596</v>
      </c>
      <c r="AF372" s="43">
        <f t="shared" si="1740"/>
        <v>3.6657759528616167</v>
      </c>
      <c r="AG372" s="43">
        <f t="shared" si="1740"/>
        <v>3.0169721129592331</v>
      </c>
      <c r="AH372" s="43">
        <f t="shared" ref="AH372:AM372" si="1741">AH368/AH358</f>
        <v>3.0455561209534183</v>
      </c>
      <c r="AI372" s="43">
        <f t="shared" si="1741"/>
        <v>3.014201240764975</v>
      </c>
      <c r="AJ372" s="43">
        <f t="shared" si="1741"/>
        <v>3.0816686266542592</v>
      </c>
      <c r="AK372" s="43">
        <f t="shared" si="1741"/>
        <v>2.8779369884388304</v>
      </c>
      <c r="AL372" s="43">
        <f t="shared" si="1741"/>
        <v>2.8639343736177429</v>
      </c>
      <c r="AM372" s="43">
        <f t="shared" si="1741"/>
        <v>2.7899437579025821</v>
      </c>
      <c r="AN372" s="43">
        <f t="shared" ref="AN372:AS372" si="1742">AN368/AN358</f>
        <v>2.7788667181830542</v>
      </c>
      <c r="AO372" s="43">
        <f t="shared" si="1742"/>
        <v>2.6371349832076514</v>
      </c>
      <c r="AP372" s="43">
        <f t="shared" si="1742"/>
        <v>2.5366849464952073</v>
      </c>
      <c r="AQ372" s="43">
        <f t="shared" si="1742"/>
        <v>2.4252046391608819</v>
      </c>
      <c r="AR372" s="43">
        <f t="shared" si="1742"/>
        <v>2.6636430904739949</v>
      </c>
      <c r="AS372" s="43">
        <f t="shared" si="1742"/>
        <v>2.5372177425278144</v>
      </c>
      <c r="AT372" s="43">
        <f t="shared" ref="AT372:AW372" si="1743">AT368/AT358</f>
        <v>2.5545113674153743</v>
      </c>
      <c r="AU372" s="43">
        <f t="shared" si="1743"/>
        <v>2.5739819885645834</v>
      </c>
      <c r="AV372" s="43">
        <f t="shared" si="1743"/>
        <v>2.0989333625823776</v>
      </c>
      <c r="AW372" s="43">
        <f t="shared" si="1743"/>
        <v>2.4329672804917419</v>
      </c>
      <c r="AX372" s="43">
        <f t="shared" ref="AX372:BA372" si="1744">AX368/AX358</f>
        <v>2.411760600321033</v>
      </c>
      <c r="AY372" s="43">
        <f t="shared" si="1744"/>
        <v>2.4286555968886274</v>
      </c>
      <c r="AZ372" s="43">
        <f t="shared" si="1744"/>
        <v>2.4833072078476812</v>
      </c>
      <c r="BA372" s="43">
        <f t="shared" si="1744"/>
        <v>2.6739977400706669</v>
      </c>
      <c r="BB372" s="43">
        <f t="shared" ref="BB372:BE372" si="1745">BB368/BB358</f>
        <v>2.760672885736696</v>
      </c>
      <c r="BC372" s="43">
        <f t="shared" si="1745"/>
        <v>2.7746207738366189</v>
      </c>
      <c r="BD372" s="43">
        <f t="shared" si="1745"/>
        <v>2.8176724637688961</v>
      </c>
      <c r="BE372" s="43">
        <f t="shared" si="1745"/>
        <v>2.9736846716084564</v>
      </c>
      <c r="BF372" s="43">
        <f t="shared" ref="BF372:BG372" si="1746">BF368/BF358</f>
        <v>3.3947734751687459</v>
      </c>
      <c r="BG372" s="43">
        <f t="shared" si="1746"/>
        <v>3.3450167007707852</v>
      </c>
      <c r="BH372" s="43">
        <f t="shared" ref="BH372:BI372" si="1747">BH368/BH358</f>
        <v>3.2214893386642127</v>
      </c>
      <c r="BI372" s="43">
        <f t="shared" si="1747"/>
        <v>2.92247677264008</v>
      </c>
      <c r="BJ372" s="44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4"/>
      <c r="CC372" s="44"/>
      <c r="CD372" s="44"/>
      <c r="CE372" s="44"/>
      <c r="CF372" s="44"/>
      <c r="CG372" s="46"/>
      <c r="CH372" s="44"/>
      <c r="CI372" s="44"/>
    </row>
    <row r="373" spans="2:87" ht="13.5" customHeight="1">
      <c r="C373" s="134"/>
      <c r="D373" s="135"/>
      <c r="E373" s="135"/>
      <c r="F373" s="135"/>
      <c r="G373" s="135"/>
      <c r="H373" s="135"/>
      <c r="I373" s="135"/>
      <c r="J373" s="135"/>
      <c r="K373" s="135"/>
      <c r="L373" s="135"/>
      <c r="M373" s="135"/>
      <c r="N373" s="135"/>
      <c r="O373" s="135"/>
      <c r="P373" s="135"/>
      <c r="Q373" s="135"/>
      <c r="R373" s="135"/>
      <c r="S373" s="135"/>
      <c r="U373" s="135"/>
      <c r="V373" s="135"/>
      <c r="W373" s="135"/>
      <c r="X373" s="135"/>
      <c r="Y373" s="135"/>
      <c r="Z373" s="135"/>
      <c r="AA373" s="135"/>
      <c r="AB373" s="135"/>
      <c r="AC373" s="135"/>
      <c r="AD373" s="135"/>
      <c r="AE373" s="135"/>
      <c r="AF373" s="135"/>
      <c r="AG373" s="135"/>
      <c r="AH373" s="135"/>
      <c r="AI373" s="135"/>
      <c r="AJ373" s="135"/>
      <c r="AK373" s="135"/>
      <c r="AL373" s="135"/>
      <c r="AN373" s="135"/>
      <c r="AO373" s="135"/>
      <c r="AP373" s="135"/>
      <c r="AQ373" s="135"/>
      <c r="AR373" s="135"/>
      <c r="AS373" s="135"/>
      <c r="AT373" s="135"/>
      <c r="AU373" s="135"/>
      <c r="AV373" s="135"/>
      <c r="AW373" s="135"/>
      <c r="AX373" s="135"/>
      <c r="AY373" s="135"/>
      <c r="AZ373" s="135"/>
      <c r="BA373" s="135"/>
      <c r="BB373" s="135"/>
      <c r="BC373" s="135"/>
      <c r="BD373" s="135"/>
      <c r="BE373" s="135"/>
      <c r="BF373" s="135"/>
      <c r="BG373" s="135"/>
      <c r="BH373" s="135"/>
      <c r="BI373" s="135"/>
      <c r="BJ373" s="44"/>
      <c r="BK373" s="135"/>
      <c r="BL373" s="135"/>
      <c r="BM373" s="135"/>
      <c r="BN373" s="135"/>
      <c r="BO373" s="135"/>
      <c r="BP373" s="135"/>
      <c r="BQ373" s="135"/>
      <c r="BR373" s="135"/>
      <c r="BS373" s="135"/>
      <c r="BT373" s="46"/>
      <c r="BU373" s="46"/>
      <c r="BV373" s="135"/>
      <c r="BW373" s="135"/>
      <c r="BX373" s="135"/>
      <c r="BY373" s="46"/>
      <c r="BZ373" s="46"/>
      <c r="CA373" s="135"/>
      <c r="CB373" s="135"/>
      <c r="CC373" s="46"/>
      <c r="CD373" s="46"/>
      <c r="CE373" s="135"/>
      <c r="CF373" s="135"/>
      <c r="CG373" s="46"/>
      <c r="CH373" s="46"/>
      <c r="CI373" s="135"/>
    </row>
    <row r="374" spans="2:87" ht="13.5" customHeight="1">
      <c r="C374" s="134"/>
      <c r="D374" s="135"/>
      <c r="E374" s="135"/>
      <c r="F374" s="135"/>
      <c r="G374" s="135"/>
      <c r="H374" s="135"/>
      <c r="I374" s="135"/>
      <c r="J374" s="135"/>
      <c r="K374" s="135"/>
      <c r="L374" s="135"/>
      <c r="M374" s="135"/>
      <c r="N374" s="135"/>
      <c r="O374" s="135"/>
      <c r="P374" s="135"/>
      <c r="Q374" s="135"/>
      <c r="R374" s="5"/>
      <c r="BJ374" s="44"/>
      <c r="BK374" s="135"/>
      <c r="BL374" s="135"/>
      <c r="BM374" s="135"/>
      <c r="BN374" s="135"/>
      <c r="BO374" s="135"/>
      <c r="BP374" s="135"/>
      <c r="BQ374" s="135"/>
      <c r="BR374" s="135"/>
      <c r="BS374" s="135"/>
      <c r="BT374" s="46"/>
      <c r="BU374" s="46"/>
      <c r="BV374" s="135"/>
      <c r="BW374" s="135"/>
      <c r="BX374" s="135"/>
      <c r="BY374" s="46"/>
      <c r="BZ374" s="46"/>
      <c r="CA374" s="135"/>
      <c r="CB374" s="135"/>
      <c r="CC374" s="46"/>
      <c r="CD374" s="46"/>
      <c r="CE374" s="135"/>
      <c r="CF374" s="135"/>
      <c r="CG374" s="46"/>
      <c r="CH374" s="46"/>
      <c r="CI374" s="135"/>
    </row>
    <row r="375" spans="2:87" ht="13.5" customHeight="1">
      <c r="B375" s="371" t="s">
        <v>425</v>
      </c>
      <c r="C375" s="369"/>
      <c r="D375" s="370"/>
      <c r="E375" s="370"/>
      <c r="F375" s="370"/>
      <c r="G375" s="370"/>
      <c r="H375" s="370"/>
      <c r="I375" s="370"/>
      <c r="J375" s="370"/>
      <c r="K375" s="370"/>
      <c r="L375" s="370"/>
      <c r="M375" s="370"/>
      <c r="N375" s="370"/>
      <c r="O375" s="370"/>
      <c r="P375" s="370"/>
      <c r="Q375" s="370"/>
      <c r="R375" s="370"/>
      <c r="S375" s="370"/>
      <c r="U375" s="370"/>
      <c r="V375" s="370"/>
      <c r="W375" s="370"/>
      <c r="X375" s="370"/>
      <c r="Y375" s="370"/>
      <c r="Z375" s="370"/>
      <c r="AA375" s="370"/>
      <c r="AB375" s="370"/>
      <c r="AC375" s="370"/>
      <c r="AD375" s="370"/>
      <c r="AE375" s="370"/>
      <c r="AF375" s="370"/>
      <c r="AG375" s="370"/>
      <c r="AH375" s="370"/>
      <c r="AI375" s="370"/>
      <c r="AJ375" s="370"/>
      <c r="AK375" s="370"/>
      <c r="AL375" s="370"/>
      <c r="AM375" s="362"/>
      <c r="AN375" s="370"/>
      <c r="AO375" s="370"/>
      <c r="AP375" s="370"/>
      <c r="AQ375" s="370"/>
      <c r="AR375" s="370"/>
      <c r="AS375" s="370"/>
      <c r="AT375" s="370"/>
      <c r="AU375" s="370"/>
      <c r="AV375" s="370"/>
      <c r="AW375" s="370"/>
      <c r="AX375" s="370"/>
      <c r="AY375" s="370"/>
      <c r="AZ375" s="370"/>
      <c r="BA375" s="370"/>
      <c r="BB375" s="370"/>
      <c r="BC375" s="370"/>
      <c r="BD375" s="370"/>
      <c r="BE375" s="370"/>
      <c r="BF375" s="370"/>
      <c r="BG375" s="370"/>
      <c r="BH375" s="370"/>
      <c r="BI375" s="370"/>
      <c r="BJ375" s="44"/>
      <c r="BK375" s="135"/>
      <c r="BL375" s="135"/>
      <c r="BM375" s="135"/>
      <c r="BN375" s="135"/>
      <c r="BO375" s="135"/>
      <c r="BP375" s="135"/>
      <c r="BQ375" s="135"/>
      <c r="BR375" s="135"/>
      <c r="BS375" s="135"/>
      <c r="BT375" s="46"/>
      <c r="BU375" s="46"/>
      <c r="BV375" s="135"/>
      <c r="BW375" s="135"/>
      <c r="BX375" s="135"/>
      <c r="BY375" s="46"/>
      <c r="BZ375" s="46"/>
      <c r="CA375" s="135"/>
      <c r="CB375" s="135"/>
      <c r="CC375" s="46"/>
      <c r="CD375" s="46"/>
      <c r="CE375" s="135"/>
      <c r="CF375" s="135"/>
      <c r="CG375" s="46"/>
      <c r="CH375" s="46"/>
      <c r="CI375" s="135"/>
    </row>
    <row r="376" spans="2:87" ht="13.5" customHeight="1">
      <c r="B376" s="362"/>
      <c r="C376" s="369"/>
      <c r="D376" s="370"/>
      <c r="E376" s="370"/>
      <c r="F376" s="370"/>
      <c r="G376" s="370"/>
      <c r="H376" s="370"/>
      <c r="I376" s="370"/>
      <c r="J376" s="370"/>
      <c r="K376" s="370"/>
      <c r="L376" s="370"/>
      <c r="M376" s="370"/>
      <c r="N376" s="370"/>
      <c r="O376" s="370"/>
      <c r="P376" s="370"/>
      <c r="Q376" s="370"/>
      <c r="R376" s="370"/>
      <c r="S376" s="370"/>
      <c r="U376" s="370"/>
      <c r="V376" s="370"/>
      <c r="W376" s="370"/>
      <c r="X376" s="370"/>
      <c r="Y376" s="370"/>
      <c r="Z376" s="370"/>
      <c r="AA376" s="370"/>
      <c r="AB376" s="370"/>
      <c r="AC376" s="370"/>
      <c r="AD376" s="370"/>
      <c r="AE376" s="370"/>
      <c r="AF376" s="370"/>
      <c r="AG376" s="370"/>
      <c r="AH376" s="370"/>
      <c r="AI376" s="370"/>
      <c r="AJ376" s="370"/>
      <c r="AK376" s="370"/>
      <c r="AL376" s="370"/>
      <c r="AM376" s="362"/>
      <c r="AN376" s="370"/>
      <c r="AO376" s="370"/>
      <c r="AP376" s="370"/>
      <c r="AQ376" s="370"/>
      <c r="AR376" s="370"/>
      <c r="AS376" s="370"/>
      <c r="AT376" s="370"/>
      <c r="AU376" s="370"/>
      <c r="AV376" s="370"/>
      <c r="AW376" s="370"/>
      <c r="AX376" s="370"/>
      <c r="AY376" s="370"/>
      <c r="AZ376" s="370"/>
      <c r="BA376" s="370"/>
      <c r="BB376" s="370"/>
      <c r="BC376" s="370"/>
      <c r="BD376" s="370"/>
      <c r="BE376" s="370"/>
      <c r="BF376" s="370"/>
      <c r="BG376" s="370"/>
      <c r="BH376" s="370"/>
      <c r="BI376" s="370"/>
      <c r="BJ376" s="44"/>
      <c r="BK376" s="135"/>
      <c r="BL376" s="135"/>
      <c r="BM376" s="135"/>
      <c r="BN376" s="135"/>
      <c r="BO376" s="135"/>
      <c r="BP376" s="135"/>
      <c r="BQ376" s="135"/>
      <c r="BR376" s="135"/>
      <c r="BS376" s="135"/>
      <c r="BT376" s="46"/>
      <c r="BU376" s="46"/>
      <c r="BV376" s="135"/>
      <c r="BW376" s="135"/>
      <c r="BX376" s="135"/>
      <c r="BY376" s="46"/>
      <c r="BZ376" s="46"/>
      <c r="CA376" s="135"/>
      <c r="CB376" s="135"/>
      <c r="CC376" s="46"/>
      <c r="CD376" s="46"/>
      <c r="CE376" s="135"/>
      <c r="CF376" s="135"/>
      <c r="CG376" s="46"/>
      <c r="CH376" s="46"/>
      <c r="CI376" s="135"/>
    </row>
    <row r="377" spans="2:87" ht="13.5" customHeight="1">
      <c r="C377" s="134"/>
      <c r="D377" s="135"/>
      <c r="E377" s="135"/>
      <c r="F377" s="135"/>
      <c r="G377" s="135"/>
      <c r="H377" s="135"/>
      <c r="I377" s="135"/>
      <c r="J377" s="135"/>
      <c r="K377" s="135"/>
      <c r="L377" s="135"/>
      <c r="M377" s="135"/>
      <c r="N377" s="135"/>
      <c r="O377" s="135"/>
      <c r="P377" s="135"/>
      <c r="Q377" s="135"/>
      <c r="R377" s="135"/>
      <c r="S377" s="135"/>
      <c r="U377" s="135"/>
      <c r="V377" s="135"/>
      <c r="W377" s="135"/>
      <c r="X377" s="135"/>
      <c r="Y377" s="135"/>
      <c r="Z377" s="135"/>
      <c r="AA377" s="135"/>
      <c r="AB377" s="135"/>
      <c r="AC377" s="135"/>
      <c r="AD377" s="135"/>
      <c r="AE377" s="135"/>
      <c r="AF377" s="135"/>
      <c r="AG377" s="135"/>
      <c r="AH377" s="135"/>
      <c r="AI377" s="135"/>
      <c r="AJ377" s="135"/>
      <c r="AK377" s="135"/>
      <c r="AL377" s="135"/>
      <c r="AN377" s="135"/>
      <c r="AO377" s="135"/>
      <c r="AP377" s="135"/>
      <c r="AQ377" s="135"/>
      <c r="AR377" s="135"/>
      <c r="AS377" s="135"/>
      <c r="AT377" s="135"/>
      <c r="AU377" s="135"/>
      <c r="AV377" s="135"/>
      <c r="AW377" s="135"/>
      <c r="AX377" s="135"/>
      <c r="AY377" s="135"/>
      <c r="AZ377" s="135"/>
      <c r="BA377" s="135"/>
      <c r="BB377" s="135"/>
      <c r="BC377" s="135"/>
      <c r="BD377" s="135"/>
      <c r="BE377" s="135"/>
      <c r="BF377" s="135"/>
      <c r="BG377" s="135"/>
      <c r="BH377" s="135"/>
      <c r="BI377" s="135"/>
      <c r="BJ377" s="44"/>
      <c r="BK377" s="135"/>
      <c r="BL377" s="135"/>
      <c r="BM377" s="135"/>
      <c r="BN377" s="135"/>
      <c r="BO377" s="135"/>
      <c r="BP377" s="135"/>
      <c r="BQ377" s="135"/>
      <c r="BR377" s="135"/>
      <c r="BS377" s="135"/>
      <c r="BT377" s="135"/>
      <c r="BU377" s="135"/>
      <c r="BV377" s="135"/>
      <c r="BW377" s="135"/>
      <c r="BX377" s="135"/>
      <c r="BY377" s="135"/>
      <c r="BZ377" s="135"/>
      <c r="CA377" s="135"/>
      <c r="CB377" s="135"/>
      <c r="CC377" s="135"/>
      <c r="CD377" s="135"/>
      <c r="CE377" s="135"/>
      <c r="CF377" s="135"/>
      <c r="CG377" s="135"/>
      <c r="CH377" s="135"/>
      <c r="CI377" s="135"/>
    </row>
    <row r="378" spans="2:87" ht="13.5" customHeight="1">
      <c r="B378" s="372" t="s">
        <v>426</v>
      </c>
      <c r="C378" s="38">
        <f t="shared" ref="C378:R378" si="1748">C3</f>
        <v>41975</v>
      </c>
      <c r="D378" s="38">
        <f t="shared" si="1748"/>
        <v>42341</v>
      </c>
      <c r="E378" s="38">
        <f t="shared" si="1748"/>
        <v>42708</v>
      </c>
      <c r="F378" s="38">
        <f t="shared" si="1748"/>
        <v>43074</v>
      </c>
      <c r="G378" s="38">
        <f t="shared" si="1748"/>
        <v>43439</v>
      </c>
      <c r="H378" s="38">
        <f t="shared" si="1748"/>
        <v>43439</v>
      </c>
      <c r="I378" s="38">
        <f t="shared" si="1748"/>
        <v>43804</v>
      </c>
      <c r="J378" s="38">
        <f t="shared" si="1748"/>
        <v>43804</v>
      </c>
      <c r="K378" s="38">
        <f t="shared" si="1748"/>
        <v>44170</v>
      </c>
      <c r="L378" s="38">
        <f t="shared" si="1748"/>
        <v>44535</v>
      </c>
      <c r="M378" s="38">
        <f t="shared" si="1748"/>
        <v>44535</v>
      </c>
      <c r="N378" s="38">
        <f t="shared" si="1748"/>
        <v>44900</v>
      </c>
      <c r="O378" s="38">
        <f t="shared" si="1748"/>
        <v>44900</v>
      </c>
      <c r="P378" s="38">
        <f t="shared" si="1748"/>
        <v>45265</v>
      </c>
      <c r="Q378" s="38">
        <f t="shared" si="1748"/>
        <v>45631</v>
      </c>
      <c r="R378" s="38">
        <f t="shared" si="1748"/>
        <v>45996</v>
      </c>
      <c r="S378" s="38" t="s">
        <v>277</v>
      </c>
      <c r="U378" s="38">
        <v>42437</v>
      </c>
      <c r="V378" s="38">
        <v>42527</v>
      </c>
      <c r="W378" s="38">
        <v>42622</v>
      </c>
      <c r="X378" s="38">
        <v>42714</v>
      </c>
      <c r="Y378" s="38">
        <v>42801</v>
      </c>
      <c r="Z378" s="38">
        <v>42892</v>
      </c>
      <c r="AA378" s="38">
        <v>42987</v>
      </c>
      <c r="AB378" s="38">
        <v>43079</v>
      </c>
      <c r="AC378" s="38">
        <v>43166</v>
      </c>
      <c r="AD378" s="38">
        <v>42892</v>
      </c>
      <c r="AE378" s="38">
        <f t="shared" ref="AE378:BH378" si="1749">AE3</f>
        <v>43373</v>
      </c>
      <c r="AF378" s="38">
        <f t="shared" si="1749"/>
        <v>43465</v>
      </c>
      <c r="AG378" s="38">
        <f t="shared" si="1749"/>
        <v>43555</v>
      </c>
      <c r="AH378" s="38">
        <f t="shared" si="1749"/>
        <v>43646</v>
      </c>
      <c r="AI378" s="38">
        <f t="shared" si="1749"/>
        <v>43738</v>
      </c>
      <c r="AJ378" s="38">
        <f t="shared" si="1749"/>
        <v>43830</v>
      </c>
      <c r="AK378" s="38">
        <f t="shared" si="1749"/>
        <v>43921</v>
      </c>
      <c r="AL378" s="38">
        <f t="shared" si="1749"/>
        <v>44012</v>
      </c>
      <c r="AM378" s="38">
        <f t="shared" si="1749"/>
        <v>44104</v>
      </c>
      <c r="AN378" s="38">
        <f t="shared" si="1749"/>
        <v>44196</v>
      </c>
      <c r="AO378" s="38">
        <f t="shared" si="1749"/>
        <v>44286</v>
      </c>
      <c r="AP378" s="38">
        <f t="shared" si="1749"/>
        <v>44377</v>
      </c>
      <c r="AQ378" s="38">
        <f t="shared" si="1749"/>
        <v>44469</v>
      </c>
      <c r="AR378" s="38">
        <f t="shared" si="1749"/>
        <v>44561</v>
      </c>
      <c r="AS378" s="38">
        <f t="shared" si="1749"/>
        <v>44651</v>
      </c>
      <c r="AT378" s="38">
        <f t="shared" si="1749"/>
        <v>44742</v>
      </c>
      <c r="AU378" s="38">
        <f t="shared" si="1749"/>
        <v>44834</v>
      </c>
      <c r="AV378" s="38">
        <f t="shared" si="1749"/>
        <v>44926</v>
      </c>
      <c r="AW378" s="38">
        <f t="shared" si="1749"/>
        <v>45016</v>
      </c>
      <c r="AX378" s="38">
        <f t="shared" si="1749"/>
        <v>45107</v>
      </c>
      <c r="AY378" s="38">
        <f t="shared" si="1749"/>
        <v>45199</v>
      </c>
      <c r="AZ378" s="38">
        <f t="shared" si="1749"/>
        <v>45291</v>
      </c>
      <c r="BA378" s="197">
        <f t="shared" si="1749"/>
        <v>45382</v>
      </c>
      <c r="BB378" s="197">
        <f t="shared" si="1749"/>
        <v>45473</v>
      </c>
      <c r="BC378" s="197">
        <f t="shared" si="1749"/>
        <v>45565</v>
      </c>
      <c r="BD378" s="197">
        <f t="shared" si="1749"/>
        <v>45657</v>
      </c>
      <c r="BE378" s="197">
        <f t="shared" si="1749"/>
        <v>45747</v>
      </c>
      <c r="BF378" s="197">
        <f t="shared" si="1749"/>
        <v>45838</v>
      </c>
      <c r="BG378" s="197">
        <f t="shared" si="1749"/>
        <v>45930</v>
      </c>
      <c r="BH378" s="197">
        <f t="shared" si="1749"/>
        <v>46022</v>
      </c>
      <c r="BI378" s="197">
        <f t="shared" ref="BI378" si="1750">BI3</f>
        <v>46112</v>
      </c>
      <c r="BJ378" s="44"/>
      <c r="BK378" s="197">
        <f t="shared" ref="BK378:BP378" si="1751">BK3</f>
        <v>43166</v>
      </c>
      <c r="BL378" s="197">
        <f t="shared" si="1751"/>
        <v>43281</v>
      </c>
      <c r="BM378" s="197">
        <f t="shared" si="1751"/>
        <v>43373</v>
      </c>
      <c r="BN378" s="197">
        <f t="shared" si="1751"/>
        <v>43465</v>
      </c>
      <c r="BO378" s="197">
        <f t="shared" si="1751"/>
        <v>43646</v>
      </c>
      <c r="BP378" s="197">
        <f t="shared" si="1751"/>
        <v>43738</v>
      </c>
      <c r="BQ378" s="38">
        <v>43079</v>
      </c>
      <c r="BR378" s="197">
        <f>BR3</f>
        <v>43830</v>
      </c>
      <c r="BS378" s="38">
        <f>BS3</f>
        <v>43921</v>
      </c>
      <c r="BT378" s="38">
        <f>BT3</f>
        <v>44012</v>
      </c>
      <c r="BU378" s="38">
        <f>BU3</f>
        <v>44104</v>
      </c>
      <c r="BV378" s="197">
        <f>BV3</f>
        <v>44196</v>
      </c>
      <c r="BW378" s="197"/>
      <c r="BX378" s="38">
        <f t="shared" ref="BX378:CI378" si="1752">BX3</f>
        <v>44286</v>
      </c>
      <c r="BY378" s="38">
        <f t="shared" si="1752"/>
        <v>44377</v>
      </c>
      <c r="BZ378" s="38">
        <f t="shared" si="1752"/>
        <v>44469</v>
      </c>
      <c r="CA378" s="197">
        <f t="shared" si="1752"/>
        <v>44561</v>
      </c>
      <c r="CB378" s="38">
        <f t="shared" si="1752"/>
        <v>44651</v>
      </c>
      <c r="CC378" s="38">
        <f t="shared" si="1752"/>
        <v>44742</v>
      </c>
      <c r="CD378" s="38">
        <f t="shared" si="1752"/>
        <v>44834</v>
      </c>
      <c r="CE378" s="197">
        <f t="shared" si="1752"/>
        <v>44926</v>
      </c>
      <c r="CF378" s="38">
        <f t="shared" si="1752"/>
        <v>45016</v>
      </c>
      <c r="CG378" s="38">
        <f t="shared" si="1752"/>
        <v>45107</v>
      </c>
      <c r="CH378" s="38">
        <f t="shared" si="1752"/>
        <v>45199</v>
      </c>
      <c r="CI378" s="197">
        <f t="shared" si="1752"/>
        <v>45291</v>
      </c>
    </row>
    <row r="379" spans="2:87" ht="13.5" customHeight="1">
      <c r="B379" s="1" t="s">
        <v>427</v>
      </c>
      <c r="C379" s="4">
        <v>90375</v>
      </c>
      <c r="D379" s="4">
        <v>116399</v>
      </c>
      <c r="E379" s="4">
        <v>135219</v>
      </c>
      <c r="F379" s="4">
        <v>137662</v>
      </c>
      <c r="G379" s="4">
        <v>143848</v>
      </c>
      <c r="H379" s="4">
        <v>143968</v>
      </c>
      <c r="I379" s="4">
        <v>144005</v>
      </c>
      <c r="J379" s="4">
        <v>144005</v>
      </c>
      <c r="K379" s="4">
        <v>176395</v>
      </c>
      <c r="L379" s="4">
        <v>176275</v>
      </c>
      <c r="M379" s="4">
        <v>175369</v>
      </c>
      <c r="N379" s="4">
        <v>205674</v>
      </c>
      <c r="O379" s="4">
        <v>205674</v>
      </c>
      <c r="P379" s="4">
        <v>192534</v>
      </c>
      <c r="Q379" s="4">
        <v>189330</v>
      </c>
      <c r="R379" s="4">
        <v>190211</v>
      </c>
      <c r="S379" s="95">
        <f>SUM(BF379:BI379)</f>
        <v>184164</v>
      </c>
      <c r="U379" s="4">
        <v>30181</v>
      </c>
      <c r="V379" s="4">
        <v>33613</v>
      </c>
      <c r="W379" s="4">
        <v>34460</v>
      </c>
      <c r="X379" s="6">
        <f>E379-W379-V379-U379</f>
        <v>36965</v>
      </c>
      <c r="Y379" s="4">
        <v>34002</v>
      </c>
      <c r="Z379" s="4">
        <v>34204</v>
      </c>
      <c r="AA379" s="4">
        <v>33161</v>
      </c>
      <c r="AB379" s="6">
        <f>+F379-SUM(Y379:AA379)</f>
        <v>36295</v>
      </c>
      <c r="AC379" s="4">
        <v>31983</v>
      </c>
      <c r="AD379" s="4">
        <v>36903</v>
      </c>
      <c r="AE379" s="4">
        <v>36293</v>
      </c>
      <c r="AF379" s="6">
        <f>G379-AE379-AD379-AC379</f>
        <v>38669</v>
      </c>
      <c r="AG379" s="4">
        <v>32830</v>
      </c>
      <c r="AH379" s="4">
        <v>36235</v>
      </c>
      <c r="AI379" s="4">
        <v>37569</v>
      </c>
      <c r="AJ379" s="6">
        <f>I379-AI379-AH379-AG379</f>
        <v>37371</v>
      </c>
      <c r="AK379" s="4">
        <v>36052</v>
      </c>
      <c r="AL379" s="4">
        <v>49412</v>
      </c>
      <c r="AM379" s="4">
        <v>46390</v>
      </c>
      <c r="AN379" s="6">
        <f>K379-AM379-AL379-AK379</f>
        <v>44541</v>
      </c>
      <c r="AO379" s="4">
        <v>38963</v>
      </c>
      <c r="AP379" s="4">
        <v>42744</v>
      </c>
      <c r="AQ379" s="4">
        <v>44272</v>
      </c>
      <c r="AR379" s="6">
        <f>M379-AQ379-AP379-AO379</f>
        <v>49390</v>
      </c>
      <c r="AS379" s="4">
        <v>45578</v>
      </c>
      <c r="AT379" s="4">
        <v>49452</v>
      </c>
      <c r="AU379" s="4">
        <v>52955</v>
      </c>
      <c r="AV379" s="6">
        <f>N379-AU379-AT379-AS379</f>
        <v>57689</v>
      </c>
      <c r="AW379" s="4">
        <v>47246</v>
      </c>
      <c r="AX379" s="4">
        <v>48556</v>
      </c>
      <c r="AY379" s="4">
        <v>47235</v>
      </c>
      <c r="AZ379" s="6">
        <f>P379-AY379-AX379-AW379</f>
        <v>49497</v>
      </c>
      <c r="BA379" s="4">
        <v>41016</v>
      </c>
      <c r="BB379" s="4">
        <v>45371</v>
      </c>
      <c r="BC379" s="4">
        <v>49930</v>
      </c>
      <c r="BD379" s="6">
        <f>Q379-BC379-BB379-BA379</f>
        <v>53013</v>
      </c>
      <c r="BE379" s="4">
        <v>46580</v>
      </c>
      <c r="BF379" s="4">
        <v>49124</v>
      </c>
      <c r="BG379" s="4">
        <v>47470</v>
      </c>
      <c r="BH379" s="6">
        <f>R379-SUM(BE379:BG379)</f>
        <v>47037</v>
      </c>
      <c r="BI379" s="4">
        <v>40533</v>
      </c>
      <c r="BJ379" s="44"/>
      <c r="BK379" s="4">
        <v>32043</v>
      </c>
      <c r="BL379" s="4">
        <v>36920</v>
      </c>
      <c r="BM379" s="4">
        <v>36327</v>
      </c>
      <c r="BN379" s="6">
        <f>H379-BM379-BL379-BK379</f>
        <v>38678</v>
      </c>
      <c r="BO379" s="4">
        <v>36235</v>
      </c>
      <c r="BP379" s="4">
        <v>37569</v>
      </c>
      <c r="BQ379" s="6"/>
      <c r="BR379" s="6" t="e">
        <f>#REF!-BQ379-BP379-BO379</f>
        <v>#REF!</v>
      </c>
      <c r="BS379" s="4">
        <v>36052</v>
      </c>
      <c r="BT379" s="4">
        <v>49412</v>
      </c>
      <c r="BU379" s="4">
        <v>46390</v>
      </c>
      <c r="BV379" s="6">
        <f>K379-BU379-BT379-BS379</f>
        <v>44541</v>
      </c>
      <c r="BW379" s="6"/>
      <c r="BX379" s="4">
        <v>38963</v>
      </c>
      <c r="BY379" s="4">
        <v>42538</v>
      </c>
      <c r="BZ379" s="4">
        <v>44028</v>
      </c>
      <c r="CA379" s="6">
        <f>M379-BZ379-BY379-BX379</f>
        <v>49840</v>
      </c>
      <c r="CB379" s="4">
        <v>45298</v>
      </c>
      <c r="CC379" s="4">
        <v>49452</v>
      </c>
      <c r="CD379" s="4">
        <v>52955</v>
      </c>
      <c r="CE379" s="6">
        <f>O379-CD379-CC379-CB379</f>
        <v>57969</v>
      </c>
      <c r="CF379" s="4">
        <v>47246</v>
      </c>
      <c r="CG379" s="4">
        <v>48556</v>
      </c>
      <c r="CH379" s="4">
        <v>47235</v>
      </c>
      <c r="CI379" s="6">
        <f>P379-CH379-CG379-CF379</f>
        <v>49497</v>
      </c>
    </row>
    <row r="380" spans="2:87" ht="13.5" customHeight="1">
      <c r="B380" s="130"/>
      <c r="C380" s="131">
        <f>C379/(174623*0.07671)-1</f>
        <v>5.7467541130805389</v>
      </c>
      <c r="D380" s="132">
        <f>+D379/C379-1</f>
        <v>0.28795573997233759</v>
      </c>
      <c r="E380" s="132">
        <f>+E379/D379-1</f>
        <v>0.16168523784568589</v>
      </c>
      <c r="F380" s="132">
        <f>+F379/E379-1</f>
        <v>1.8066987627478381E-2</v>
      </c>
      <c r="G380" s="132">
        <f>+G379/F379-1</f>
        <v>4.493614795658929E-2</v>
      </c>
      <c r="H380" s="132">
        <f>+H379/F379-1</f>
        <v>4.5807848207929602E-2</v>
      </c>
      <c r="I380" s="132">
        <f>+I379/H379-1</f>
        <v>2.5700155590135942E-4</v>
      </c>
      <c r="J380" s="132">
        <f>+J379/I379-1</f>
        <v>0</v>
      </c>
      <c r="K380" s="132">
        <f>+K379/I379-1</f>
        <v>0.2249227457379952</v>
      </c>
      <c r="L380" s="132">
        <f>+L379/J379-1</f>
        <v>0.22408944133884234</v>
      </c>
      <c r="M380" s="132">
        <f>+M379/K379-1</f>
        <v>-5.81649139714846E-3</v>
      </c>
      <c r="N380" s="132">
        <f>+N379/L379-1</f>
        <v>0.16677918025811933</v>
      </c>
      <c r="O380" s="132">
        <f>+O379/M379-1</f>
        <v>0.17280705255774964</v>
      </c>
      <c r="P380" s="132">
        <f>+P379/O379-1</f>
        <v>-6.388751130429704E-2</v>
      </c>
      <c r="Q380" s="132">
        <f>+Q379/P379-1</f>
        <v>-1.6641216616285925E-2</v>
      </c>
      <c r="R380" s="132">
        <f>+R379/Q379-1</f>
        <v>4.653250937516562E-3</v>
      </c>
      <c r="S380" s="177"/>
      <c r="U380" s="132"/>
      <c r="V380" s="132"/>
      <c r="W380" s="132"/>
      <c r="X380" s="132"/>
      <c r="Y380" s="132">
        <f t="shared" ref="Y380:AE380" si="1753">Y379/U379-1</f>
        <v>0.12660282959477809</v>
      </c>
      <c r="Z380" s="132">
        <f t="shared" si="1753"/>
        <v>1.7582482967899216E-2</v>
      </c>
      <c r="AA380" s="132">
        <f t="shared" si="1753"/>
        <v>-3.7695879280325029E-2</v>
      </c>
      <c r="AB380" s="132">
        <f t="shared" si="1753"/>
        <v>-1.812525361828754E-2</v>
      </c>
      <c r="AC380" s="132">
        <f t="shared" si="1753"/>
        <v>-5.9378860067054839E-2</v>
      </c>
      <c r="AD380" s="132">
        <f t="shared" si="1753"/>
        <v>7.8908899543912892E-2</v>
      </c>
      <c r="AE380" s="132">
        <f t="shared" si="1753"/>
        <v>9.4448297699104344E-2</v>
      </c>
      <c r="AF380" s="132">
        <f>AF379/AB379-1</f>
        <v>6.540845846535337E-2</v>
      </c>
      <c r="AG380" s="132">
        <f>AG379/BK379-1</f>
        <v>2.4560746496894881E-2</v>
      </c>
      <c r="AH380" s="132">
        <f>AH379/BL379-1</f>
        <v>-1.8553629469122424E-2</v>
      </c>
      <c r="AI380" s="132">
        <f>AI379/BM379-1</f>
        <v>3.4189445866710688E-2</v>
      </c>
      <c r="AJ380" s="132">
        <f>AJ379/BN379-1</f>
        <v>-3.3791819639071297E-2</v>
      </c>
      <c r="AK380" s="137">
        <f>AK379/AG379-1</f>
        <v>9.8141943344501881E-2</v>
      </c>
      <c r="AL380" s="137">
        <f>AL379/BO379-1</f>
        <v>0.36365392576238453</v>
      </c>
      <c r="AM380" s="137">
        <f>AM379/BP379-1</f>
        <v>0.2347946445207485</v>
      </c>
      <c r="AN380" s="132" t="e">
        <f>AN379/BR379-1</f>
        <v>#REF!</v>
      </c>
      <c r="AO380" s="137">
        <f>AO379/AK379-1</f>
        <v>8.0744480195273471E-2</v>
      </c>
      <c r="AP380" s="137">
        <f>AP379/BS379-1</f>
        <v>0.18562076999889054</v>
      </c>
      <c r="AQ380" s="137">
        <f>AQ379/BT379-1</f>
        <v>-0.10402331417469446</v>
      </c>
      <c r="AR380" s="132">
        <f>AR379/AN379-1</f>
        <v>0.10886598863968033</v>
      </c>
      <c r="AS380" s="137">
        <f t="shared" ref="AS380:AZ380" si="1754">AS379/BX379-1</f>
        <v>0.16977645458511925</v>
      </c>
      <c r="AT380" s="137">
        <f t="shared" si="1754"/>
        <v>0.16253702571818129</v>
      </c>
      <c r="AU380" s="137">
        <f t="shared" si="1754"/>
        <v>0.20275733624057413</v>
      </c>
      <c r="AV380" s="137">
        <f t="shared" si="1754"/>
        <v>0.15748394863563409</v>
      </c>
      <c r="AW380" s="137">
        <f t="shared" si="1754"/>
        <v>4.300410614155159E-2</v>
      </c>
      <c r="AX380" s="137">
        <f t="shared" si="1754"/>
        <v>-1.8118579632775189E-2</v>
      </c>
      <c r="AY380" s="137">
        <f t="shared" si="1754"/>
        <v>-0.10801624020394673</v>
      </c>
      <c r="AZ380" s="137">
        <f t="shared" si="1754"/>
        <v>-0.14614707861098175</v>
      </c>
      <c r="BA380" s="137">
        <f>BA379/AW379-1</f>
        <v>-0.13186301485840068</v>
      </c>
      <c r="BB380" s="137">
        <f>BB379/CG379-1</f>
        <v>-6.559436526896778E-2</v>
      </c>
      <c r="BC380" s="137">
        <f>BC379/CH379-1</f>
        <v>5.7055149782999859E-2</v>
      </c>
      <c r="BD380" s="137">
        <f>BD379/CI379-1</f>
        <v>7.1034608158070167E-2</v>
      </c>
      <c r="BE380" s="137">
        <f>BE379/BA379-1</f>
        <v>0.13565437877901299</v>
      </c>
      <c r="BF380" s="137">
        <f>BF379/BB379-1</f>
        <v>8.271803574970793E-2</v>
      </c>
      <c r="BG380" s="137">
        <f>BG379/BC379-1</f>
        <v>-4.9268976567194089E-2</v>
      </c>
      <c r="BH380" s="137">
        <f>BH379/BD379-1</f>
        <v>-0.11272706694584345</v>
      </c>
      <c r="BI380" s="137">
        <f>BI379/BE379-1</f>
        <v>-0.12981966509231435</v>
      </c>
      <c r="BJ380" s="44"/>
      <c r="BK380" s="132">
        <f>BK379/Y379-1</f>
        <v>-5.7614257984824446E-2</v>
      </c>
      <c r="BL380" s="132">
        <f>BL379/Z379-1</f>
        <v>7.9405917436557116E-2</v>
      </c>
      <c r="BM380" s="132">
        <f>BM379/AA379-1</f>
        <v>9.5473598504266954E-2</v>
      </c>
      <c r="BN380" s="132">
        <f>BN379/AB379-1</f>
        <v>6.5656426505028342E-2</v>
      </c>
      <c r="BO380" s="132">
        <f>BO379/AD379-1</f>
        <v>-1.8101509362382417E-2</v>
      </c>
      <c r="BP380" s="132">
        <f>BP379/AE379-1</f>
        <v>3.515829498801426E-2</v>
      </c>
      <c r="BQ380" s="132"/>
      <c r="BR380" s="132" t="e">
        <f>BR379/AF379-1</f>
        <v>#REF!</v>
      </c>
      <c r="BS380" s="137">
        <f>BS379/BO379-1</f>
        <v>-5.0503656685525478E-3</v>
      </c>
      <c r="BT380" s="137">
        <f>BT379/BO379-1</f>
        <v>0.36365392576238453</v>
      </c>
      <c r="BU380" s="137">
        <f>BU379/BP379-1</f>
        <v>0.2347946445207485</v>
      </c>
      <c r="BV380" s="132">
        <f>BV379/AJ379-1</f>
        <v>0.19185999839447709</v>
      </c>
      <c r="BW380" s="132"/>
      <c r="BX380" s="137">
        <f>BX379/BS379-1</f>
        <v>8.0744480195273471E-2</v>
      </c>
      <c r="BY380" s="137">
        <f>BY379/BS379-1</f>
        <v>0.17990680128702974</v>
      </c>
      <c r="BZ380" s="137">
        <f>BZ379/BT379-1</f>
        <v>-0.1089613858981624</v>
      </c>
      <c r="CA380" s="132">
        <f>CA379/BV379-1</f>
        <v>0.11896903976111894</v>
      </c>
      <c r="CB380" s="137">
        <f>CB379/BX379-1</f>
        <v>0.16259014962913532</v>
      </c>
      <c r="CC380" s="137">
        <f>CC379/BX379-1</f>
        <v>0.26920411672612476</v>
      </c>
      <c r="CD380" s="137">
        <f>CD379/BY379-1</f>
        <v>0.24488692463209372</v>
      </c>
      <c r="CE380" s="132">
        <f>CE379/BZ379-1</f>
        <v>0.31663941128372852</v>
      </c>
      <c r="CF380" s="132">
        <f>CF379/CA379-1</f>
        <v>-5.2046548956661276E-2</v>
      </c>
      <c r="CG380" s="137">
        <f>CG379/CC379-1</f>
        <v>-1.8118579632775189E-2</v>
      </c>
      <c r="CH380" s="137">
        <f>CH379/CC379-1</f>
        <v>-4.483135161368601E-2</v>
      </c>
      <c r="CI380" s="132">
        <f>CI379/CD379-1</f>
        <v>-6.5300727032385986E-2</v>
      </c>
    </row>
    <row r="381" spans="2:87" ht="13.5" customHeight="1">
      <c r="B381" s="1" t="s">
        <v>428</v>
      </c>
      <c r="C381" s="4">
        <v>72097</v>
      </c>
      <c r="D381" s="4">
        <v>76295</v>
      </c>
      <c r="E381" s="4">
        <v>81455</v>
      </c>
      <c r="F381" s="4">
        <v>90367</v>
      </c>
      <c r="G381" s="4">
        <v>99859</v>
      </c>
      <c r="H381" s="4">
        <v>100327</v>
      </c>
      <c r="I381" s="4">
        <v>102688</v>
      </c>
      <c r="J381" s="4">
        <v>102688</v>
      </c>
      <c r="K381" s="4">
        <v>104593</v>
      </c>
      <c r="L381" s="4">
        <v>118661</v>
      </c>
      <c r="M381" s="4">
        <v>109089</v>
      </c>
      <c r="N381" s="4">
        <v>130401</v>
      </c>
      <c r="O381" s="4">
        <v>130401</v>
      </c>
      <c r="P381" s="4">
        <v>145387</v>
      </c>
      <c r="Q381" s="4">
        <v>151164</v>
      </c>
      <c r="R381" s="4">
        <v>154809</v>
      </c>
      <c r="S381" s="95">
        <f>SUM(BF381:BI381)</f>
        <v>156517</v>
      </c>
      <c r="U381" s="4">
        <v>19775</v>
      </c>
      <c r="V381" s="4">
        <v>19732</v>
      </c>
      <c r="W381" s="4">
        <v>20562</v>
      </c>
      <c r="X381" s="6">
        <f>E381-W381-V381-U381</f>
        <v>21386</v>
      </c>
      <c r="Y381" s="4">
        <v>22083</v>
      </c>
      <c r="Z381" s="4">
        <v>22047</v>
      </c>
      <c r="AA381" s="4">
        <v>23075</v>
      </c>
      <c r="AB381" s="6">
        <f>+F381-SUM(Y381:AA381)</f>
        <v>23162</v>
      </c>
      <c r="AC381" s="4">
        <v>24478</v>
      </c>
      <c r="AD381" s="4">
        <v>24908</v>
      </c>
      <c r="AE381" s="4">
        <v>25219</v>
      </c>
      <c r="AF381" s="6">
        <f>G381-AE381-AD381-AC381</f>
        <v>25254</v>
      </c>
      <c r="AG381" s="4">
        <v>25619</v>
      </c>
      <c r="AH381" s="4">
        <v>24917</v>
      </c>
      <c r="AI381" s="4">
        <v>25861</v>
      </c>
      <c r="AJ381" s="6">
        <f>I381-AI381-AH381-AG381</f>
        <v>26291</v>
      </c>
      <c r="AK381" s="4">
        <v>27216</v>
      </c>
      <c r="AL381" s="4">
        <v>24618</v>
      </c>
      <c r="AM381" s="4">
        <v>26059</v>
      </c>
      <c r="AN381" s="6">
        <f>K381-AM381-AL381-AK381</f>
        <v>26700</v>
      </c>
      <c r="AO381" s="4">
        <v>27661</v>
      </c>
      <c r="AP381" s="4">
        <v>28233</v>
      </c>
      <c r="AQ381" s="4">
        <v>30332</v>
      </c>
      <c r="AR381" s="6">
        <f>M381-AQ381-AP381-AO381</f>
        <v>22863</v>
      </c>
      <c r="AS381" s="4">
        <v>33043</v>
      </c>
      <c r="AT381" s="4">
        <v>31768</v>
      </c>
      <c r="AU381" s="4">
        <v>33562</v>
      </c>
      <c r="AV381" s="6">
        <f>N381-AU381-AT381-AS381</f>
        <v>32028</v>
      </c>
      <c r="AW381" s="4">
        <v>36244</v>
      </c>
      <c r="AX381" s="4">
        <v>35783</v>
      </c>
      <c r="AY381" s="4">
        <v>36375</v>
      </c>
      <c r="AZ381" s="6">
        <f>P381-AY381-AX381-AW381</f>
        <v>36985</v>
      </c>
      <c r="BA381" s="4">
        <v>37386</v>
      </c>
      <c r="BB381" s="4">
        <v>37369</v>
      </c>
      <c r="BC381" s="4">
        <v>38793</v>
      </c>
      <c r="BD381" s="6">
        <f>Q381-BC381-BB381-BA381</f>
        <v>37616</v>
      </c>
      <c r="BE381" s="4">
        <v>38018</v>
      </c>
      <c r="BF381" s="4">
        <v>38475</v>
      </c>
      <c r="BG381" s="4">
        <v>38897</v>
      </c>
      <c r="BH381" s="6">
        <f>R381-SUM(BE381:BG381)</f>
        <v>39419</v>
      </c>
      <c r="BI381" s="4">
        <v>39726</v>
      </c>
      <c r="BJ381" s="44"/>
      <c r="BK381" s="4">
        <v>24603</v>
      </c>
      <c r="BL381" s="4">
        <v>25022</v>
      </c>
      <c r="BM381" s="4">
        <v>25325</v>
      </c>
      <c r="BN381" s="6">
        <f>H381-BM381-BL381-BK381</f>
        <v>25377</v>
      </c>
      <c r="BO381" s="4">
        <v>24917</v>
      </c>
      <c r="BP381" s="4">
        <v>25861</v>
      </c>
      <c r="BQ381" s="6"/>
      <c r="BR381" s="6" t="e">
        <f>#REF!-BQ381-BP381-BO381</f>
        <v>#REF!</v>
      </c>
      <c r="BS381" s="4">
        <v>27216</v>
      </c>
      <c r="BT381" s="4">
        <v>24618</v>
      </c>
      <c r="BU381" s="4">
        <v>26059</v>
      </c>
      <c r="BV381" s="6">
        <f>K381-BU381-BT381-BS381</f>
        <v>26700</v>
      </c>
      <c r="BW381" s="6"/>
      <c r="BX381" s="4">
        <v>27661</v>
      </c>
      <c r="BY381" s="4">
        <v>26119</v>
      </c>
      <c r="BZ381" s="4">
        <v>27867</v>
      </c>
      <c r="CA381" s="6">
        <f>M381-BZ381-BY381-BX381</f>
        <v>27442</v>
      </c>
      <c r="CB381" s="4">
        <v>30253</v>
      </c>
      <c r="CC381" s="4">
        <v>31768</v>
      </c>
      <c r="CD381" s="4">
        <v>33562</v>
      </c>
      <c r="CE381" s="6">
        <f>O381-CD381-CC381-CB381</f>
        <v>34818</v>
      </c>
      <c r="CF381" s="4">
        <v>36244</v>
      </c>
      <c r="CG381" s="4">
        <v>35783</v>
      </c>
      <c r="CH381" s="4">
        <v>36375</v>
      </c>
      <c r="CI381" s="6">
        <f>P381-CH381-CG381-CF381</f>
        <v>36985</v>
      </c>
    </row>
    <row r="382" spans="2:87" ht="13.5" customHeight="1">
      <c r="B382" s="130"/>
      <c r="C382" s="131">
        <f>C381/(174623*0.07671)-1</f>
        <v>4.382248755637816</v>
      </c>
      <c r="D382" s="132">
        <f>+D381/C381-1</f>
        <v>5.8227110698087392E-2</v>
      </c>
      <c r="E382" s="132">
        <f>+E381/D381-1</f>
        <v>6.7632217052231436E-2</v>
      </c>
      <c r="F382" s="132">
        <f>+F381/E381-1</f>
        <v>0.10941010373826043</v>
      </c>
      <c r="G382" s="132">
        <f>+G381/F381-1</f>
        <v>0.10503834364314413</v>
      </c>
      <c r="H382" s="132">
        <f>+H381/F381-1</f>
        <v>0.11021722531455058</v>
      </c>
      <c r="I382" s="132">
        <f>+I381/H381-1</f>
        <v>2.3533046936517588E-2</v>
      </c>
      <c r="J382" s="132">
        <f>+J381/I381-1</f>
        <v>0</v>
      </c>
      <c r="K382" s="132">
        <f>+K381/I381-1</f>
        <v>1.855133998130265E-2</v>
      </c>
      <c r="L382" s="132">
        <f>+L381/J381-1</f>
        <v>0.15554884699283256</v>
      </c>
      <c r="M382" s="132">
        <f>+M381/K381-1</f>
        <v>4.2985668256957821E-2</v>
      </c>
      <c r="N382" s="132">
        <f>+N381/K381-1</f>
        <v>0.24674691422944184</v>
      </c>
      <c r="O382" s="132">
        <f>+O381/M381-1</f>
        <v>0.19536341885983011</v>
      </c>
      <c r="P382" s="132">
        <f>+P381/O381-1</f>
        <v>0.11492243157644499</v>
      </c>
      <c r="Q382" s="132">
        <f>+Q381/P381-1</f>
        <v>3.973532709251848E-2</v>
      </c>
      <c r="R382" s="132">
        <f>+R381/Q381-1</f>
        <v>2.4112884020004666E-2</v>
      </c>
      <c r="S382" s="177"/>
      <c r="U382" s="132"/>
      <c r="V382" s="132"/>
      <c r="W382" s="132"/>
      <c r="X382" s="132"/>
      <c r="Y382" s="132">
        <f t="shared" ref="Y382:AE382" si="1755">Y381/U381-1</f>
        <v>0.11671302149178264</v>
      </c>
      <c r="Z382" s="132">
        <f t="shared" si="1755"/>
        <v>0.11732211635921352</v>
      </c>
      <c r="AA382" s="132">
        <f t="shared" si="1755"/>
        <v>0.12221573776869965</v>
      </c>
      <c r="AB382" s="132">
        <f t="shared" si="1755"/>
        <v>8.3044982698961878E-2</v>
      </c>
      <c r="AC382" s="132">
        <f t="shared" si="1755"/>
        <v>0.10845446723724139</v>
      </c>
      <c r="AD382" s="132">
        <f t="shared" si="1755"/>
        <v>0.12976822243389119</v>
      </c>
      <c r="AE382" s="132">
        <f t="shared" si="1755"/>
        <v>9.2914409534127884E-2</v>
      </c>
      <c r="AF382" s="132">
        <f>AF381/AB381-1</f>
        <v>9.0320352301183071E-2</v>
      </c>
      <c r="AG382" s="132">
        <f>AG381/BK381-1</f>
        <v>4.1295776937771755E-2</v>
      </c>
      <c r="AH382" s="132">
        <f>AH381/BL381-1</f>
        <v>-4.1963072496202791E-3</v>
      </c>
      <c r="AI382" s="132">
        <f>AI381/BM381-1</f>
        <v>2.1164856860809378E-2</v>
      </c>
      <c r="AJ382" s="132">
        <f>AJ381/BN381-1</f>
        <v>3.6016865665760234E-2</v>
      </c>
      <c r="AK382" s="137">
        <f>AK381/AG381-1</f>
        <v>6.2336547093953643E-2</v>
      </c>
      <c r="AL382" s="137">
        <f>AL381/BO381-1</f>
        <v>-1.1999839467030537E-2</v>
      </c>
      <c r="AM382" s="137">
        <f>AM381/BP381-1</f>
        <v>7.6563164610803369E-3</v>
      </c>
      <c r="AN382" s="132" t="e">
        <f>AN381/BR381-1</f>
        <v>#REF!</v>
      </c>
      <c r="AO382" s="137">
        <f>AO381/AK381-1</f>
        <v>1.6350676072898196E-2</v>
      </c>
      <c r="AP382" s="137">
        <f>AP381/BS381-1</f>
        <v>3.7367724867724883E-2</v>
      </c>
      <c r="AQ382" s="137">
        <f>AQ381/BT381-1</f>
        <v>0.23210658867495337</v>
      </c>
      <c r="AR382" s="132">
        <f>AR381/AN381-1</f>
        <v>-0.14370786516853928</v>
      </c>
      <c r="AS382" s="137">
        <f t="shared" ref="AS382:AZ382" si="1756">AS381/BX381-1</f>
        <v>0.19456997216297323</v>
      </c>
      <c r="AT382" s="137">
        <f t="shared" si="1756"/>
        <v>0.21627933688119749</v>
      </c>
      <c r="AU382" s="137">
        <f t="shared" si="1756"/>
        <v>0.20436358416765343</v>
      </c>
      <c r="AV382" s="137">
        <f t="shared" si="1756"/>
        <v>0.1671160994096641</v>
      </c>
      <c r="AW382" s="137">
        <f t="shared" si="1756"/>
        <v>0.19802994744322877</v>
      </c>
      <c r="AX382" s="137">
        <f t="shared" si="1756"/>
        <v>0.12638504155124664</v>
      </c>
      <c r="AY382" s="137">
        <f t="shared" si="1756"/>
        <v>8.381502890173409E-2</v>
      </c>
      <c r="AZ382" s="137">
        <f t="shared" si="1756"/>
        <v>6.223792291343555E-2</v>
      </c>
      <c r="BA382" s="137">
        <f>BA381/AW381-1</f>
        <v>3.1508663502924694E-2</v>
      </c>
      <c r="BB382" s="137">
        <f>BB381/CG381-1</f>
        <v>4.4322723080792548E-2</v>
      </c>
      <c r="BC382" s="137">
        <f>BC381/CH381-1</f>
        <v>6.6474226804123626E-2</v>
      </c>
      <c r="BD382" s="137">
        <f>BD381/CI381-1</f>
        <v>1.7060970663782538E-2</v>
      </c>
      <c r="BE382" s="137">
        <f>BE381/BA381-1</f>
        <v>1.6904723693361046E-2</v>
      </c>
      <c r="BF382" s="137">
        <f>BF381/BB381-1</f>
        <v>2.9596724557788612E-2</v>
      </c>
      <c r="BG382" s="137">
        <f>BG381/BC381-1</f>
        <v>2.6808960379449687E-3</v>
      </c>
      <c r="BH382" s="137">
        <f>BH381/BD381-1</f>
        <v>4.7931731178222137E-2</v>
      </c>
      <c r="BI382" s="137">
        <f>BI381/BE381-1</f>
        <v>4.4926087642695567E-2</v>
      </c>
      <c r="BJ382" s="44"/>
      <c r="BK382" s="132">
        <f>BK381/Y381-1</f>
        <v>0.11411493003667972</v>
      </c>
      <c r="BL382" s="132">
        <f>BL381/Z381-1</f>
        <v>0.13493899396743325</v>
      </c>
      <c r="BM382" s="132">
        <f>BM381/AA381-1</f>
        <v>9.7508125677139734E-2</v>
      </c>
      <c r="BN382" s="132">
        <f>BN381/AB381-1</f>
        <v>9.5630774544512631E-2</v>
      </c>
      <c r="BO382" s="132">
        <f>BO381/AD381-1</f>
        <v>3.6132969327118403E-4</v>
      </c>
      <c r="BP382" s="132">
        <f>BP381/AE381-1</f>
        <v>2.5456996708830726E-2</v>
      </c>
      <c r="BQ382" s="132"/>
      <c r="BR382" s="132" t="e">
        <f>BR381/AF381-1</f>
        <v>#REF!</v>
      </c>
      <c r="BS382" s="137">
        <f>BS381/BO381-1</f>
        <v>9.2266324196331739E-2</v>
      </c>
      <c r="BT382" s="137">
        <f>BT381/BO381-1</f>
        <v>-1.1999839467030537E-2</v>
      </c>
      <c r="BU382" s="137">
        <f>BU381/BP381-1</f>
        <v>7.6563164610803369E-3</v>
      </c>
      <c r="BV382" s="132">
        <f>BV381/AJ381-1</f>
        <v>1.5556654368415135E-2</v>
      </c>
      <c r="BW382" s="132"/>
      <c r="BX382" s="137">
        <f>BX381/BS381-1</f>
        <v>1.6350676072898196E-2</v>
      </c>
      <c r="BY382" s="137">
        <f>BY381/BS381-1</f>
        <v>-4.030717225161673E-2</v>
      </c>
      <c r="BZ382" s="137">
        <f>BZ381/BT381-1</f>
        <v>0.13197660248598586</v>
      </c>
      <c r="CA382" s="132">
        <f>CA381/BV381-1</f>
        <v>2.7790262172284752E-2</v>
      </c>
      <c r="CB382" s="137">
        <f>CB381/BX381-1</f>
        <v>9.3705939770796443E-2</v>
      </c>
      <c r="CC382" s="137">
        <f>CC381/BX381-1</f>
        <v>0.1484761939192365</v>
      </c>
      <c r="CD382" s="137">
        <f>CD381/BY381-1</f>
        <v>0.28496496803093541</v>
      </c>
      <c r="CE382" s="132">
        <f>CE381/BZ381-1</f>
        <v>0.24943481537302192</v>
      </c>
      <c r="CF382" s="132">
        <f>CF381/CA381-1</f>
        <v>0.32074921652940747</v>
      </c>
      <c r="CG382" s="137">
        <f>CG381/CC381-1</f>
        <v>0.12638504155124664</v>
      </c>
      <c r="CH382" s="137">
        <f>CH381/CC381-1</f>
        <v>0.14502014605892732</v>
      </c>
      <c r="CI382" s="132">
        <f>CI381/CD381-1</f>
        <v>0.10199034622489722</v>
      </c>
    </row>
    <row r="383" spans="2:87" ht="13.5" customHeight="1">
      <c r="B383" s="1" t="s">
        <v>429</v>
      </c>
      <c r="C383" s="4">
        <v>21931</v>
      </c>
      <c r="D383" s="4">
        <v>24272</v>
      </c>
      <c r="E383" s="4">
        <v>29100</v>
      </c>
      <c r="F383" s="4">
        <v>28602</v>
      </c>
      <c r="G383" s="4">
        <v>28192</v>
      </c>
      <c r="H383" s="4">
        <v>28341</v>
      </c>
      <c r="I383" s="4">
        <v>27144</v>
      </c>
      <c r="J383" s="4">
        <v>27144</v>
      </c>
      <c r="K383" s="4">
        <v>29081</v>
      </c>
      <c r="L383" s="4">
        <v>31376</v>
      </c>
      <c r="M383" s="4">
        <v>31109</v>
      </c>
      <c r="N383" s="4">
        <v>38411</v>
      </c>
      <c r="O383" s="4">
        <v>38411</v>
      </c>
      <c r="P383" s="4">
        <v>36647</v>
      </c>
      <c r="Q383" s="4">
        <v>39879</v>
      </c>
      <c r="R383" s="4">
        <v>44120</v>
      </c>
      <c r="S383" s="95">
        <f>SUM(BF383:BI383)</f>
        <v>44489</v>
      </c>
      <c r="U383" s="4">
        <v>6489</v>
      </c>
      <c r="V383" s="4">
        <v>6863</v>
      </c>
      <c r="W383" s="4">
        <v>7728</v>
      </c>
      <c r="X383" s="6">
        <f>E383-W383-V383-U383</f>
        <v>8020</v>
      </c>
      <c r="Y383" s="4">
        <f>14573-Z383</f>
        <v>7703</v>
      </c>
      <c r="Z383" s="4">
        <v>6870</v>
      </c>
      <c r="AA383" s="4">
        <v>6739</v>
      </c>
      <c r="AB383" s="6">
        <f>+F383-SUM(Y383:AA383)</f>
        <v>7290</v>
      </c>
      <c r="AC383" s="4">
        <v>7057</v>
      </c>
      <c r="AD383" s="4">
        <v>6954</v>
      </c>
      <c r="AE383" s="4">
        <v>6522</v>
      </c>
      <c r="AF383" s="6">
        <f>G383-AE383-AD383-AC383</f>
        <v>7659</v>
      </c>
      <c r="AG383" s="4">
        <v>6727</v>
      </c>
      <c r="AH383" s="4">
        <v>6896</v>
      </c>
      <c r="AI383" s="4">
        <v>7044</v>
      </c>
      <c r="AJ383" s="6">
        <f>I383-AI383-AH383-AG383</f>
        <v>6477</v>
      </c>
      <c r="AK383" s="4">
        <v>6931</v>
      </c>
      <c r="AL383" s="4">
        <v>7552</v>
      </c>
      <c r="AM383" s="4">
        <v>7628</v>
      </c>
      <c r="AN383" s="6">
        <f>K383-AM383-AL383-AK383</f>
        <v>6970</v>
      </c>
      <c r="AO383" s="4">
        <v>7224</v>
      </c>
      <c r="AP383" s="4">
        <v>7322</v>
      </c>
      <c r="AQ383" s="4">
        <v>7823</v>
      </c>
      <c r="AR383" s="6">
        <f>M383-AQ383-AP383-AO383</f>
        <v>8740</v>
      </c>
      <c r="AS383" s="4">
        <v>8937</v>
      </c>
      <c r="AT383" s="4">
        <v>9641</v>
      </c>
      <c r="AU383" s="4">
        <v>10008</v>
      </c>
      <c r="AV383" s="6">
        <f>N383-AU383-AT383-AS383</f>
        <v>9825</v>
      </c>
      <c r="AW383" s="4">
        <v>9630</v>
      </c>
      <c r="AX383" s="4">
        <v>9562</v>
      </c>
      <c r="AY383" s="4">
        <v>9415</v>
      </c>
      <c r="AZ383" s="6">
        <f>P383-AY383-AX383-AW383</f>
        <v>8040</v>
      </c>
      <c r="BA383" s="4">
        <v>9851</v>
      </c>
      <c r="BB383" s="4">
        <v>9069</v>
      </c>
      <c r="BC383" s="4">
        <v>10151</v>
      </c>
      <c r="BD383" s="6">
        <f>Q383-BC383-BB383-BA383</f>
        <v>10808</v>
      </c>
      <c r="BE383" s="4">
        <v>11176</v>
      </c>
      <c r="BF383" s="4">
        <v>10849</v>
      </c>
      <c r="BG383" s="4">
        <v>10707</v>
      </c>
      <c r="BH383" s="6">
        <f>R383-SUM(BE383:BG383)</f>
        <v>11388</v>
      </c>
      <c r="BI383" s="4">
        <v>11545</v>
      </c>
      <c r="BJ383" s="44"/>
      <c r="BK383" s="4">
        <v>6833</v>
      </c>
      <c r="BL383" s="4">
        <v>7113</v>
      </c>
      <c r="BM383" s="4">
        <v>6560</v>
      </c>
      <c r="BN383" s="6">
        <f>H383-BM383-BL383-BK383</f>
        <v>7835</v>
      </c>
      <c r="BO383" s="4">
        <v>6664</v>
      </c>
      <c r="BP383" s="4">
        <v>6930</v>
      </c>
      <c r="BQ383" s="6"/>
      <c r="BR383" s="6" t="e">
        <f>#REF!-BQ383-BP383-BO383</f>
        <v>#REF!</v>
      </c>
      <c r="BS383" s="4">
        <v>6776</v>
      </c>
      <c r="BT383" s="4">
        <v>7448</v>
      </c>
      <c r="BU383" s="4">
        <v>7542</v>
      </c>
      <c r="BV383" s="6">
        <f>K383-BU383-BT383-BS383</f>
        <v>7315</v>
      </c>
      <c r="BW383" s="6"/>
      <c r="BX383" s="4">
        <v>7374</v>
      </c>
      <c r="BY383" s="4">
        <v>7369</v>
      </c>
      <c r="BZ383" s="4">
        <v>7830</v>
      </c>
      <c r="CA383" s="6">
        <f>M383-BZ383-BY383-BX383</f>
        <v>8536</v>
      </c>
      <c r="CB383" s="4">
        <v>9124</v>
      </c>
      <c r="CC383" s="4">
        <v>9621</v>
      </c>
      <c r="CD383" s="4">
        <v>9913</v>
      </c>
      <c r="CE383" s="6">
        <f>O383-CD383-CC383-CB383</f>
        <v>9753</v>
      </c>
      <c r="CF383" s="4">
        <v>9252</v>
      </c>
      <c r="CG383" s="4">
        <v>9217</v>
      </c>
      <c r="CH383" s="4">
        <v>9009</v>
      </c>
      <c r="CI383" s="6">
        <f>P383-CH383-CG383-CF383</f>
        <v>9169</v>
      </c>
    </row>
    <row r="384" spans="2:87" ht="13.5" customHeight="1">
      <c r="B384" s="130"/>
      <c r="C384" s="131">
        <f>C383/(174623*0.07671)-1</f>
        <v>0.63721233144087752</v>
      </c>
      <c r="D384" s="132">
        <f>+D383/C383-1</f>
        <v>0.10674387852811096</v>
      </c>
      <c r="E384" s="132">
        <f>+E383/D383-1</f>
        <v>0.1989123269611075</v>
      </c>
      <c r="F384" s="132">
        <f>+F383/E383-1</f>
        <v>-1.7113402061855632E-2</v>
      </c>
      <c r="G384" s="132">
        <f>+G383/F383-1</f>
        <v>-1.4334661911754476E-2</v>
      </c>
      <c r="H384" s="132">
        <f>+H383/F383-1</f>
        <v>-9.1252359974827169E-3</v>
      </c>
      <c r="I384" s="132">
        <f>+I383/H383-1</f>
        <v>-4.2235630358844034E-2</v>
      </c>
      <c r="J384" s="132">
        <f>+J383/I383-1</f>
        <v>0</v>
      </c>
      <c r="K384" s="132">
        <f>+K383/I383-1</f>
        <v>7.1360153256704972E-2</v>
      </c>
      <c r="L384" s="132">
        <f>+L383/J383-1</f>
        <v>0.15590922487474201</v>
      </c>
      <c r="M384" s="132">
        <f>+M383/K383-1</f>
        <v>6.9736253911488522E-2</v>
      </c>
      <c r="N384" s="132">
        <f>+N383/K383-1</f>
        <v>0.32082803204841648</v>
      </c>
      <c r="O384" s="132">
        <f>+O383/M383-1</f>
        <v>0.23472307049406926</v>
      </c>
      <c r="P384" s="132">
        <f>+P383/O383-1</f>
        <v>-4.592434458878969E-2</v>
      </c>
      <c r="Q384" s="132">
        <f>+Q383/P383-1</f>
        <v>8.819275793380088E-2</v>
      </c>
      <c r="R384" s="132">
        <f>+R383/Q383-1</f>
        <v>0.10634669876376046</v>
      </c>
      <c r="S384" s="177"/>
      <c r="U384" s="132"/>
      <c r="V384" s="132"/>
      <c r="W384" s="132"/>
      <c r="X384" s="132"/>
      <c r="Y384" s="132">
        <f t="shared" ref="Y384:AE384" si="1757">Y383/U383-1</f>
        <v>0.1870858375712745</v>
      </c>
      <c r="Z384" s="132">
        <f t="shared" si="1757"/>
        <v>1.0199621156927741E-3</v>
      </c>
      <c r="AA384" s="132">
        <f t="shared" si="1757"/>
        <v>-0.12797619047619047</v>
      </c>
      <c r="AB384" s="132">
        <f t="shared" si="1757"/>
        <v>-9.1022443890274363E-2</v>
      </c>
      <c r="AC384" s="132">
        <f t="shared" si="1757"/>
        <v>-8.386342983253281E-2</v>
      </c>
      <c r="AD384" s="132">
        <f t="shared" si="1757"/>
        <v>1.2227074235807933E-2</v>
      </c>
      <c r="AE384" s="132">
        <f t="shared" si="1757"/>
        <v>-3.2200623237869097E-2</v>
      </c>
      <c r="AF384" s="132">
        <f>AF383/AB383-1</f>
        <v>5.0617283950617376E-2</v>
      </c>
      <c r="AG384" s="132">
        <f>AG383/BK383-1</f>
        <v>-1.5512951851309853E-2</v>
      </c>
      <c r="AH384" s="132">
        <f>AH383/BL383-1</f>
        <v>-3.0507521439617546E-2</v>
      </c>
      <c r="AI384" s="132">
        <f>AI383/BM383-1</f>
        <v>7.3780487804878003E-2</v>
      </c>
      <c r="AJ384" s="132">
        <f>AJ383/BN383-1</f>
        <v>-0.17332482450542441</v>
      </c>
      <c r="AK384" s="137">
        <f>AK383/AG383-1</f>
        <v>3.0325553738665079E-2</v>
      </c>
      <c r="AL384" s="137">
        <f>AL383/BO383-1</f>
        <v>0.13325330132052815</v>
      </c>
      <c r="AM384" s="137">
        <f>AM383/BP383-1</f>
        <v>0.10072150072150077</v>
      </c>
      <c r="AN384" s="132" t="e">
        <f>AN383/BR383-1</f>
        <v>#REF!</v>
      </c>
      <c r="AO384" s="137">
        <f>AO383/AK383-1</f>
        <v>4.2273842158418784E-2</v>
      </c>
      <c r="AP384" s="137">
        <f>AP383/BS383-1</f>
        <v>8.0578512396694224E-2</v>
      </c>
      <c r="AQ384" s="137">
        <f>AQ383/BT383-1</f>
        <v>5.0349087003222381E-2</v>
      </c>
      <c r="AR384" s="132">
        <f>AR383/AN383-1</f>
        <v>0.25394548063127687</v>
      </c>
      <c r="AS384" s="137">
        <f t="shared" ref="AS384:AZ384" si="1758">AS383/BX383-1</f>
        <v>0.2119609438567942</v>
      </c>
      <c r="AT384" s="137">
        <f t="shared" si="1758"/>
        <v>0.30831863210747734</v>
      </c>
      <c r="AU384" s="137">
        <f t="shared" si="1758"/>
        <v>0.27816091954022992</v>
      </c>
      <c r="AV384" s="137">
        <f t="shared" si="1758"/>
        <v>0.15100749765698218</v>
      </c>
      <c r="AW384" s="137">
        <f t="shared" si="1758"/>
        <v>5.5458132398070958E-2</v>
      </c>
      <c r="AX384" s="137">
        <f t="shared" si="1758"/>
        <v>-6.1324186674981407E-3</v>
      </c>
      <c r="AY384" s="137">
        <f t="shared" si="1758"/>
        <v>-5.023706244325632E-2</v>
      </c>
      <c r="AZ384" s="137">
        <f t="shared" si="1758"/>
        <v>-0.1756382651491849</v>
      </c>
      <c r="BA384" s="137">
        <f>BA383/AW383-1</f>
        <v>2.2949117341640735E-2</v>
      </c>
      <c r="BB384" s="137">
        <f>BB383/CG383-1</f>
        <v>-1.6057285450797432E-2</v>
      </c>
      <c r="BC384" s="137">
        <f>BC383/CH383-1</f>
        <v>0.12676212676212684</v>
      </c>
      <c r="BD384" s="137">
        <f>BD383/CI383-1</f>
        <v>0.17875449885483685</v>
      </c>
      <c r="BE384" s="137">
        <f>BE383/BA383-1</f>
        <v>0.13450411125774031</v>
      </c>
      <c r="BF384" s="137">
        <f>BF383/BB383-1</f>
        <v>0.19627301797331564</v>
      </c>
      <c r="BG384" s="137">
        <f>BG383/BC383-1</f>
        <v>5.4772928775490115E-2</v>
      </c>
      <c r="BH384" s="137">
        <f>BH383/BD383-1</f>
        <v>5.3663952627683198E-2</v>
      </c>
      <c r="BI384" s="137">
        <f>BI383/BE383-1</f>
        <v>3.301717967072304E-2</v>
      </c>
      <c r="BJ384" s="44"/>
      <c r="BK384" s="132">
        <f>BK383/Y383-1</f>
        <v>-0.11294300921718814</v>
      </c>
      <c r="BL384" s="132">
        <f>BL383/Z383-1</f>
        <v>3.5371179039301204E-2</v>
      </c>
      <c r="BM384" s="132">
        <f>BM383/AA383-1</f>
        <v>-2.6561804422021051E-2</v>
      </c>
      <c r="BN384" s="132">
        <f>BN383/AB383-1</f>
        <v>7.4759945130315586E-2</v>
      </c>
      <c r="BO384" s="132">
        <f>BO383/AD383-1</f>
        <v>-4.1702617198734582E-2</v>
      </c>
      <c r="BP384" s="132">
        <f>BP383/AE383-1</f>
        <v>6.2557497700092002E-2</v>
      </c>
      <c r="BQ384" s="132"/>
      <c r="BR384" s="132" t="e">
        <f>BR383/AF383-1</f>
        <v>#REF!</v>
      </c>
      <c r="BS384" s="137">
        <f>BS383/BO383-1</f>
        <v>1.6806722689075571E-2</v>
      </c>
      <c r="BT384" s="137">
        <f>BT383/BO383-1</f>
        <v>0.11764705882352944</v>
      </c>
      <c r="BU384" s="137">
        <f>BU383/BP383-1</f>
        <v>8.8311688311688341E-2</v>
      </c>
      <c r="BV384" s="132">
        <f>BV383/AJ383-1</f>
        <v>0.12938088621275279</v>
      </c>
      <c r="BW384" s="132"/>
      <c r="BX384" s="137">
        <f>BX383/BS383-1</f>
        <v>8.8252656434474552E-2</v>
      </c>
      <c r="BY384" s="137">
        <f>BY383/BS383-1</f>
        <v>8.7514757969303414E-2</v>
      </c>
      <c r="BZ384" s="137">
        <f>BZ383/BT383-1</f>
        <v>5.12889366272824E-2</v>
      </c>
      <c r="CA384" s="132">
        <f>CA383/BV383-1</f>
        <v>0.16691729323308269</v>
      </c>
      <c r="CB384" s="137">
        <f>CB383/BX383-1</f>
        <v>0.23732031461893133</v>
      </c>
      <c r="CC384" s="137">
        <f>CC383/BX383-1</f>
        <v>0.3047192839707078</v>
      </c>
      <c r="CD384" s="137">
        <f>CD383/BY383-1</f>
        <v>0.3452300176414711</v>
      </c>
      <c r="CE384" s="132">
        <f>CE383/BZ383-1</f>
        <v>0.24559386973180075</v>
      </c>
      <c r="CF384" s="132">
        <f>CF383/CA383-1</f>
        <v>8.3880037488284875E-2</v>
      </c>
      <c r="CG384" s="137">
        <f>CG383/CC383-1</f>
        <v>-4.1991476977445208E-2</v>
      </c>
      <c r="CH384" s="137">
        <f>CH383/CC383-1</f>
        <v>-6.3610851262862478E-2</v>
      </c>
      <c r="CI384" s="132">
        <f>CI383/CD383-1</f>
        <v>-7.5052960758599796E-2</v>
      </c>
    </row>
    <row r="385" spans="2:87" ht="13.5" customHeight="1">
      <c r="B385" s="1" t="s">
        <v>430</v>
      </c>
      <c r="C385" s="4">
        <v>6897</v>
      </c>
      <c r="D385" s="4">
        <v>7560</v>
      </c>
      <c r="E385" s="4">
        <v>12606</v>
      </c>
      <c r="F385" s="4">
        <v>18658</v>
      </c>
      <c r="G385" s="4">
        <v>25574</v>
      </c>
      <c r="H385" s="4">
        <v>25899</v>
      </c>
      <c r="I385" s="4">
        <v>26655</v>
      </c>
      <c r="J385" s="4">
        <v>26655</v>
      </c>
      <c r="K385" s="4">
        <v>30029</v>
      </c>
      <c r="L385" s="4">
        <v>34195</v>
      </c>
      <c r="M385" s="4">
        <v>34195</v>
      </c>
      <c r="N385" s="4">
        <v>37536</v>
      </c>
      <c r="O385" s="4">
        <v>37536</v>
      </c>
      <c r="P385" s="4">
        <v>40545</v>
      </c>
      <c r="Q385" s="4">
        <v>45044</v>
      </c>
      <c r="R385" s="4">
        <v>54214</v>
      </c>
      <c r="S385" s="95">
        <f>SUM(BF385:BI385)</f>
        <v>54799</v>
      </c>
      <c r="U385" s="4">
        <v>2192</v>
      </c>
      <c r="V385" s="4">
        <v>2346</v>
      </c>
      <c r="W385" s="4">
        <v>3900</v>
      </c>
      <c r="X385" s="6">
        <f>E385-W385-V385-U385</f>
        <v>4168</v>
      </c>
      <c r="Y385" s="4">
        <v>4218</v>
      </c>
      <c r="Z385" s="4">
        <v>3927</v>
      </c>
      <c r="AA385" s="4">
        <v>4305</v>
      </c>
      <c r="AB385" s="6">
        <f>+F385-SUM(Y385:AA385)</f>
        <v>6208</v>
      </c>
      <c r="AC385" s="4">
        <v>6061</v>
      </c>
      <c r="AD385" s="4">
        <v>6208</v>
      </c>
      <c r="AE385" s="4">
        <v>6506</v>
      </c>
      <c r="AF385" s="6">
        <f>G385-AE385-AD385-AC385</f>
        <v>6799</v>
      </c>
      <c r="AG385" s="4">
        <v>6468</v>
      </c>
      <c r="AH385" s="4">
        <v>6634</v>
      </c>
      <c r="AI385" s="4">
        <v>6693</v>
      </c>
      <c r="AJ385" s="6">
        <f>I385-AI385-AH385-AG385</f>
        <v>6860</v>
      </c>
      <c r="AK385" s="4">
        <v>6587</v>
      </c>
      <c r="AL385" s="4">
        <v>7324</v>
      </c>
      <c r="AM385" s="4">
        <v>8076</v>
      </c>
      <c r="AN385" s="6">
        <f>K385-AM385-AL385-AK385</f>
        <v>8042</v>
      </c>
      <c r="AO385" s="4">
        <v>7843</v>
      </c>
      <c r="AP385" s="4">
        <v>8289</v>
      </c>
      <c r="AQ385" s="4">
        <v>8680</v>
      </c>
      <c r="AR385" s="6">
        <f>M385-AQ385-AP385-AO385</f>
        <v>9383</v>
      </c>
      <c r="AS385" s="4">
        <v>9124</v>
      </c>
      <c r="AT385" s="4">
        <v>8906</v>
      </c>
      <c r="AU385" s="4">
        <v>9545</v>
      </c>
      <c r="AV385" s="6">
        <f>N385-AU385-AT385-AS385</f>
        <v>9961</v>
      </c>
      <c r="AW385" s="4">
        <v>10298</v>
      </c>
      <c r="AX385" s="4">
        <v>10190</v>
      </c>
      <c r="AY385" s="4">
        <v>9915</v>
      </c>
      <c r="AZ385" s="6">
        <f>P385-AY385-AX385-AW385</f>
        <v>10142</v>
      </c>
      <c r="BA385" s="4">
        <v>9362</v>
      </c>
      <c r="BB385" s="4">
        <v>10646</v>
      </c>
      <c r="BC385" s="4">
        <v>11913</v>
      </c>
      <c r="BD385" s="6">
        <f>Q385-BC385-BB385-BA385</f>
        <v>13123</v>
      </c>
      <c r="BE385" s="4">
        <v>12046</v>
      </c>
      <c r="BF385" s="4">
        <v>13437</v>
      </c>
      <c r="BG385" s="4">
        <v>14369</v>
      </c>
      <c r="BH385" s="6">
        <f>R385-SUM(BE385:BG385)</f>
        <v>14362</v>
      </c>
      <c r="BI385" s="4">
        <v>12631</v>
      </c>
      <c r="BJ385" s="44"/>
      <c r="BK385" s="4">
        <v>6095</v>
      </c>
      <c r="BL385" s="4">
        <v>6299</v>
      </c>
      <c r="BM385" s="4">
        <v>6590</v>
      </c>
      <c r="BN385" s="6">
        <f>H385-BM385-BL385-BK385</f>
        <v>6915</v>
      </c>
      <c r="BO385" s="4">
        <v>6634</v>
      </c>
      <c r="BP385" s="4">
        <v>6693</v>
      </c>
      <c r="BQ385" s="6"/>
      <c r="BR385" s="6" t="e">
        <f>#REF!-BQ385-BP385-BO385</f>
        <v>#REF!</v>
      </c>
      <c r="BS385" s="4">
        <v>6587</v>
      </c>
      <c r="BT385" s="4">
        <v>7324</v>
      </c>
      <c r="BU385" s="4">
        <v>8076</v>
      </c>
      <c r="BV385" s="6">
        <f>K385-BU385-BT385-BS385</f>
        <v>8042</v>
      </c>
      <c r="BW385" s="6"/>
      <c r="BX385" s="4">
        <v>7843</v>
      </c>
      <c r="BY385" s="4">
        <v>8289</v>
      </c>
      <c r="BZ385" s="4">
        <v>8680</v>
      </c>
      <c r="CA385" s="6">
        <f>M385-BZ385-BY385-BX385</f>
        <v>9383</v>
      </c>
      <c r="CB385" s="4">
        <v>8869</v>
      </c>
      <c r="CC385" s="4">
        <v>8906</v>
      </c>
      <c r="CD385" s="4">
        <v>9545</v>
      </c>
      <c r="CE385" s="6">
        <f>O385-CD385-CC385-CB385</f>
        <v>10216</v>
      </c>
      <c r="CF385" s="4">
        <v>10291</v>
      </c>
      <c r="CG385" s="4">
        <v>10205</v>
      </c>
      <c r="CH385" s="4">
        <v>9919</v>
      </c>
      <c r="CI385" s="6">
        <f>P385-CH385-CG385-CF385</f>
        <v>10130</v>
      </c>
    </row>
    <row r="386" spans="2:87" ht="13.5" customHeight="1">
      <c r="B386" s="130"/>
      <c r="C386" s="131">
        <f>C385/(174623*0.07671)-1</f>
        <v>-0.48511908029967932</v>
      </c>
      <c r="D386" s="132">
        <f>+D385/C385-1</f>
        <v>9.6128751631143983E-2</v>
      </c>
      <c r="E386" s="132">
        <f>+E385/D385-1</f>
        <v>0.66746031746031753</v>
      </c>
      <c r="F386" s="132">
        <f>+F385/E385-1</f>
        <v>0.48008884658099316</v>
      </c>
      <c r="G386" s="132">
        <f>+G385/F385-1</f>
        <v>0.37067209775967402</v>
      </c>
      <c r="H386" s="132">
        <f>+H385/F385-1</f>
        <v>0.38809089934612495</v>
      </c>
      <c r="I386" s="132">
        <f>+I385/H385-1</f>
        <v>2.9190316228425717E-2</v>
      </c>
      <c r="J386" s="132">
        <f>+J385/I385-1</f>
        <v>0</v>
      </c>
      <c r="K386" s="132">
        <f>+K385/I385-1</f>
        <v>0.12658037891577556</v>
      </c>
      <c r="L386" s="132">
        <f>+L385/J385-1</f>
        <v>0.28287375726880515</v>
      </c>
      <c r="M386" s="132">
        <f>+M385/K385-1</f>
        <v>0.13873255852675737</v>
      </c>
      <c r="N386" s="132">
        <f>+N385/K385-1</f>
        <v>0.24999167471444261</v>
      </c>
      <c r="O386" s="132">
        <f>+O385/M385-1</f>
        <v>9.7704342740166705E-2</v>
      </c>
      <c r="P386" s="132">
        <f>+P385/O385-1</f>
        <v>8.0163043478260976E-2</v>
      </c>
      <c r="Q386" s="132">
        <f>+Q385/P385-1</f>
        <v>0.11096312738932057</v>
      </c>
      <c r="R386" s="132">
        <f>+R385/Q385-1</f>
        <v>0.20357872302637414</v>
      </c>
      <c r="S386" s="177"/>
      <c r="U386" s="132"/>
      <c r="V386" s="132"/>
      <c r="W386" s="132"/>
      <c r="X386" s="132"/>
      <c r="Y386" s="132">
        <f t="shared" ref="Y386:AE386" si="1759">Y385/U385-1</f>
        <v>0.9242700729927007</v>
      </c>
      <c r="Z386" s="132">
        <f t="shared" si="1759"/>
        <v>0.67391304347826098</v>
      </c>
      <c r="AA386" s="132">
        <f t="shared" si="1759"/>
        <v>0.10384615384615392</v>
      </c>
      <c r="AB386" s="132">
        <f t="shared" si="1759"/>
        <v>0.48944337811900196</v>
      </c>
      <c r="AC386" s="132">
        <f t="shared" si="1759"/>
        <v>0.43693693693693691</v>
      </c>
      <c r="AD386" s="132">
        <f t="shared" si="1759"/>
        <v>0.58085052202699261</v>
      </c>
      <c r="AE386" s="132">
        <f t="shared" si="1759"/>
        <v>0.51126596980255523</v>
      </c>
      <c r="AF386" s="132">
        <f>AF385/AB385-1</f>
        <v>9.5199742268041287E-2</v>
      </c>
      <c r="AG386" s="132">
        <f>AG385/BK385-1</f>
        <v>6.1197703035274831E-2</v>
      </c>
      <c r="AH386" s="132">
        <f>AH385/BL385-1</f>
        <v>5.3183044927766376E-2</v>
      </c>
      <c r="AI386" s="132">
        <f>AI385/BM385-1</f>
        <v>1.5629742033383964E-2</v>
      </c>
      <c r="AJ386" s="132">
        <f>AJ385/BN385-1</f>
        <v>-7.9537237888648304E-3</v>
      </c>
      <c r="AK386" s="137">
        <f>AK385/AG385-1</f>
        <v>1.8398268398268414E-2</v>
      </c>
      <c r="AL386" s="137">
        <f>AL385/BO385-1</f>
        <v>0.10400964727163098</v>
      </c>
      <c r="AM386" s="137">
        <f>AM385/BP385-1</f>
        <v>0.20663379650380986</v>
      </c>
      <c r="AN386" s="132" t="e">
        <f>AN385/BR385-1</f>
        <v>#REF!</v>
      </c>
      <c r="AO386" s="137">
        <f>AO385/AK385-1</f>
        <v>0.19067860938211623</v>
      </c>
      <c r="AP386" s="137">
        <f>AP385/BS385-1</f>
        <v>0.25838773341430099</v>
      </c>
      <c r="AQ386" s="137">
        <f>AQ385/BT385-1</f>
        <v>0.18514472965592566</v>
      </c>
      <c r="AR386" s="132">
        <f>AR385/AN385-1</f>
        <v>0.16674956478487934</v>
      </c>
      <c r="AS386" s="137">
        <f t="shared" ref="AS386:AZ386" si="1760">AS385/BX385-1</f>
        <v>0.16333035828126996</v>
      </c>
      <c r="AT386" s="137">
        <f t="shared" si="1760"/>
        <v>7.4435999517432849E-2</v>
      </c>
      <c r="AU386" s="137">
        <f t="shared" si="1760"/>
        <v>9.9654377880184386E-2</v>
      </c>
      <c r="AV386" s="137">
        <f t="shared" si="1760"/>
        <v>6.1600767345198815E-2</v>
      </c>
      <c r="AW386" s="137">
        <f t="shared" si="1760"/>
        <v>0.16112301274100793</v>
      </c>
      <c r="AX386" s="137">
        <f t="shared" si="1760"/>
        <v>0.14417246799910166</v>
      </c>
      <c r="AY386" s="137">
        <f t="shared" si="1760"/>
        <v>3.8763750654793094E-2</v>
      </c>
      <c r="AZ386" s="137">
        <f t="shared" si="1760"/>
        <v>-7.2435395458104734E-3</v>
      </c>
      <c r="BA386" s="137">
        <f>BA385/AW385-1</f>
        <v>-9.0891435230141759E-2</v>
      </c>
      <c r="BB386" s="137">
        <f>BB385/CG385-1</f>
        <v>4.3214110730034339E-2</v>
      </c>
      <c r="BC386" s="137">
        <f>BC385/CH385-1</f>
        <v>0.20102832946869653</v>
      </c>
      <c r="BD386" s="137">
        <f>BD385/CI385-1</f>
        <v>0.29545903257650541</v>
      </c>
      <c r="BE386" s="137">
        <f>BE385/BA385-1</f>
        <v>0.28669087801751769</v>
      </c>
      <c r="BF386" s="137">
        <f>BF385/BB385-1</f>
        <v>0.26216419312417805</v>
      </c>
      <c r="BG386" s="137">
        <f>BG385/BC385-1</f>
        <v>0.20616133635524214</v>
      </c>
      <c r="BH386" s="137">
        <f>BH385/BD385-1</f>
        <v>9.4414386954202456E-2</v>
      </c>
      <c r="BI386" s="137">
        <f>BI385/BE385-1</f>
        <v>4.8563838618628674E-2</v>
      </c>
      <c r="BJ386" s="44"/>
      <c r="BK386" s="132">
        <f>BK385/Y385-1</f>
        <v>0.44499762920815544</v>
      </c>
      <c r="BL386" s="132">
        <f>BL385/Z385-1</f>
        <v>0.60402342755283933</v>
      </c>
      <c r="BM386" s="132">
        <f>BM385/AA385-1</f>
        <v>0.53077816492450647</v>
      </c>
      <c r="BN386" s="132">
        <f>BN385/AB385-1</f>
        <v>0.1138853092783505</v>
      </c>
      <c r="BO386" s="132">
        <f>BO385/AD385-1</f>
        <v>6.8621134020618646E-2</v>
      </c>
      <c r="BP386" s="132">
        <f>BP385/AE385-1</f>
        <v>2.8742699047033415E-2</v>
      </c>
      <c r="BQ386" s="132"/>
      <c r="BR386" s="132" t="e">
        <f>BR385/AF385-1</f>
        <v>#REF!</v>
      </c>
      <c r="BS386" s="137">
        <f>BS385/BO385-1</f>
        <v>-7.0847151040096534E-3</v>
      </c>
      <c r="BT386" s="137">
        <f>BT385/BO385-1</f>
        <v>0.10400964727163098</v>
      </c>
      <c r="BU386" s="137">
        <f>BU385/BP385-1</f>
        <v>0.20663379650380986</v>
      </c>
      <c r="BV386" s="132">
        <f>BV385/AJ385-1</f>
        <v>0.17230320699708446</v>
      </c>
      <c r="BW386" s="132"/>
      <c r="BX386" s="137">
        <f>BX385/BS385-1</f>
        <v>0.19067860938211623</v>
      </c>
      <c r="BY386" s="137">
        <f>BY385/BS385-1</f>
        <v>0.25838773341430099</v>
      </c>
      <c r="BZ386" s="137">
        <f>BZ385/BT385-1</f>
        <v>0.18514472965592566</v>
      </c>
      <c r="CA386" s="132">
        <f>CA385/BV385-1</f>
        <v>0.16674956478487934</v>
      </c>
      <c r="CB386" s="137">
        <f>CB385/BX385-1</f>
        <v>0.13081728930256276</v>
      </c>
      <c r="CC386" s="137">
        <f>CC385/BX385-1</f>
        <v>0.13553487186025759</v>
      </c>
      <c r="CD386" s="137">
        <f>CD385/BY385-1</f>
        <v>0.15152611895282897</v>
      </c>
      <c r="CE386" s="132">
        <f>CE385/BZ385-1</f>
        <v>0.17695852534562206</v>
      </c>
      <c r="CF386" s="132">
        <f>CF385/CA385-1</f>
        <v>9.677075562186932E-2</v>
      </c>
      <c r="CG386" s="137">
        <f>CG385/CC385-1</f>
        <v>0.1458567258028296</v>
      </c>
      <c r="CH386" s="137">
        <f>CH385/CC385-1</f>
        <v>0.1137435436784191</v>
      </c>
      <c r="CI386" s="132">
        <f>CI385/CD385-1</f>
        <v>6.1288632792037667E-2</v>
      </c>
    </row>
    <row r="387" spans="2:87" ht="13.5" customHeight="1">
      <c r="B387" s="1" t="s">
        <v>431</v>
      </c>
      <c r="C387" s="4">
        <v>-4247.3500000000104</v>
      </c>
      <c r="D387" s="4">
        <v>-5339.66500000001</v>
      </c>
      <c r="E387" s="4">
        <f>252141-E379-E381-E383-E385</f>
        <v>-6239</v>
      </c>
      <c r="F387" s="4">
        <f>267515-F379-F381-F383-F385</f>
        <v>-7774</v>
      </c>
      <c r="G387" s="4">
        <f>288266-G385-G383-G381-G379</f>
        <v>-9207</v>
      </c>
      <c r="H387" s="4">
        <f>289320-H385-H383-H381-H379</f>
        <v>-9215</v>
      </c>
      <c r="I387" s="4">
        <f>291926-I385-I383-I381-I379</f>
        <v>-8566</v>
      </c>
      <c r="J387" s="4">
        <f>291926-J385-J383-J381-J379</f>
        <v>-8566</v>
      </c>
      <c r="K387" s="4">
        <f>331051-K385-K383-K381-K379</f>
        <v>-9047</v>
      </c>
      <c r="L387" s="4">
        <f>348887-L385-L383-L381-L379</f>
        <v>-11620</v>
      </c>
      <c r="M387" s="4">
        <f>338792-M385-M383-M381-M379</f>
        <v>-10970</v>
      </c>
      <c r="N387" s="4">
        <f>398706-N385-N383-N381-N379</f>
        <v>-13316</v>
      </c>
      <c r="O387" s="4">
        <f>398706-O385-O383-O381-O379</f>
        <v>-13316</v>
      </c>
      <c r="P387" s="4">
        <f>399879.277-P385-P383-P381-P379</f>
        <v>-15233.722999999998</v>
      </c>
      <c r="Q387" s="4">
        <f>408335-Q385-Q383-Q381-Q379</f>
        <v>-17082</v>
      </c>
      <c r="R387" s="4">
        <f>426952-R385-R383-R381-R379</f>
        <v>-16402</v>
      </c>
      <c r="S387" s="95">
        <f>SUM(BF387:BI387)</f>
        <v>-16424</v>
      </c>
      <c r="U387" s="4">
        <v>-1561.5060000000001</v>
      </c>
      <c r="V387" s="4">
        <v>-1514.171</v>
      </c>
      <c r="W387" s="4">
        <v>-1486.231</v>
      </c>
      <c r="X387" s="6">
        <f>E387-W387-V387-U387</f>
        <v>-1677.0919999999999</v>
      </c>
      <c r="Y387" s="4">
        <f>131195-65115-Y379-Y381-Y383-Y385</f>
        <v>-1926</v>
      </c>
      <c r="Z387" s="4">
        <f>65115-Z379-Z381-Z383-Z385</f>
        <v>-1933</v>
      </c>
      <c r="AA387" s="4">
        <v>-1890.2460000000001</v>
      </c>
      <c r="AB387" s="6">
        <f>+F387-SUM(Y387:AA387)</f>
        <v>-2024.7539999999999</v>
      </c>
      <c r="AC387" s="4">
        <f>67154.129-AC379-AC381-AC383-AC385</f>
        <v>-2424.8709999999992</v>
      </c>
      <c r="AD387" s="4">
        <f>72417-AD379-AD381-AD383-AD385</f>
        <v>-2556</v>
      </c>
      <c r="AE387" s="4">
        <f>72390-AE379-AE381-AE383-AE385</f>
        <v>-2150</v>
      </c>
      <c r="AF387" s="6">
        <f>G387-AE387-AD387-AC387</f>
        <v>-2076.1290000000008</v>
      </c>
      <c r="AG387" s="4">
        <f>69573-AG379-AG381-AG383-AG385</f>
        <v>-2071</v>
      </c>
      <c r="AH387" s="4">
        <f>72324-AH379-AH381-AH383-AH385</f>
        <v>-2358</v>
      </c>
      <c r="AI387" s="4">
        <f>74965-AI379-AI381-AI383-AI385</f>
        <v>-2202</v>
      </c>
      <c r="AJ387" s="6">
        <f>I387-AI387-AH387-AG387</f>
        <v>-1935</v>
      </c>
      <c r="AK387" s="4">
        <f>74404-AK379-AK381-AK383-AK385</f>
        <v>-2382</v>
      </c>
      <c r="AL387" s="4">
        <f>86411-AL379-AL381-AL383-AL385</f>
        <v>-2495</v>
      </c>
      <c r="AM387" s="4">
        <f>85800-AM379-AM381-AM383-AM385</f>
        <v>-2353</v>
      </c>
      <c r="AN387" s="6">
        <f>K387-AM387-AL387-AK387</f>
        <v>-1817</v>
      </c>
      <c r="AO387" s="4">
        <f>79136-AO379-AO381-AO383-AO385</f>
        <v>-2555</v>
      </c>
      <c r="AP387" s="4">
        <f>83789-AP379-AP381-AP383-AP385</f>
        <v>-2799</v>
      </c>
      <c r="AQ387" s="4">
        <f>88182-AQ379-AQ381-AQ383-AQ385</f>
        <v>-2925</v>
      </c>
      <c r="AR387" s="6">
        <f>M387-AQ387-AP387-AO387</f>
        <v>-2691</v>
      </c>
      <c r="AS387" s="4">
        <f>93321-AS385-AS383-AS381-AS379</f>
        <v>-3361</v>
      </c>
      <c r="AT387" s="4">
        <f>96434-AT379-AT381-AT383-AT385</f>
        <v>-3333</v>
      </c>
      <c r="AU387" s="4">
        <f>102821-AU379-AU381-AU383-AU385</f>
        <v>-3249</v>
      </c>
      <c r="AV387" s="6">
        <f>N387-AU387-AT387-AS387</f>
        <v>-3373</v>
      </c>
      <c r="AW387" s="4">
        <f>99565-AW385-AW383-AW381-AW379</f>
        <v>-3853</v>
      </c>
      <c r="AX387" s="4">
        <f>100366-AX379-AX381-AX383-AX385</f>
        <v>-3725</v>
      </c>
      <c r="AY387" s="4">
        <f>99182-AY379-AY381-AY383-AY385</f>
        <v>-3758</v>
      </c>
      <c r="AZ387" s="6">
        <f>P387-AY387-AX387-AW387</f>
        <v>-3897.7229999999981</v>
      </c>
      <c r="BA387" s="4">
        <f>93641-BA385-BA383-BA381-BA379</f>
        <v>-3974</v>
      </c>
      <c r="BB387" s="4">
        <f>98087-BB379-BB381-BB383-BB385</f>
        <v>-4368</v>
      </c>
      <c r="BC387" s="4">
        <f>106046-BC379-BC381-BC383-BC385</f>
        <v>-4741</v>
      </c>
      <c r="BD387" s="6">
        <f>Q387-BC387-BB387-BA387</f>
        <v>-3999</v>
      </c>
      <c r="BE387" s="4">
        <f>103726-BE385-BE383-BE381-BE379</f>
        <v>-4094</v>
      </c>
      <c r="BF387" s="4">
        <f>107503-BF379-BF381-BF383-BF385</f>
        <v>-4382</v>
      </c>
      <c r="BG387" s="4">
        <f>107421-BG379-BG381-BG383-BG385</f>
        <v>-4022</v>
      </c>
      <c r="BH387" s="6">
        <f>R387-SUM(BE387:BG387)</f>
        <v>-3904</v>
      </c>
      <c r="BI387" s="4">
        <f>100319-BI385-BI383-BI381-BI379</f>
        <v>-4116</v>
      </c>
      <c r="BJ387" s="44"/>
      <c r="BK387" s="4">
        <f>67149-BK379-BK381-BK383-BK385</f>
        <v>-2425</v>
      </c>
      <c r="BL387" s="4">
        <f>72794-BL379-BL381-BL383-BL385</f>
        <v>-2560</v>
      </c>
      <c r="BM387" s="4">
        <f>72646-BM379-BM381-BM383-BM385</f>
        <v>-2156</v>
      </c>
      <c r="BN387" s="6">
        <f>H387-BM387-BL387-BK387</f>
        <v>-2074</v>
      </c>
      <c r="BO387" s="4">
        <f>72094-BO379-BO381-BO383-BO385</f>
        <v>-2356</v>
      </c>
      <c r="BP387" s="4">
        <f>74851-BP379-BP381-BP383-BP385</f>
        <v>-2202</v>
      </c>
      <c r="BQ387" s="6"/>
      <c r="BR387" s="6" t="e">
        <f>#REF!-BQ387-BP387-BO387</f>
        <v>#REF!</v>
      </c>
      <c r="BS387" s="4">
        <f>74250-BS379-BS381-BS383-BS385</f>
        <v>-2381</v>
      </c>
      <c r="BT387" s="4">
        <f>86308-BT379-BT381-BT383-BT385</f>
        <v>-2494</v>
      </c>
      <c r="BU387" s="4">
        <f>85715-BU379-BU381-BU383-BU385</f>
        <v>-2352</v>
      </c>
      <c r="BV387" s="6">
        <f>K387-BU387-BT387-BS387</f>
        <v>-1820</v>
      </c>
      <c r="BW387" s="6"/>
      <c r="BX387" s="4">
        <f>79286-BX379-BX381-BX383-BX385</f>
        <v>-2555</v>
      </c>
      <c r="BY387" s="4">
        <f>81654-BY379-BY381-BY383-BY385</f>
        <v>-2661</v>
      </c>
      <c r="BZ387" s="4">
        <f>85659-BZ379-BZ381-BZ383-BZ385</f>
        <v>-2746</v>
      </c>
      <c r="CA387" s="6">
        <f>M387-BZ387-BY387-BX387</f>
        <v>-3008</v>
      </c>
      <c r="CB387" s="4">
        <f>90570-CB379-CB381-CB383-CB385</f>
        <v>-2974</v>
      </c>
      <c r="CC387" s="4">
        <f>96415-CC379-CC381-CC383-CC385</f>
        <v>-3332</v>
      </c>
      <c r="CD387" s="4">
        <f>102726-CD379-CD381-CD383-CD385</f>
        <v>-3249</v>
      </c>
      <c r="CE387" s="6">
        <f>O387-CD387-CC387-CB387</f>
        <v>-3761</v>
      </c>
      <c r="CF387" s="4">
        <f>99181-CF385-CF383-CF381-CF379</f>
        <v>-3852</v>
      </c>
      <c r="CG387" s="4">
        <f>100036-CG379-CG381-CG383-CG385</f>
        <v>-3725</v>
      </c>
      <c r="CH387" s="4">
        <f>98779-CH379-CH381-CH383-CH385</f>
        <v>-3759</v>
      </c>
      <c r="CI387" s="6">
        <f>P387-CH387-CG387-CF387</f>
        <v>-3897.7229999999981</v>
      </c>
    </row>
    <row r="388" spans="2:87" ht="13.5" customHeight="1">
      <c r="B388" s="5" t="s">
        <v>432</v>
      </c>
      <c r="C388" s="8">
        <f t="shared" ref="C388:G388" si="1761">+C379+C381+C383+C385+C387</f>
        <v>187052.65</v>
      </c>
      <c r="D388" s="8">
        <f t="shared" si="1761"/>
        <v>219186.33499999999</v>
      </c>
      <c r="E388" s="8">
        <f t="shared" si="1761"/>
        <v>252141</v>
      </c>
      <c r="F388" s="8">
        <f t="shared" si="1761"/>
        <v>267515</v>
      </c>
      <c r="G388" s="8">
        <f t="shared" si="1761"/>
        <v>288266</v>
      </c>
      <c r="H388" s="8">
        <f t="shared" ref="H388:N388" si="1762">+H379+H381+H383+H385+H387</f>
        <v>289320</v>
      </c>
      <c r="I388" s="8">
        <f t="shared" si="1762"/>
        <v>291926</v>
      </c>
      <c r="J388" s="8">
        <f t="shared" si="1762"/>
        <v>291926</v>
      </c>
      <c r="K388" s="8">
        <f t="shared" si="1762"/>
        <v>331051</v>
      </c>
      <c r="L388" s="8">
        <f t="shared" si="1762"/>
        <v>348887</v>
      </c>
      <c r="M388" s="8">
        <f t="shared" si="1762"/>
        <v>338792</v>
      </c>
      <c r="N388" s="8">
        <f t="shared" si="1762"/>
        <v>398706</v>
      </c>
      <c r="O388" s="8">
        <f t="shared" ref="O388" si="1763">+O379+O381+O383+O385+O387</f>
        <v>398706</v>
      </c>
      <c r="P388" s="8">
        <f>+P379+P381+P383+P385+P387</f>
        <v>399879.277</v>
      </c>
      <c r="Q388" s="8">
        <f>+Q379+Q381+Q383+Q385+Q387</f>
        <v>408335</v>
      </c>
      <c r="R388" s="8">
        <f>+R379+R381+R383+R385+R387</f>
        <v>426952</v>
      </c>
      <c r="S388" s="8">
        <f t="shared" ref="S388" si="1764">+S379+S381+S383+S385+S387</f>
        <v>423545</v>
      </c>
      <c r="U388" s="8">
        <f t="shared" ref="U388:AB388" si="1765">+U379+U381+U383+U385+U387</f>
        <v>57075.493999999999</v>
      </c>
      <c r="V388" s="8">
        <f t="shared" si="1765"/>
        <v>61039.828999999998</v>
      </c>
      <c r="W388" s="8">
        <f t="shared" si="1765"/>
        <v>65163.769</v>
      </c>
      <c r="X388" s="8">
        <f t="shared" si="1765"/>
        <v>68861.907999999996</v>
      </c>
      <c r="Y388" s="8">
        <f t="shared" si="1765"/>
        <v>66080</v>
      </c>
      <c r="Z388" s="8">
        <f t="shared" si="1765"/>
        <v>65115</v>
      </c>
      <c r="AA388" s="8">
        <f t="shared" si="1765"/>
        <v>65389.754000000001</v>
      </c>
      <c r="AB388" s="8">
        <f t="shared" si="1765"/>
        <v>70930.245999999999</v>
      </c>
      <c r="AC388" s="8">
        <f t="shared" ref="AC388:AH388" si="1766">+AC379+AC381+AC383+AC385+AC387</f>
        <v>67154.129000000001</v>
      </c>
      <c r="AD388" s="8">
        <f t="shared" si="1766"/>
        <v>72417</v>
      </c>
      <c r="AE388" s="8">
        <f t="shared" si="1766"/>
        <v>72390</v>
      </c>
      <c r="AF388" s="8">
        <f t="shared" si="1766"/>
        <v>76304.870999999999</v>
      </c>
      <c r="AG388" s="8">
        <f t="shared" si="1766"/>
        <v>69573</v>
      </c>
      <c r="AH388" s="8">
        <f t="shared" si="1766"/>
        <v>72324</v>
      </c>
      <c r="AI388" s="8">
        <f>+AI379+AI381+AI383+AI385+AI387</f>
        <v>74965</v>
      </c>
      <c r="AJ388" s="8">
        <f>+AJ379+AJ381+AJ383+AJ385+AJ387</f>
        <v>75064</v>
      </c>
      <c r="AK388" s="8">
        <f>+AK379+AK381+AK383+AK385+AK387</f>
        <v>74404</v>
      </c>
      <c r="AL388" s="8">
        <f>+AL379+AL381+AL383+AL385+AL387</f>
        <v>86411</v>
      </c>
      <c r="AM388" s="8">
        <f>+AM379+AM381+AM383+AM385+AM387</f>
        <v>85800</v>
      </c>
      <c r="AN388" s="6">
        <f>K388-AM388-AL388-AK388</f>
        <v>84436</v>
      </c>
      <c r="AO388" s="8">
        <f>+AO379+AO381+AO383+AO385+AO387</f>
        <v>79136</v>
      </c>
      <c r="AP388" s="8">
        <f>+AP379+AP381+AP383+AP385+AP387</f>
        <v>83789</v>
      </c>
      <c r="AQ388" s="8">
        <f>+AQ379+AQ381+AQ383+AQ385+AQ387</f>
        <v>88182</v>
      </c>
      <c r="AR388" s="6">
        <f>M388-AQ388-AP388-AO388</f>
        <v>87685</v>
      </c>
      <c r="AS388" s="8">
        <f>+AS379+AS381+AS383+AS385+AS387</f>
        <v>93321</v>
      </c>
      <c r="AT388" s="8">
        <f>+AT379+AT381+AT383+AT385+AT387</f>
        <v>96434</v>
      </c>
      <c r="AU388" s="8">
        <f>+AU379+AU381+AU383+AU385+AU387</f>
        <v>102821</v>
      </c>
      <c r="AV388" s="8">
        <f>N388-AU388-AT388-AS388</f>
        <v>106130</v>
      </c>
      <c r="AW388" s="8">
        <f>+AW379+AW381+AW383+AW385+AW387</f>
        <v>99565</v>
      </c>
      <c r="AX388" s="8">
        <f>+AX379+AX381+AX383+AX385+AX387</f>
        <v>100366</v>
      </c>
      <c r="AY388" s="8">
        <f>+AY379+AY381+AY383+AY385+AY387</f>
        <v>99182</v>
      </c>
      <c r="AZ388" s="8">
        <f>P388-AY388-AX388-AW388</f>
        <v>100766.277</v>
      </c>
      <c r="BA388" s="8">
        <f>+BA379+BA381+BA383+BA385+BA387</f>
        <v>93641</v>
      </c>
      <c r="BB388" s="8">
        <f>+BB379+BB381+BB383+BB385+BB387</f>
        <v>98087</v>
      </c>
      <c r="BC388" s="8">
        <f>+BC379+BC381+BC383+BC385+BC387</f>
        <v>106046</v>
      </c>
      <c r="BD388" s="8">
        <f>Q388-BC388-BB388-BA388</f>
        <v>110561</v>
      </c>
      <c r="BE388" s="8">
        <f>+BE379+BE381+BE383+BE385+BE387</f>
        <v>103726</v>
      </c>
      <c r="BF388" s="8">
        <f>+BF379+BF381+BF383+BF385+BF387</f>
        <v>107503</v>
      </c>
      <c r="BG388" s="8">
        <f>+BG379+BG381+BG383+BG385+BG387</f>
        <v>107421</v>
      </c>
      <c r="BH388" s="8">
        <f>+BH379+BH381+BH383+BH385+BH387</f>
        <v>108302</v>
      </c>
      <c r="BI388" s="8">
        <f>+BI379+BI381+BI383+BI385+BI387</f>
        <v>100319</v>
      </c>
      <c r="BJ388" s="44"/>
      <c r="BK388" s="8">
        <f t="shared" ref="BK388:BP388" si="1767">+BK379+BK381+BK383+BK385+BK387</f>
        <v>67149</v>
      </c>
      <c r="BL388" s="8">
        <f t="shared" si="1767"/>
        <v>72794</v>
      </c>
      <c r="BM388" s="8">
        <f t="shared" si="1767"/>
        <v>72646</v>
      </c>
      <c r="BN388" s="8">
        <f t="shared" si="1767"/>
        <v>76731</v>
      </c>
      <c r="BO388" s="8">
        <f t="shared" si="1767"/>
        <v>72094</v>
      </c>
      <c r="BP388" s="8">
        <f t="shared" si="1767"/>
        <v>74851</v>
      </c>
      <c r="BQ388" s="8">
        <f>SUM(BQ379:BQ387)</f>
        <v>0</v>
      </c>
      <c r="BR388" s="8" t="e">
        <f t="shared" ref="BR388:BY388" si="1768">+BR379+BR381+BR383+BR385+BR387</f>
        <v>#REF!</v>
      </c>
      <c r="BS388" s="8">
        <f t="shared" si="1768"/>
        <v>74250</v>
      </c>
      <c r="BT388" s="8">
        <f t="shared" si="1768"/>
        <v>86308</v>
      </c>
      <c r="BU388" s="8">
        <f t="shared" si="1768"/>
        <v>85715</v>
      </c>
      <c r="BV388" s="8">
        <f t="shared" si="1768"/>
        <v>84778</v>
      </c>
      <c r="BW388" s="8"/>
      <c r="BX388" s="8">
        <f t="shared" si="1768"/>
        <v>79286</v>
      </c>
      <c r="BY388" s="8">
        <f t="shared" si="1768"/>
        <v>81654</v>
      </c>
      <c r="BZ388" s="8">
        <f t="shared" ref="BZ388:CC388" si="1769">+BZ379+BZ381+BZ383+BZ385+BZ387</f>
        <v>85659</v>
      </c>
      <c r="CA388" s="8">
        <f t="shared" si="1769"/>
        <v>92193</v>
      </c>
      <c r="CB388" s="8">
        <f t="shared" si="1769"/>
        <v>90570</v>
      </c>
      <c r="CC388" s="8">
        <f t="shared" si="1769"/>
        <v>96415</v>
      </c>
      <c r="CD388" s="8">
        <f t="shared" ref="CD388:CE388" si="1770">+CD379+CD381+CD383+CD385+CD387</f>
        <v>102726</v>
      </c>
      <c r="CE388" s="8">
        <f t="shared" si="1770"/>
        <v>108995</v>
      </c>
      <c r="CF388" s="8">
        <f>+CF379+CF381+CF383+CF385+CF387</f>
        <v>99181</v>
      </c>
      <c r="CG388" s="8">
        <f>+CG379+CG381+CG383+CG385+CG387</f>
        <v>100036</v>
      </c>
      <c r="CH388" s="8">
        <f t="shared" ref="CH388:CI388" si="1771">+CH379+CH381+CH383+CH385+CH387</f>
        <v>98779</v>
      </c>
      <c r="CI388" s="8">
        <f t="shared" si="1771"/>
        <v>101883.277</v>
      </c>
    </row>
    <row r="389" spans="2:87" s="99" customFormat="1" ht="13.5" customHeight="1">
      <c r="B389" s="136" t="s">
        <v>317</v>
      </c>
      <c r="C389" s="120">
        <f>C8</f>
        <v>7.1179913298935471E-2</v>
      </c>
      <c r="D389" s="137">
        <f>(D388/C388)-1</f>
        <v>0.17178952022331684</v>
      </c>
      <c r="E389" s="137">
        <f>(E388/D388)-1</f>
        <v>0.15034999786825209</v>
      </c>
      <c r="F389" s="137">
        <f>(F388/E388)-1</f>
        <v>6.0973820203774842E-2</v>
      </c>
      <c r="G389" s="137">
        <f>(G388/F388)-1</f>
        <v>7.7569482085116714E-2</v>
      </c>
      <c r="H389" s="132">
        <f>+H388/F388-1</f>
        <v>8.1509448068332713E-2</v>
      </c>
      <c r="I389" s="137">
        <f>(I388/H388)-1</f>
        <v>9.0073275266140396E-3</v>
      </c>
      <c r="J389" s="137">
        <f>(J388/H388)-1</f>
        <v>9.0073275266140396E-3</v>
      </c>
      <c r="K389" s="137">
        <f>(K388/I388)-1</f>
        <v>0.13402369093537403</v>
      </c>
      <c r="L389" s="137">
        <f>(L388/J388)-1</f>
        <v>0.19512136637366995</v>
      </c>
      <c r="M389" s="137">
        <f>(M388/K388)-1</f>
        <v>2.3383104113867681E-2</v>
      </c>
      <c r="N389" s="137">
        <f>(N388/K388)-1</f>
        <v>0.20436428224050074</v>
      </c>
      <c r="O389" s="132">
        <f>+O388/M388-1</f>
        <v>0.17684597038891114</v>
      </c>
      <c r="P389" s="132">
        <f>+P388/O388-1</f>
        <v>2.9427121738825335E-3</v>
      </c>
      <c r="Q389" s="132">
        <f>+Q388/P388-1</f>
        <v>2.114568942766204E-2</v>
      </c>
      <c r="R389" s="132">
        <f>+R388/Q388-1</f>
        <v>4.5592466969522683E-2</v>
      </c>
      <c r="S389" s="137"/>
      <c r="U389" s="120">
        <f>U8</f>
        <v>0.14041508152173909</v>
      </c>
      <c r="V389" s="120">
        <f>V8</f>
        <v>0.14592203428013595</v>
      </c>
      <c r="W389" s="120">
        <f>W8</f>
        <v>0.15637011996024985</v>
      </c>
      <c r="X389" s="120">
        <f>X8</f>
        <v>0.1569737058754348</v>
      </c>
      <c r="Y389" s="137">
        <f t="shared" ref="Y389:AE389" si="1772">Y388/U388-1</f>
        <v>0.15776483686676457</v>
      </c>
      <c r="Z389" s="137">
        <f t="shared" si="1772"/>
        <v>6.6762490438824873E-2</v>
      </c>
      <c r="AA389" s="137">
        <f t="shared" si="1772"/>
        <v>3.4679547157563384E-3</v>
      </c>
      <c r="AB389" s="137">
        <f t="shared" si="1772"/>
        <v>3.0036025141795486E-2</v>
      </c>
      <c r="AC389" s="137">
        <f t="shared" si="1772"/>
        <v>1.6254978813559307E-2</v>
      </c>
      <c r="AD389" s="137">
        <f t="shared" si="1772"/>
        <v>0.11214005989403364</v>
      </c>
      <c r="AE389" s="137">
        <f t="shared" si="1772"/>
        <v>0.10705417243196846</v>
      </c>
      <c r="AF389" s="137">
        <f>AF388/AB388-1</f>
        <v>7.5773387279666204E-2</v>
      </c>
      <c r="AG389" s="132">
        <f>AG388/BK388-1</f>
        <v>3.6098825001116941E-2</v>
      </c>
      <c r="AH389" s="132">
        <f>AH388/BL388-1</f>
        <v>-6.4565760914361281E-3</v>
      </c>
      <c r="AI389" s="132">
        <f>AI388/BM388-1</f>
        <v>3.1921922748671561E-2</v>
      </c>
      <c r="AJ389" s="132">
        <f>AJ388/BN388-1</f>
        <v>-2.1725247944116455E-2</v>
      </c>
      <c r="AK389" s="137">
        <f>AK388/AG388-1</f>
        <v>6.9437856639788409E-2</v>
      </c>
      <c r="AL389" s="137">
        <f>AL388/BO388-1</f>
        <v>0.19858795461480838</v>
      </c>
      <c r="AM389" s="137">
        <f>AM388/BP388-1</f>
        <v>0.14627727084474484</v>
      </c>
      <c r="AN389" s="132" t="e">
        <f>AN388/BR388-1</f>
        <v>#REF!</v>
      </c>
      <c r="AO389" s="137">
        <f>AO388/AK388-1</f>
        <v>6.3598731251008012E-2</v>
      </c>
      <c r="AP389" s="137">
        <f>AP388/BS388-1</f>
        <v>0.1284713804713804</v>
      </c>
      <c r="AQ389" s="137">
        <f>AQ388/BT388-1</f>
        <v>2.171293506975025E-2</v>
      </c>
      <c r="AR389" s="132">
        <f>AR388/AN388-1</f>
        <v>3.8478847884788392E-2</v>
      </c>
      <c r="AS389" s="137">
        <f t="shared" ref="AS389:AZ389" si="1773">AS388/BX388-1</f>
        <v>0.17701738011754919</v>
      </c>
      <c r="AT389" s="137">
        <f t="shared" si="1773"/>
        <v>0.18100766649521161</v>
      </c>
      <c r="AU389" s="137">
        <f t="shared" si="1773"/>
        <v>0.2003525607350074</v>
      </c>
      <c r="AV389" s="137">
        <f t="shared" si="1773"/>
        <v>0.15117199787402513</v>
      </c>
      <c r="AW389" s="137">
        <f t="shared" si="1773"/>
        <v>9.9315446615877212E-2</v>
      </c>
      <c r="AX389" s="137">
        <f t="shared" si="1773"/>
        <v>4.0979100762329468E-2</v>
      </c>
      <c r="AY389" s="137">
        <f t="shared" si="1773"/>
        <v>-3.4499542472207656E-2</v>
      </c>
      <c r="AZ389" s="137">
        <f t="shared" si="1773"/>
        <v>-7.5496334694251988E-2</v>
      </c>
      <c r="BA389" s="137">
        <f>BA388/AW388-1</f>
        <v>-5.9498819866418917E-2</v>
      </c>
      <c r="BB389" s="137">
        <f>BB388/CG388-1</f>
        <v>-1.9482986124994994E-2</v>
      </c>
      <c r="BC389" s="137">
        <f>BC388/CH388-1</f>
        <v>7.3568268559106587E-2</v>
      </c>
      <c r="BD389" s="137">
        <f>BD388/CI388-1</f>
        <v>8.5173183033757427E-2</v>
      </c>
      <c r="BE389" s="137">
        <f>BE388/BA388-1</f>
        <v>0.10769855084845315</v>
      </c>
      <c r="BF389" s="137">
        <f>BF388/BB388-1</f>
        <v>9.5996411349108524E-2</v>
      </c>
      <c r="BG389" s="137">
        <f>BG388/BC388-1</f>
        <v>1.2966071327537021E-2</v>
      </c>
      <c r="BH389" s="137">
        <f>BH388/BD388-1</f>
        <v>-2.0432159622289947E-2</v>
      </c>
      <c r="BI389" s="137">
        <f>BI388/BE388-1</f>
        <v>-3.2846152362956293E-2</v>
      </c>
      <c r="BJ389" s="44"/>
      <c r="BK389" s="132">
        <f>BK388/Y388-1</f>
        <v>1.617736077481835E-2</v>
      </c>
      <c r="BL389" s="132">
        <f>BL388/Z388-1</f>
        <v>0.11792981647853806</v>
      </c>
      <c r="BM389" s="132">
        <f>BM388/AA388-1</f>
        <v>0.11096915886852843</v>
      </c>
      <c r="BN389" s="132">
        <f>BN388/AB388-1</f>
        <v>8.1781106469023035E-2</v>
      </c>
      <c r="BO389" s="132">
        <f>BO388/AD388-1</f>
        <v>-4.4602786638496816E-3</v>
      </c>
      <c r="BP389" s="132">
        <f>BP388/AE388-1</f>
        <v>3.3996408343693885E-2</v>
      </c>
      <c r="BQ389" s="137">
        <f>BQ388/X388-1</f>
        <v>-1</v>
      </c>
      <c r="BR389" s="132" t="e">
        <f>BR388/AF388-1</f>
        <v>#REF!</v>
      </c>
      <c r="BS389" s="137">
        <f>BS388/BO388-1</f>
        <v>2.9905401281659971E-2</v>
      </c>
      <c r="BT389" s="137">
        <f>BT388/BO388-1</f>
        <v>0.19715926429383868</v>
      </c>
      <c r="BU389" s="137">
        <f>BU388/BP388-1</f>
        <v>0.14514168147386131</v>
      </c>
      <c r="BV389" s="132">
        <f>BV388/AJ388-1</f>
        <v>0.12940957049984014</v>
      </c>
      <c r="BW389" s="132"/>
      <c r="BX389" s="137">
        <f>BX388/BS388-1</f>
        <v>6.7824915824915788E-2</v>
      </c>
      <c r="BY389" s="137">
        <f>BY388/BS388-1</f>
        <v>9.9717171717171649E-2</v>
      </c>
      <c r="BZ389" s="137">
        <f>BZ388/BT388-1</f>
        <v>-7.5195810353617665E-3</v>
      </c>
      <c r="CA389" s="132">
        <f>CA388/BV388-1</f>
        <v>8.7463728797565476E-2</v>
      </c>
      <c r="CB389" s="137">
        <f>CB388/BX388-1</f>
        <v>0.14232020785510691</v>
      </c>
      <c r="CC389" s="137">
        <f>CC388/BX388-1</f>
        <v>0.21604066291653012</v>
      </c>
      <c r="CD389" s="137">
        <f>CD388/BY388-1</f>
        <v>0.25806451612903225</v>
      </c>
      <c r="CE389" s="132">
        <f>CE388/BZ388-1</f>
        <v>0.27242905007062879</v>
      </c>
      <c r="CF389" s="132">
        <f>CF388/CA388-1</f>
        <v>7.5797511741672263E-2</v>
      </c>
      <c r="CG389" s="137">
        <f>CG388/CC388-1</f>
        <v>3.7556396826220029E-2</v>
      </c>
      <c r="CH389" s="137">
        <f>CH388/CC388-1</f>
        <v>2.4519006378675545E-2</v>
      </c>
      <c r="CI389" s="132">
        <f>CI388/CD388-1</f>
        <v>-8.2035998676089905E-3</v>
      </c>
    </row>
    <row r="390" spans="2:87" s="138" customFormat="1" ht="13.5" customHeight="1">
      <c r="B390" s="373" t="s">
        <v>433</v>
      </c>
      <c r="C390" s="374">
        <f t="shared" ref="C390:S390" si="1774">+C388-C7</f>
        <v>0</v>
      </c>
      <c r="D390" s="374">
        <f t="shared" si="1774"/>
        <v>0</v>
      </c>
      <c r="E390" s="374">
        <f t="shared" si="1774"/>
        <v>-1.0000000009313226E-2</v>
      </c>
      <c r="F390" s="374">
        <f t="shared" si="1774"/>
        <v>-0.40500000002793968</v>
      </c>
      <c r="G390" s="374">
        <f t="shared" si="1774"/>
        <v>2.6000000012572855E-2</v>
      </c>
      <c r="H390" s="374">
        <f t="shared" si="1774"/>
        <v>0.47399999998742715</v>
      </c>
      <c r="I390" s="374">
        <f t="shared" si="1774"/>
        <v>0.17700000002514571</v>
      </c>
      <c r="J390" s="374">
        <f t="shared" si="1774"/>
        <v>0.17700000002514571</v>
      </c>
      <c r="K390" s="374">
        <f t="shared" si="1774"/>
        <v>0.45500000001629815</v>
      </c>
      <c r="L390" s="374">
        <f t="shared" si="1774"/>
        <v>-0.44000000000232831</v>
      </c>
      <c r="M390" s="374">
        <f t="shared" si="1774"/>
        <v>-0.20400000002700835</v>
      </c>
      <c r="N390" s="374">
        <f t="shared" si="1774"/>
        <v>-0.29300000000512227</v>
      </c>
      <c r="O390" s="374">
        <f t="shared" si="1774"/>
        <v>-0.29300000000512227</v>
      </c>
      <c r="P390" s="374">
        <f t="shared" si="1774"/>
        <v>0</v>
      </c>
      <c r="Q390" s="374">
        <f t="shared" si="1774"/>
        <v>4.7000000020489097E-2</v>
      </c>
      <c r="R390" s="374">
        <f t="shared" si="1774"/>
        <v>0.30599999998230487</v>
      </c>
      <c r="S390" s="374">
        <f t="shared" si="1774"/>
        <v>0.11799999995855615</v>
      </c>
      <c r="T390" s="375"/>
      <c r="U390" s="374">
        <f t="shared" ref="U390:BH390" si="1775">+U388-U7</f>
        <v>0</v>
      </c>
      <c r="V390" s="374">
        <f t="shared" si="1775"/>
        <v>0</v>
      </c>
      <c r="W390" s="374">
        <f t="shared" si="1775"/>
        <v>0</v>
      </c>
      <c r="X390" s="374">
        <f t="shared" si="1775"/>
        <v>-1.0000000009313226E-2</v>
      </c>
      <c r="Y390" s="374">
        <f t="shared" si="1775"/>
        <v>3.1000000002677552E-2</v>
      </c>
      <c r="Z390" s="374">
        <f t="shared" si="1775"/>
        <v>0.44700000000011642</v>
      </c>
      <c r="AA390" s="374">
        <f t="shared" si="1775"/>
        <v>0</v>
      </c>
      <c r="AB390" s="374">
        <f t="shared" si="1775"/>
        <v>-0.88300000001618173</v>
      </c>
      <c r="AC390" s="374">
        <f t="shared" si="1775"/>
        <v>0</v>
      </c>
      <c r="AD390" s="374">
        <f t="shared" si="1775"/>
        <v>0.38300000000162981</v>
      </c>
      <c r="AE390" s="374">
        <f t="shared" si="1775"/>
        <v>-0.30199999999604188</v>
      </c>
      <c r="AF390" s="374">
        <f t="shared" si="1775"/>
        <v>-5.4999999993015081E-2</v>
      </c>
      <c r="AG390" s="374">
        <f t="shared" si="1775"/>
        <v>-0.15300000000570435</v>
      </c>
      <c r="AH390" s="374">
        <f t="shared" si="1775"/>
        <v>-0.17200000000593718</v>
      </c>
      <c r="AI390" s="374">
        <f t="shared" si="1775"/>
        <v>-0.17100000000209548</v>
      </c>
      <c r="AJ390" s="374">
        <f t="shared" si="1775"/>
        <v>0.6730000000243308</v>
      </c>
      <c r="AK390" s="374">
        <f t="shared" si="1775"/>
        <v>-8.4000000002561137E-2</v>
      </c>
      <c r="AL390" s="374">
        <f t="shared" si="1775"/>
        <v>-0.24000000000523869</v>
      </c>
      <c r="AM390" s="374">
        <f t="shared" si="1775"/>
        <v>-0.33199999999487773</v>
      </c>
      <c r="AN390" s="374">
        <f t="shared" si="1775"/>
        <v>1.1110000000044238</v>
      </c>
      <c r="AO390" s="374">
        <f t="shared" si="1775"/>
        <v>-0.35700000000360887</v>
      </c>
      <c r="AP390" s="374">
        <f t="shared" si="1775"/>
        <v>0.1830000000045402</v>
      </c>
      <c r="AQ390" s="374">
        <f t="shared" si="1775"/>
        <v>-7.3999999993247911E-2</v>
      </c>
      <c r="AR390" s="374">
        <f t="shared" si="1775"/>
        <v>4.3999999979860149E-2</v>
      </c>
      <c r="AS390" s="374">
        <f t="shared" si="1775"/>
        <v>0.35799999999289867</v>
      </c>
      <c r="AT390" s="374">
        <f t="shared" si="1775"/>
        <v>-0.39599999999336433</v>
      </c>
      <c r="AU390" s="374">
        <f t="shared" si="1775"/>
        <v>-8.5999999995692633E-2</v>
      </c>
      <c r="AV390" s="374">
        <f t="shared" si="1775"/>
        <v>-0.16899999997986015</v>
      </c>
      <c r="AW390" s="374">
        <f t="shared" si="1775"/>
        <v>-0.44299999999930151</v>
      </c>
      <c r="AX390" s="374">
        <f t="shared" si="1775"/>
        <v>-0.14200000000710133</v>
      </c>
      <c r="AY390" s="374">
        <f t="shared" si="1775"/>
        <v>0.30400000000372529</v>
      </c>
      <c r="AZ390" s="374">
        <f t="shared" si="1775"/>
        <v>0.28099999998812564</v>
      </c>
      <c r="BA390" s="374">
        <f t="shared" si="1775"/>
        <v>-0.11400000000139698</v>
      </c>
      <c r="BB390" s="374">
        <f t="shared" si="1775"/>
        <v>0.41099999999278225</v>
      </c>
      <c r="BC390" s="374">
        <f t="shared" si="1775"/>
        <v>-0.35599999999976717</v>
      </c>
      <c r="BD390" s="374">
        <f t="shared" si="1775"/>
        <v>0.10600000005797483</v>
      </c>
      <c r="BE390" s="374">
        <f t="shared" si="1775"/>
        <v>0.4419999999954598</v>
      </c>
      <c r="BF390" s="374">
        <f t="shared" si="1775"/>
        <v>0.47100000000500586</v>
      </c>
      <c r="BG390" s="374">
        <f t="shared" si="1775"/>
        <v>0.17799999999988358</v>
      </c>
      <c r="BH390" s="374">
        <f t="shared" si="1775"/>
        <v>-0.78500000003259629</v>
      </c>
      <c r="BI390" s="374">
        <f t="shared" ref="BI390" si="1776">+BI388-BI7</f>
        <v>0.25400000000081491</v>
      </c>
      <c r="BJ390" s="44"/>
      <c r="BK390" s="140">
        <f t="shared" ref="BK390:BP390" si="1777">+BK388-BK7</f>
        <v>-5.9999999997671694E-2</v>
      </c>
      <c r="BL390" s="140">
        <f t="shared" si="1777"/>
        <v>0.23399999999674037</v>
      </c>
      <c r="BM390" s="140">
        <f t="shared" si="1777"/>
        <v>-0.3779999999969732</v>
      </c>
      <c r="BN390" s="140">
        <f t="shared" si="1777"/>
        <v>0.67799999998533167</v>
      </c>
      <c r="BO390" s="140">
        <f t="shared" si="1777"/>
        <v>-0.27800000000570435</v>
      </c>
      <c r="BP390" s="140">
        <f t="shared" si="1777"/>
        <v>0.14200000000710133</v>
      </c>
      <c r="BQ390" s="140"/>
      <c r="BR390" s="140" t="e">
        <f>+BR388-BR7</f>
        <v>#REF!</v>
      </c>
      <c r="BS390" s="140">
        <f>+BS388-BS7</f>
        <v>0.28900000000430737</v>
      </c>
      <c r="BT390" s="140">
        <f>+BT388-BT7</f>
        <v>-0.1279999999969732</v>
      </c>
      <c r="BU390" s="140">
        <f>+BU388-BU7</f>
        <v>6.6999999995459802E-2</v>
      </c>
      <c r="BV390" s="140">
        <f>+BV388-BV7</f>
        <v>0.22700000002805609</v>
      </c>
      <c r="BW390" s="140"/>
      <c r="BX390" s="140">
        <f t="shared" ref="BX390:CI390" si="1778">+BX388-BX7</f>
        <v>-0.1879999999946449</v>
      </c>
      <c r="BY390" s="140">
        <f t="shared" si="1778"/>
        <v>0.13400000000547152</v>
      </c>
      <c r="BZ390" s="140">
        <f t="shared" si="1778"/>
        <v>-0.30000000000291038</v>
      </c>
      <c r="CA390" s="140">
        <f t="shared" si="1778"/>
        <v>0.14999999997962732</v>
      </c>
      <c r="CB390" s="140">
        <f t="shared" si="1778"/>
        <v>-0.28399999999965075</v>
      </c>
      <c r="CC390" s="140">
        <f t="shared" si="1778"/>
        <v>0.44899999999324791</v>
      </c>
      <c r="CD390" s="140">
        <f t="shared" si="1778"/>
        <v>0.10799999999289867</v>
      </c>
      <c r="CE390" s="140">
        <f t="shared" si="1778"/>
        <v>-0.56600000000617001</v>
      </c>
      <c r="CF390" s="140">
        <f t="shared" si="1778"/>
        <v>0.10400000000663567</v>
      </c>
      <c r="CG390" s="140">
        <f t="shared" si="1778"/>
        <v>-9.2000000004190952E-2</v>
      </c>
      <c r="CH390" s="140">
        <f t="shared" si="1778"/>
        <v>-0.20200000000477303</v>
      </c>
      <c r="CI390" s="140">
        <f t="shared" si="1778"/>
        <v>0.19000000001688022</v>
      </c>
    </row>
    <row r="391" spans="2:87" ht="13.5" customHeight="1"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BJ391" s="44"/>
    </row>
    <row r="392" spans="2:87" ht="13.5" customHeight="1">
      <c r="B392" s="372" t="s">
        <v>434</v>
      </c>
      <c r="C392" s="38">
        <f t="shared" ref="C392:R392" si="1779">C3</f>
        <v>41975</v>
      </c>
      <c r="D392" s="38">
        <f t="shared" si="1779"/>
        <v>42341</v>
      </c>
      <c r="E392" s="38">
        <f t="shared" si="1779"/>
        <v>42708</v>
      </c>
      <c r="F392" s="38">
        <f t="shared" si="1779"/>
        <v>43074</v>
      </c>
      <c r="G392" s="38">
        <f t="shared" si="1779"/>
        <v>43439</v>
      </c>
      <c r="H392" s="38">
        <f t="shared" si="1779"/>
        <v>43439</v>
      </c>
      <c r="I392" s="38">
        <f t="shared" si="1779"/>
        <v>43804</v>
      </c>
      <c r="J392" s="38">
        <f t="shared" si="1779"/>
        <v>43804</v>
      </c>
      <c r="K392" s="38">
        <f t="shared" si="1779"/>
        <v>44170</v>
      </c>
      <c r="L392" s="38">
        <f t="shared" si="1779"/>
        <v>44535</v>
      </c>
      <c r="M392" s="38">
        <f t="shared" si="1779"/>
        <v>44535</v>
      </c>
      <c r="N392" s="38">
        <f t="shared" si="1779"/>
        <v>44900</v>
      </c>
      <c r="O392" s="38">
        <f t="shared" si="1779"/>
        <v>44900</v>
      </c>
      <c r="P392" s="38">
        <f t="shared" si="1779"/>
        <v>45265</v>
      </c>
      <c r="Q392" s="38">
        <f t="shared" si="1779"/>
        <v>45631</v>
      </c>
      <c r="R392" s="38">
        <f t="shared" si="1779"/>
        <v>45996</v>
      </c>
      <c r="S392" s="38" t="s">
        <v>277</v>
      </c>
      <c r="U392" s="38">
        <f t="shared" ref="U392:BH392" si="1780">U3</f>
        <v>42437</v>
      </c>
      <c r="V392" s="38">
        <f t="shared" si="1780"/>
        <v>42527</v>
      </c>
      <c r="W392" s="38">
        <f t="shared" si="1780"/>
        <v>42622</v>
      </c>
      <c r="X392" s="38">
        <f t="shared" si="1780"/>
        <v>42714</v>
      </c>
      <c r="Y392" s="38">
        <f t="shared" si="1780"/>
        <v>42801</v>
      </c>
      <c r="Z392" s="38">
        <f t="shared" si="1780"/>
        <v>42892</v>
      </c>
      <c r="AA392" s="38">
        <f t="shared" si="1780"/>
        <v>42987</v>
      </c>
      <c r="AB392" s="38">
        <f t="shared" si="1780"/>
        <v>43100</v>
      </c>
      <c r="AC392" s="38">
        <f t="shared" si="1780"/>
        <v>43190</v>
      </c>
      <c r="AD392" s="38">
        <f t="shared" si="1780"/>
        <v>43281</v>
      </c>
      <c r="AE392" s="38">
        <f t="shared" si="1780"/>
        <v>43373</v>
      </c>
      <c r="AF392" s="38">
        <f t="shared" si="1780"/>
        <v>43465</v>
      </c>
      <c r="AG392" s="38">
        <f t="shared" si="1780"/>
        <v>43555</v>
      </c>
      <c r="AH392" s="38">
        <f t="shared" si="1780"/>
        <v>43646</v>
      </c>
      <c r="AI392" s="38">
        <f t="shared" si="1780"/>
        <v>43738</v>
      </c>
      <c r="AJ392" s="38">
        <f t="shared" si="1780"/>
        <v>43830</v>
      </c>
      <c r="AK392" s="38">
        <f t="shared" si="1780"/>
        <v>43921</v>
      </c>
      <c r="AL392" s="38">
        <f t="shared" si="1780"/>
        <v>44012</v>
      </c>
      <c r="AM392" s="38">
        <f t="shared" si="1780"/>
        <v>44104</v>
      </c>
      <c r="AN392" s="38">
        <f t="shared" si="1780"/>
        <v>44196</v>
      </c>
      <c r="AO392" s="38">
        <f t="shared" si="1780"/>
        <v>44286</v>
      </c>
      <c r="AP392" s="38">
        <f t="shared" si="1780"/>
        <v>44377</v>
      </c>
      <c r="AQ392" s="38">
        <f t="shared" si="1780"/>
        <v>44469</v>
      </c>
      <c r="AR392" s="38">
        <f t="shared" si="1780"/>
        <v>44561</v>
      </c>
      <c r="AS392" s="38">
        <f t="shared" si="1780"/>
        <v>44651</v>
      </c>
      <c r="AT392" s="38">
        <f t="shared" si="1780"/>
        <v>44742</v>
      </c>
      <c r="AU392" s="38">
        <f t="shared" si="1780"/>
        <v>44834</v>
      </c>
      <c r="AV392" s="38">
        <f t="shared" si="1780"/>
        <v>44926</v>
      </c>
      <c r="AW392" s="38">
        <f t="shared" si="1780"/>
        <v>45016</v>
      </c>
      <c r="AX392" s="38">
        <f t="shared" si="1780"/>
        <v>45107</v>
      </c>
      <c r="AY392" s="38">
        <f t="shared" si="1780"/>
        <v>45199</v>
      </c>
      <c r="AZ392" s="38">
        <f t="shared" si="1780"/>
        <v>45291</v>
      </c>
      <c r="BA392" s="197">
        <f t="shared" si="1780"/>
        <v>45382</v>
      </c>
      <c r="BB392" s="197">
        <f t="shared" si="1780"/>
        <v>45473</v>
      </c>
      <c r="BC392" s="197">
        <f t="shared" si="1780"/>
        <v>45565</v>
      </c>
      <c r="BD392" s="197">
        <f t="shared" si="1780"/>
        <v>45657</v>
      </c>
      <c r="BE392" s="197">
        <f t="shared" si="1780"/>
        <v>45747</v>
      </c>
      <c r="BF392" s="197">
        <f t="shared" si="1780"/>
        <v>45838</v>
      </c>
      <c r="BG392" s="197">
        <f t="shared" si="1780"/>
        <v>45930</v>
      </c>
      <c r="BH392" s="197">
        <f t="shared" si="1780"/>
        <v>46022</v>
      </c>
      <c r="BI392" s="197">
        <f t="shared" ref="BI392" si="1781">BI3</f>
        <v>46112</v>
      </c>
      <c r="BJ392" s="44"/>
      <c r="BK392" s="197">
        <f t="shared" ref="BK392:BV392" si="1782">BK3</f>
        <v>43166</v>
      </c>
      <c r="BL392" s="197">
        <f t="shared" si="1782"/>
        <v>43281</v>
      </c>
      <c r="BM392" s="197">
        <f t="shared" si="1782"/>
        <v>43373</v>
      </c>
      <c r="BN392" s="197">
        <f t="shared" si="1782"/>
        <v>43465</v>
      </c>
      <c r="BO392" s="197">
        <f t="shared" si="1782"/>
        <v>43646</v>
      </c>
      <c r="BP392" s="197">
        <f t="shared" si="1782"/>
        <v>43738</v>
      </c>
      <c r="BQ392" s="38">
        <f t="shared" si="1782"/>
        <v>43079</v>
      </c>
      <c r="BR392" s="197">
        <f t="shared" si="1782"/>
        <v>43830</v>
      </c>
      <c r="BS392" s="38">
        <f t="shared" si="1782"/>
        <v>43921</v>
      </c>
      <c r="BT392" s="38">
        <f t="shared" si="1782"/>
        <v>44012</v>
      </c>
      <c r="BU392" s="38">
        <f t="shared" si="1782"/>
        <v>44104</v>
      </c>
      <c r="BV392" s="197">
        <f t="shared" si="1782"/>
        <v>44196</v>
      </c>
      <c r="BW392" s="197"/>
      <c r="BX392" s="38">
        <f t="shared" ref="BX392:CI392" si="1783">BX3</f>
        <v>44286</v>
      </c>
      <c r="BY392" s="38">
        <f t="shared" si="1783"/>
        <v>44377</v>
      </c>
      <c r="BZ392" s="38">
        <f t="shared" si="1783"/>
        <v>44469</v>
      </c>
      <c r="CA392" s="197">
        <f t="shared" si="1783"/>
        <v>44561</v>
      </c>
      <c r="CB392" s="38">
        <f t="shared" si="1783"/>
        <v>44651</v>
      </c>
      <c r="CC392" s="38">
        <f t="shared" si="1783"/>
        <v>44742</v>
      </c>
      <c r="CD392" s="38">
        <f t="shared" si="1783"/>
        <v>44834</v>
      </c>
      <c r="CE392" s="197">
        <f t="shared" si="1783"/>
        <v>44926</v>
      </c>
      <c r="CF392" s="38">
        <f t="shared" si="1783"/>
        <v>45016</v>
      </c>
      <c r="CG392" s="38">
        <f t="shared" si="1783"/>
        <v>45107</v>
      </c>
      <c r="CH392" s="38">
        <f t="shared" si="1783"/>
        <v>45199</v>
      </c>
      <c r="CI392" s="197">
        <f t="shared" si="1783"/>
        <v>45291</v>
      </c>
    </row>
    <row r="393" spans="2:87" ht="13.5" customHeight="1">
      <c r="B393" s="1" t="s">
        <v>427</v>
      </c>
      <c r="C393" s="4">
        <v>45329</v>
      </c>
      <c r="D393" s="4">
        <v>59757</v>
      </c>
      <c r="E393" s="4">
        <v>72025</v>
      </c>
      <c r="F393" s="4">
        <v>74129</v>
      </c>
      <c r="G393" s="4">
        <v>76780</v>
      </c>
      <c r="H393" s="4">
        <v>76901</v>
      </c>
      <c r="I393" s="4">
        <v>76895</v>
      </c>
      <c r="J393" s="4">
        <v>76895</v>
      </c>
      <c r="K393" s="4">
        <v>98768</v>
      </c>
      <c r="L393" s="4">
        <v>97565</v>
      </c>
      <c r="M393" s="4">
        <v>96660</v>
      </c>
      <c r="N393" s="4">
        <v>108232</v>
      </c>
      <c r="O393" s="4">
        <v>108232</v>
      </c>
      <c r="P393" s="4">
        <v>100552</v>
      </c>
      <c r="Q393" s="4">
        <v>99702</v>
      </c>
      <c r="R393" s="4">
        <v>102651</v>
      </c>
      <c r="S393" s="95">
        <f>SUM(BF393:BI393)</f>
        <v>99750</v>
      </c>
      <c r="U393" s="4">
        <v>15707</v>
      </c>
      <c r="V393" s="4">
        <v>18066</v>
      </c>
      <c r="W393" s="4">
        <v>18422</v>
      </c>
      <c r="X393" s="6">
        <f>E393-W393-V393-U393</f>
        <v>19830</v>
      </c>
      <c r="Y393" s="4">
        <f>36897-Z393</f>
        <v>18251</v>
      </c>
      <c r="Z393" s="4">
        <v>18646</v>
      </c>
      <c r="AA393" s="4">
        <v>17903</v>
      </c>
      <c r="AB393" s="6">
        <f>+F393-SUM(Y393:AA393)</f>
        <v>19329</v>
      </c>
      <c r="AC393" s="4">
        <v>16980</v>
      </c>
      <c r="AD393" s="4">
        <v>19751</v>
      </c>
      <c r="AE393" s="4">
        <v>19563</v>
      </c>
      <c r="AF393" s="6">
        <f>G393-AE393-AD393-AC393</f>
        <v>20486</v>
      </c>
      <c r="AG393" s="4">
        <v>17623</v>
      </c>
      <c r="AH393" s="4">
        <v>19503</v>
      </c>
      <c r="AI393" s="4">
        <v>20179</v>
      </c>
      <c r="AJ393" s="6">
        <f>I393-AI393-AH393-AG393</f>
        <v>19590</v>
      </c>
      <c r="AK393" s="4">
        <v>19662</v>
      </c>
      <c r="AL393" s="4">
        <v>28058</v>
      </c>
      <c r="AM393" s="4">
        <v>26290</v>
      </c>
      <c r="AN393" s="6">
        <f>K393-AM393-AL393-AK393</f>
        <v>24758</v>
      </c>
      <c r="AO393" s="4">
        <v>21818</v>
      </c>
      <c r="AP393" s="4">
        <v>24000</v>
      </c>
      <c r="AQ393" s="4">
        <v>24351</v>
      </c>
      <c r="AR393" s="6">
        <f>M393-AQ393-AP393-AO393</f>
        <v>26491</v>
      </c>
      <c r="AS393" s="4">
        <v>24533</v>
      </c>
      <c r="AT393" s="4">
        <v>26046</v>
      </c>
      <c r="AU393" s="4">
        <v>27636</v>
      </c>
      <c r="AV393" s="6">
        <f>N393-AU393-AT393-AS393</f>
        <v>30017</v>
      </c>
      <c r="AW393" s="4">
        <v>24704</v>
      </c>
      <c r="AX393" s="4">
        <v>25404</v>
      </c>
      <c r="AY393" s="4">
        <v>24535</v>
      </c>
      <c r="AZ393" s="6">
        <f>P393-AY393-AX393-AW393</f>
        <v>25909</v>
      </c>
      <c r="BA393" s="4">
        <v>21505</v>
      </c>
      <c r="BB393" s="4">
        <v>24237</v>
      </c>
      <c r="BC393" s="4">
        <v>26395</v>
      </c>
      <c r="BD393" s="6">
        <f t="shared" ref="BD393:BD397" si="1784">Q393-BC393-BB393-BA393</f>
        <v>27565</v>
      </c>
      <c r="BE393" s="4">
        <v>24898</v>
      </c>
      <c r="BF393" s="4">
        <v>26351</v>
      </c>
      <c r="BG393" s="4">
        <v>26223</v>
      </c>
      <c r="BH393" s="6">
        <f>R393-SUM(BE393:BG393)</f>
        <v>25179</v>
      </c>
      <c r="BI393" s="4">
        <v>21997</v>
      </c>
      <c r="BJ393" s="44"/>
      <c r="BK393" s="4">
        <v>17015</v>
      </c>
      <c r="BL393" s="4">
        <v>19769</v>
      </c>
      <c r="BM393" s="4">
        <v>19597</v>
      </c>
      <c r="BN393" s="6">
        <f>H393-BM393-BL393-BK393</f>
        <v>20520</v>
      </c>
      <c r="BO393" s="4">
        <v>19503</v>
      </c>
      <c r="BP393" s="4">
        <v>20179</v>
      </c>
      <c r="BQ393" s="6"/>
      <c r="BR393" s="6" t="e">
        <f>#REF!-BQ393-BP393-BO393</f>
        <v>#REF!</v>
      </c>
      <c r="BS393" s="4">
        <v>19662</v>
      </c>
      <c r="BT393" s="4">
        <v>28058</v>
      </c>
      <c r="BU393" s="4">
        <v>26290</v>
      </c>
      <c r="BV393" s="6">
        <f>K393-BU393-BT393-BS393</f>
        <v>24758</v>
      </c>
      <c r="BW393" s="6"/>
      <c r="BX393" s="4">
        <v>21818</v>
      </c>
      <c r="BY393" s="4">
        <v>23793</v>
      </c>
      <c r="BZ393" s="4">
        <v>24108</v>
      </c>
      <c r="CA393" s="6">
        <f>M393-BZ393-BY393-BX393</f>
        <v>26941</v>
      </c>
      <c r="CB393" s="4">
        <v>24253</v>
      </c>
      <c r="CC393" s="4">
        <v>26046</v>
      </c>
      <c r="CD393" s="4">
        <v>27636</v>
      </c>
      <c r="CE393" s="6">
        <f>O393-CD393-CC393-CB393</f>
        <v>30297</v>
      </c>
      <c r="CF393" s="4">
        <v>24704</v>
      </c>
      <c r="CG393" s="4">
        <v>25404</v>
      </c>
      <c r="CH393" s="4">
        <v>24535</v>
      </c>
      <c r="CI393" s="6">
        <f>P393-CH393-CG393-CF393</f>
        <v>25909</v>
      </c>
    </row>
    <row r="394" spans="2:87" ht="13.5" customHeight="1">
      <c r="B394" s="1" t="s">
        <v>428</v>
      </c>
      <c r="C394" s="4">
        <v>41496</v>
      </c>
      <c r="D394" s="4">
        <v>43915</v>
      </c>
      <c r="E394" s="4">
        <v>46428</v>
      </c>
      <c r="F394" s="4">
        <v>49994</v>
      </c>
      <c r="G394" s="4">
        <v>56031</v>
      </c>
      <c r="H394" s="4">
        <v>56498</v>
      </c>
      <c r="I394" s="4">
        <v>57280</v>
      </c>
      <c r="J394" s="4">
        <v>57280</v>
      </c>
      <c r="K394" s="4">
        <v>57265</v>
      </c>
      <c r="L394" s="4">
        <v>63800</v>
      </c>
      <c r="M394" s="4">
        <v>60097</v>
      </c>
      <c r="N394" s="4">
        <v>70232</v>
      </c>
      <c r="O394" s="4">
        <v>70232</v>
      </c>
      <c r="P394" s="4">
        <v>78355</v>
      </c>
      <c r="Q394" s="4">
        <v>84236</v>
      </c>
      <c r="R394" s="4">
        <v>85874</v>
      </c>
      <c r="S394" s="95">
        <f>SUM(BF394:BI394)</f>
        <v>86846</v>
      </c>
      <c r="U394" s="4">
        <v>11334</v>
      </c>
      <c r="V394" s="4">
        <v>11269</v>
      </c>
      <c r="W394" s="4">
        <v>11753</v>
      </c>
      <c r="X394" s="6">
        <f>E394-W394-V394-U394</f>
        <v>12072</v>
      </c>
      <c r="Y394" s="4">
        <f>24420-Z394</f>
        <v>12197</v>
      </c>
      <c r="Z394" s="4">
        <v>12223</v>
      </c>
      <c r="AA394" s="4">
        <v>12536</v>
      </c>
      <c r="AB394" s="6">
        <f>+F394-SUM(Y394:AA394)</f>
        <v>13038</v>
      </c>
      <c r="AC394" s="4">
        <v>13599</v>
      </c>
      <c r="AD394" s="4">
        <v>14003</v>
      </c>
      <c r="AE394" s="4">
        <v>14218</v>
      </c>
      <c r="AF394" s="6">
        <f>G394-AE394-AD394-AC394</f>
        <v>14211</v>
      </c>
      <c r="AG394" s="4">
        <v>14279</v>
      </c>
      <c r="AH394" s="4">
        <v>13944</v>
      </c>
      <c r="AI394" s="4">
        <v>14385</v>
      </c>
      <c r="AJ394" s="6">
        <f>I394-AI394-AH394-AG394</f>
        <v>14672</v>
      </c>
      <c r="AK394" s="4">
        <v>15122</v>
      </c>
      <c r="AL394" s="4">
        <v>13453</v>
      </c>
      <c r="AM394" s="4">
        <v>14170</v>
      </c>
      <c r="AN394" s="6">
        <f>K394-AM394-AL394-AK394</f>
        <v>14520</v>
      </c>
      <c r="AO394" s="4">
        <v>15051</v>
      </c>
      <c r="AP394" s="4">
        <v>15397</v>
      </c>
      <c r="AQ394" s="4">
        <v>16321</v>
      </c>
      <c r="AR394" s="6">
        <f>M394-AQ394-AP394-AO394</f>
        <v>13328</v>
      </c>
      <c r="AS394" s="4">
        <v>17430</v>
      </c>
      <c r="AT394" s="4">
        <v>17141</v>
      </c>
      <c r="AU394" s="4">
        <v>18096</v>
      </c>
      <c r="AV394" s="6">
        <f>N394-AU394-AT394-AS394</f>
        <v>17565</v>
      </c>
      <c r="AW394" s="4">
        <v>19255</v>
      </c>
      <c r="AX394" s="4">
        <v>19112</v>
      </c>
      <c r="AY394" s="4">
        <v>19732</v>
      </c>
      <c r="AZ394" s="6">
        <f>P394-AY394-AX394-AW394</f>
        <v>20256</v>
      </c>
      <c r="BA394" s="4">
        <v>20416</v>
      </c>
      <c r="BB394" s="4">
        <v>20668</v>
      </c>
      <c r="BC394" s="4">
        <v>21895</v>
      </c>
      <c r="BD394" s="6">
        <f t="shared" si="1784"/>
        <v>21257</v>
      </c>
      <c r="BE394" s="4">
        <v>20980</v>
      </c>
      <c r="BF394" s="4">
        <v>21572</v>
      </c>
      <c r="BG394" s="4">
        <v>21352</v>
      </c>
      <c r="BH394" s="6">
        <f t="shared" ref="BH394:BH397" si="1785">R394-SUM(BE394:BG394)</f>
        <v>21970</v>
      </c>
      <c r="BI394" s="4">
        <v>21952</v>
      </c>
      <c r="BJ394" s="44"/>
      <c r="BK394" s="4">
        <v>13724</v>
      </c>
      <c r="BL394" s="4">
        <v>14116</v>
      </c>
      <c r="BM394" s="4">
        <v>14324</v>
      </c>
      <c r="BN394" s="6">
        <f>H394-BM394-BL394-BK394</f>
        <v>14334</v>
      </c>
      <c r="BO394" s="4">
        <v>13946</v>
      </c>
      <c r="BP394" s="4">
        <v>14385</v>
      </c>
      <c r="BQ394" s="6"/>
      <c r="BR394" s="6" t="e">
        <f>#REF!-BQ394-BP394-BO394</f>
        <v>#REF!</v>
      </c>
      <c r="BS394" s="4">
        <v>15122</v>
      </c>
      <c r="BT394" s="4">
        <v>13453</v>
      </c>
      <c r="BU394" s="4">
        <v>14170</v>
      </c>
      <c r="BV394" s="6">
        <f>K394-BU394-BT394-BS394</f>
        <v>14520</v>
      </c>
      <c r="BW394" s="6"/>
      <c r="BX394" s="4">
        <v>15051</v>
      </c>
      <c r="BY394" s="4">
        <v>14500</v>
      </c>
      <c r="BZ394" s="4">
        <v>15438</v>
      </c>
      <c r="CA394" s="6">
        <f>M394-BZ394-BY394-BX394</f>
        <v>15108</v>
      </c>
      <c r="CB394" s="4">
        <v>16313</v>
      </c>
      <c r="CC394" s="4">
        <v>17141</v>
      </c>
      <c r="CD394" s="4">
        <v>18096</v>
      </c>
      <c r="CE394" s="6">
        <f>O394-CD394-CC394-CB394</f>
        <v>18682</v>
      </c>
      <c r="CF394" s="4">
        <v>19255</v>
      </c>
      <c r="CG394" s="4">
        <v>19112</v>
      </c>
      <c r="CH394" s="4">
        <v>19732</v>
      </c>
      <c r="CI394" s="6">
        <f t="shared" ref="CI394:CI397" si="1786">P394-CH394-CG394-CF394</f>
        <v>20256</v>
      </c>
    </row>
    <row r="395" spans="2:87" ht="13.5" customHeight="1">
      <c r="B395" s="1" t="s">
        <v>429</v>
      </c>
      <c r="C395" s="4">
        <v>9543</v>
      </c>
      <c r="D395" s="4">
        <v>10948</v>
      </c>
      <c r="E395" s="4">
        <v>13264</v>
      </c>
      <c r="F395" s="4">
        <v>13201</v>
      </c>
      <c r="G395" s="4">
        <v>12820</v>
      </c>
      <c r="H395" s="4">
        <v>12969</v>
      </c>
      <c r="I395" s="4">
        <v>12022</v>
      </c>
      <c r="J395" s="4">
        <v>12022</v>
      </c>
      <c r="K395" s="4">
        <v>13090</v>
      </c>
      <c r="L395" s="4">
        <v>13996</v>
      </c>
      <c r="M395" s="4">
        <v>13728</v>
      </c>
      <c r="N395" s="4">
        <v>16358</v>
      </c>
      <c r="O395" s="4">
        <v>16358</v>
      </c>
      <c r="P395" s="4">
        <v>15815</v>
      </c>
      <c r="Q395" s="4">
        <v>17404</v>
      </c>
      <c r="R395" s="4">
        <v>19026</v>
      </c>
      <c r="S395" s="95">
        <f>SUM(BF395:BI395)</f>
        <v>19091</v>
      </c>
      <c r="U395" s="4">
        <v>3019</v>
      </c>
      <c r="V395" s="4">
        <v>3056</v>
      </c>
      <c r="W395" s="4">
        <v>3621</v>
      </c>
      <c r="X395" s="6">
        <f>E395-W395-V395-U395</f>
        <v>3568</v>
      </c>
      <c r="Y395" s="4">
        <f>6713-Z395</f>
        <v>3565</v>
      </c>
      <c r="Z395" s="4">
        <v>3148</v>
      </c>
      <c r="AA395" s="4">
        <v>3176</v>
      </c>
      <c r="AB395" s="6">
        <f>+F395-SUM(Y395:AA395)</f>
        <v>3312</v>
      </c>
      <c r="AC395" s="4">
        <v>3334</v>
      </c>
      <c r="AD395" s="4">
        <v>3281</v>
      </c>
      <c r="AE395" s="4">
        <v>2904</v>
      </c>
      <c r="AF395" s="6">
        <f>G395-AE395-AD395-AC395</f>
        <v>3301</v>
      </c>
      <c r="AG395" s="4">
        <v>3007</v>
      </c>
      <c r="AH395" s="4">
        <v>3083</v>
      </c>
      <c r="AI395" s="4">
        <v>3169</v>
      </c>
      <c r="AJ395" s="6">
        <f>I395-AI395-AH395-AG395</f>
        <v>2763</v>
      </c>
      <c r="AK395" s="4">
        <v>3167</v>
      </c>
      <c r="AL395" s="4">
        <v>3454</v>
      </c>
      <c r="AM395" s="4">
        <v>3419</v>
      </c>
      <c r="AN395" s="6">
        <f>K395-AM395-AL395-AK395</f>
        <v>3050</v>
      </c>
      <c r="AO395" s="4">
        <v>3322</v>
      </c>
      <c r="AP395" s="4">
        <v>3290</v>
      </c>
      <c r="AQ395" s="4">
        <v>3535</v>
      </c>
      <c r="AR395" s="6">
        <f>M395-AQ395-AP395-AO395</f>
        <v>3581</v>
      </c>
      <c r="AS395" s="4">
        <v>3939</v>
      </c>
      <c r="AT395" s="4">
        <v>4090</v>
      </c>
      <c r="AU395" s="4">
        <v>4269</v>
      </c>
      <c r="AV395" s="6">
        <f>N395-AU395-AT395-AS395</f>
        <v>4060</v>
      </c>
      <c r="AW395" s="4">
        <v>4215</v>
      </c>
      <c r="AX395" s="4">
        <v>4165</v>
      </c>
      <c r="AY395" s="4">
        <v>4081</v>
      </c>
      <c r="AZ395" s="6">
        <f>P395-AY395-AX395-AW395</f>
        <v>3354</v>
      </c>
      <c r="BA395" s="4">
        <v>3468</v>
      </c>
      <c r="BB395" s="4">
        <v>3982</v>
      </c>
      <c r="BC395" s="4">
        <v>4428</v>
      </c>
      <c r="BD395" s="6">
        <f t="shared" si="1784"/>
        <v>5526</v>
      </c>
      <c r="BE395" s="4">
        <v>4880</v>
      </c>
      <c r="BF395" s="4">
        <v>4750</v>
      </c>
      <c r="BG395" s="4">
        <v>4578</v>
      </c>
      <c r="BH395" s="6">
        <f t="shared" si="1785"/>
        <v>4818</v>
      </c>
      <c r="BI395" s="4">
        <v>4945</v>
      </c>
      <c r="BJ395" s="44"/>
      <c r="BK395" s="4">
        <v>3245</v>
      </c>
      <c r="BL395" s="4">
        <v>3323</v>
      </c>
      <c r="BM395" s="4">
        <v>2942</v>
      </c>
      <c r="BN395" s="6">
        <f>H395-BM395-BL395-BK395</f>
        <v>3459</v>
      </c>
      <c r="BO395" s="4">
        <v>3011</v>
      </c>
      <c r="BP395" s="4">
        <v>3134</v>
      </c>
      <c r="BQ395" s="6"/>
      <c r="BR395" s="6" t="e">
        <f>#REF!-BQ395-BP395-BO395</f>
        <v>#REF!</v>
      </c>
      <c r="BS395" s="4">
        <v>3114</v>
      </c>
      <c r="BT395" s="4">
        <v>3454</v>
      </c>
      <c r="BU395" s="4">
        <v>3392</v>
      </c>
      <c r="BV395" s="6">
        <f>K395-BU395-BT395-BS395</f>
        <v>3130</v>
      </c>
      <c r="BW395" s="6"/>
      <c r="BX395" s="4">
        <v>3373</v>
      </c>
      <c r="BY395" s="4">
        <v>3262</v>
      </c>
      <c r="BZ395" s="4">
        <v>3497</v>
      </c>
      <c r="CA395" s="6">
        <f>M395-BZ395-BY395-BX395</f>
        <v>3596</v>
      </c>
      <c r="CB395" s="4">
        <v>3855</v>
      </c>
      <c r="CC395" s="4">
        <v>4080</v>
      </c>
      <c r="CD395" s="4">
        <v>4221</v>
      </c>
      <c r="CE395" s="6">
        <f>O395-CD395-CC395-CB395</f>
        <v>4202</v>
      </c>
      <c r="CF395" s="4">
        <v>4020</v>
      </c>
      <c r="CG395" s="4">
        <v>3988</v>
      </c>
      <c r="CH395" s="4">
        <v>3886</v>
      </c>
      <c r="CI395" s="6">
        <f t="shared" si="1786"/>
        <v>3921</v>
      </c>
    </row>
    <row r="396" spans="2:87" ht="13.5" customHeight="1">
      <c r="B396" s="1" t="s">
        <v>430</v>
      </c>
      <c r="C396" s="4">
        <v>2904</v>
      </c>
      <c r="D396" s="4">
        <v>3180</v>
      </c>
      <c r="E396" s="4">
        <v>5576</v>
      </c>
      <c r="F396" s="4">
        <v>6932</v>
      </c>
      <c r="G396" s="4">
        <v>9283</v>
      </c>
      <c r="H396" s="4">
        <v>9597</v>
      </c>
      <c r="I396" s="4">
        <v>9679</v>
      </c>
      <c r="J396" s="4">
        <v>9679</v>
      </c>
      <c r="K396" s="4">
        <v>10934</v>
      </c>
      <c r="L396" s="4">
        <v>11815</v>
      </c>
      <c r="M396" s="4">
        <v>11815</v>
      </c>
      <c r="N396" s="4">
        <v>11995</v>
      </c>
      <c r="O396" s="4">
        <v>11995</v>
      </c>
      <c r="P396" s="4">
        <v>13397</v>
      </c>
      <c r="Q396" s="4">
        <v>16310</v>
      </c>
      <c r="R396" s="4">
        <v>19253</v>
      </c>
      <c r="S396" s="95">
        <f>SUM(BF396:BI396)</f>
        <v>19378</v>
      </c>
      <c r="U396" s="4">
        <v>853</v>
      </c>
      <c r="V396" s="4">
        <v>1020</v>
      </c>
      <c r="W396" s="4">
        <v>1769</v>
      </c>
      <c r="X396" s="6">
        <f>E396-W396-V396-U396</f>
        <v>1934</v>
      </c>
      <c r="Y396" s="4">
        <f>3420-Z396</f>
        <v>1856</v>
      </c>
      <c r="Z396" s="4">
        <v>1564</v>
      </c>
      <c r="AA396" s="4">
        <v>1536</v>
      </c>
      <c r="AB396" s="6">
        <f>+F396-SUM(Y396:AA396)</f>
        <v>1976</v>
      </c>
      <c r="AC396" s="4">
        <v>2243</v>
      </c>
      <c r="AD396" s="4">
        <v>2272</v>
      </c>
      <c r="AE396" s="4">
        <v>2292</v>
      </c>
      <c r="AF396" s="6">
        <f>G396-AE396-AD396-AC396</f>
        <v>2476</v>
      </c>
      <c r="AG396" s="4">
        <v>2384</v>
      </c>
      <c r="AH396" s="4">
        <v>2426</v>
      </c>
      <c r="AI396" s="4">
        <v>2444</v>
      </c>
      <c r="AJ396" s="6">
        <f>I396-AI396-AH396-AG396</f>
        <v>2425</v>
      </c>
      <c r="AK396" s="4">
        <v>2442</v>
      </c>
      <c r="AL396" s="4">
        <v>2579</v>
      </c>
      <c r="AM396" s="4">
        <v>2876</v>
      </c>
      <c r="AN396" s="6">
        <f>K396-AM396-AL396-AK396</f>
        <v>3037</v>
      </c>
      <c r="AO396" s="4">
        <v>2796</v>
      </c>
      <c r="AP396" s="4">
        <v>2784</v>
      </c>
      <c r="AQ396" s="4">
        <v>2963</v>
      </c>
      <c r="AR396" s="6">
        <f>M396-AQ396-AP396-AO396</f>
        <v>3272</v>
      </c>
      <c r="AS396" s="4">
        <v>2837</v>
      </c>
      <c r="AT396" s="4">
        <v>2757</v>
      </c>
      <c r="AU396" s="4">
        <v>2882</v>
      </c>
      <c r="AV396" s="6">
        <f>N396-AU396-AT396-AS396</f>
        <v>3519</v>
      </c>
      <c r="AW396" s="4">
        <v>3582</v>
      </c>
      <c r="AX396" s="4">
        <v>3089</v>
      </c>
      <c r="AY396" s="4">
        <v>3454</v>
      </c>
      <c r="AZ396" s="6">
        <f>P396-AY396-AX396-AW396</f>
        <v>3272</v>
      </c>
      <c r="BA396" s="4">
        <v>4050</v>
      </c>
      <c r="BB396" s="4">
        <v>3272</v>
      </c>
      <c r="BC396" s="4">
        <v>4412</v>
      </c>
      <c r="BD396" s="6">
        <f t="shared" si="1784"/>
        <v>4576</v>
      </c>
      <c r="BE396" s="4">
        <v>4265</v>
      </c>
      <c r="BF396" s="4">
        <v>4757</v>
      </c>
      <c r="BG396" s="4">
        <v>5052</v>
      </c>
      <c r="BH396" s="6">
        <f t="shared" si="1785"/>
        <v>5179</v>
      </c>
      <c r="BI396" s="4">
        <v>4390</v>
      </c>
      <c r="BJ396" s="44"/>
      <c r="BK396" s="4">
        <v>2310</v>
      </c>
      <c r="BL396" s="4">
        <v>2364</v>
      </c>
      <c r="BM396" s="4">
        <v>2375</v>
      </c>
      <c r="BN396" s="6">
        <f>H396-BM396-BL396-BK396</f>
        <v>2548</v>
      </c>
      <c r="BO396" s="4">
        <v>2426</v>
      </c>
      <c r="BP396" s="4">
        <v>2444</v>
      </c>
      <c r="BQ396" s="6"/>
      <c r="BR396" s="6" t="e">
        <f>#REF!-BQ396-BP396-BO396</f>
        <v>#REF!</v>
      </c>
      <c r="BS396" s="4">
        <v>2442</v>
      </c>
      <c r="BT396" s="4">
        <v>2579</v>
      </c>
      <c r="BU396" s="4">
        <v>2876</v>
      </c>
      <c r="BV396" s="6">
        <f>K396-BU396-BT396-BS396</f>
        <v>3037</v>
      </c>
      <c r="BW396" s="6"/>
      <c r="BX396" s="4">
        <v>2796</v>
      </c>
      <c r="BY396" s="4">
        <v>2784</v>
      </c>
      <c r="BZ396" s="4">
        <v>2963</v>
      </c>
      <c r="CA396" s="6">
        <f>M396-BZ396-BY396-BX396</f>
        <v>3272</v>
      </c>
      <c r="CB396" s="4">
        <v>2839</v>
      </c>
      <c r="CC396" s="4">
        <v>2760</v>
      </c>
      <c r="CD396" s="4">
        <v>2882</v>
      </c>
      <c r="CE396" s="6">
        <f>O396-CD396-CC396-CB396</f>
        <v>3514</v>
      </c>
      <c r="CF396" s="4">
        <v>3341</v>
      </c>
      <c r="CG396" s="4">
        <v>3217</v>
      </c>
      <c r="CH396" s="4">
        <v>3455</v>
      </c>
      <c r="CI396" s="6">
        <f t="shared" si="1786"/>
        <v>3384</v>
      </c>
    </row>
    <row r="397" spans="2:87" ht="13.5" customHeight="1">
      <c r="B397" s="1" t="s">
        <v>431</v>
      </c>
      <c r="C397" s="4">
        <v>-517.42000000001281</v>
      </c>
      <c r="D397" s="4">
        <v>-1035.0180000000109</v>
      </c>
      <c r="E397" s="4">
        <f>136143-E393-E394-E395-E396</f>
        <v>-1150</v>
      </c>
      <c r="F397" s="4">
        <f>142752-F393-F394-F395-F396</f>
        <v>-1504</v>
      </c>
      <c r="G397" s="4">
        <f>152599-G396-G395-G394-G393</f>
        <v>-2315</v>
      </c>
      <c r="H397" s="4">
        <f>153650-H396-H395-H394-H393</f>
        <v>-2315</v>
      </c>
      <c r="I397" s="4">
        <f>153742-I396-I395-I394-I393</f>
        <v>-2134</v>
      </c>
      <c r="J397" s="4">
        <f>153742-J396-J395-J394-J393</f>
        <v>-2134</v>
      </c>
      <c r="K397" s="4">
        <f>178443-K396-K395-K394-K393</f>
        <v>-1614</v>
      </c>
      <c r="L397" s="4">
        <f>185313-L396-L395-L394-L393</f>
        <v>-1863</v>
      </c>
      <c r="M397" s="4">
        <f>181089-M396-M395-M394-M393</f>
        <v>-1211</v>
      </c>
      <c r="N397" s="4">
        <f>205381 -N396-N395-N394-N393</f>
        <v>-1436</v>
      </c>
      <c r="O397" s="4">
        <f>205381 -O396-O395-O394-O393</f>
        <v>-1436</v>
      </c>
      <c r="P397" s="4">
        <f>205510-P396-P395-P394-P393</f>
        <v>-2609</v>
      </c>
      <c r="Q397" s="4">
        <f>214928-Q396-Q395-Q394-Q393</f>
        <v>-2724</v>
      </c>
      <c r="R397" s="4">
        <f>223487-R396-R395-R394-R393</f>
        <v>-3317</v>
      </c>
      <c r="S397" s="95">
        <f>SUM(BF397:BI397)</f>
        <v>-3385</v>
      </c>
      <c r="U397" s="4">
        <v>-274.51900000000023</v>
      </c>
      <c r="V397" s="4">
        <v>-274.18300000000454</v>
      </c>
      <c r="W397" s="4">
        <v>-289.44000000000233</v>
      </c>
      <c r="X397" s="4">
        <v>-313.33199999999488</v>
      </c>
      <c r="Y397" s="4">
        <f>70673-35208-Y393-Y394-Y395-Y396</f>
        <v>-404</v>
      </c>
      <c r="Z397" s="4">
        <v>-372.76799999999639</v>
      </c>
      <c r="AA397" s="4">
        <v>-499.4890000000014</v>
      </c>
      <c r="AB397" s="6">
        <f>+F397-SUM(Y397:AA397)</f>
        <v>-227.74300000000221</v>
      </c>
      <c r="AC397" s="4">
        <f>35552.753-AC393-AC394-AC395-AC396</f>
        <v>-603.24700000000303</v>
      </c>
      <c r="AD397" s="4">
        <f>38684-SUM(AD393:AD396)</f>
        <v>-623</v>
      </c>
      <c r="AE397" s="4">
        <f>38346-SUM(AE393:AE396)</f>
        <v>-631</v>
      </c>
      <c r="AF397" s="6">
        <f>G397-AE397-AD397-AC397</f>
        <v>-457.75299999999697</v>
      </c>
      <c r="AG397" s="4">
        <f>36708-AG393-AG394-AG395-AG396</f>
        <v>-585</v>
      </c>
      <c r="AH397" s="4">
        <f>38320-AH393-AH394-AH395-AH396</f>
        <v>-636</v>
      </c>
      <c r="AI397" s="4">
        <f>39561-AI393-AI394-AI395-AI396</f>
        <v>-616</v>
      </c>
      <c r="AJ397" s="6">
        <f>I397-AI397-AH397-AG397</f>
        <v>-297</v>
      </c>
      <c r="AK397" s="4">
        <f>39842-AK393-AK394-AK395-AK396</f>
        <v>-551</v>
      </c>
      <c r="AL397" s="4">
        <f>46968-AL393-AL394-AL395-AL396</f>
        <v>-576</v>
      </c>
      <c r="AM397" s="4">
        <f>46191-AM393-AM394-AM395-AM396</f>
        <v>-564</v>
      </c>
      <c r="AN397" s="6">
        <f>K397-AM397-AL397-AK397</f>
        <v>77</v>
      </c>
      <c r="AO397" s="4">
        <f>42545-AO393-AO394-AO395-AO396</f>
        <v>-442</v>
      </c>
      <c r="AP397" s="4">
        <f>45029-AP393-AP394-AP395-AP396</f>
        <v>-442</v>
      </c>
      <c r="AQ397" s="4">
        <f>46719-AQ393-AQ394-AQ395-AQ396</f>
        <v>-451</v>
      </c>
      <c r="AR397" s="6">
        <f>M397-AQ397-AP397-AO397</f>
        <v>124</v>
      </c>
      <c r="AS397" s="4">
        <f>48222-AS393-AS394-AS395-AS396</f>
        <v>-517</v>
      </c>
      <c r="AT397" s="4">
        <f>49694-AT393-AT394-AT395-AT396</f>
        <v>-340</v>
      </c>
      <c r="AU397" s="4">
        <f>52619-AU393-AU394-AU395-AU396</f>
        <v>-264</v>
      </c>
      <c r="AV397" s="6">
        <f>N397-AU397-AT397-AS397</f>
        <v>-315</v>
      </c>
      <c r="AW397" s="4">
        <f>51119-AW393-AW394-AW395-AW396</f>
        <v>-637</v>
      </c>
      <c r="AX397" s="4">
        <f>51134-AX393-AX394-AX395-AX396</f>
        <v>-636</v>
      </c>
      <c r="AY397" s="4">
        <f>51211-AY393-AY394-AY395-AY396</f>
        <v>-591</v>
      </c>
      <c r="AZ397" s="6">
        <f>P397-AY397-AX397-AW397</f>
        <v>-745</v>
      </c>
      <c r="BA397" s="4">
        <f>48701-BA393-BA394-BA395-BA396</f>
        <v>-738</v>
      </c>
      <c r="BB397" s="4">
        <f>51310-BB393-BB394-BB395-BB396</f>
        <v>-849</v>
      </c>
      <c r="BC397" s="4">
        <f>56291-BC393-BC394-BC395-BC396</f>
        <v>-839</v>
      </c>
      <c r="BD397" s="6">
        <f t="shared" si="1784"/>
        <v>-298</v>
      </c>
      <c r="BE397" s="4">
        <f>54463-BE393-BE394-BE395-BE396</f>
        <v>-560</v>
      </c>
      <c r="BF397" s="4">
        <f>56725-BF393-BF394-BF395-BF396</f>
        <v>-705</v>
      </c>
      <c r="BG397" s="4">
        <f>56191-BG393-BG394-BG395-BG396</f>
        <v>-1014</v>
      </c>
      <c r="BH397" s="6">
        <f t="shared" si="1785"/>
        <v>-1038</v>
      </c>
      <c r="BI397" s="4">
        <f>52656-BI393-BI394-BI395-BI396</f>
        <v>-628</v>
      </c>
      <c r="BJ397" s="44"/>
      <c r="BK397" s="4">
        <f>35691-BK393-BK394-BK395-BK396</f>
        <v>-603</v>
      </c>
      <c r="BL397" s="4">
        <f>38948-BL393-BL394-BL395-BL396</f>
        <v>-624</v>
      </c>
      <c r="BM397" s="4">
        <f>38607-BM393-BM394-BM395-BM396</f>
        <v>-631</v>
      </c>
      <c r="BN397" s="6">
        <f>H397-BM397-BL397-BK397</f>
        <v>-457</v>
      </c>
      <c r="BO397" s="4">
        <f>38249-BO393-BO394-BO395-BO396</f>
        <v>-637</v>
      </c>
      <c r="BP397" s="4">
        <f>39526-BP393-BP394-BP395-BP396</f>
        <v>-616</v>
      </c>
      <c r="BQ397" s="6"/>
      <c r="BR397" s="6" t="e">
        <f>#REF!-BQ397-BP397-BO397</f>
        <v>#REF!</v>
      </c>
      <c r="BS397" s="4">
        <f>39789-BS393-BS394-BS395-BS396</f>
        <v>-551</v>
      </c>
      <c r="BT397" s="4">
        <f>46937-BT393-BT394-BT395-BT396</f>
        <v>-607</v>
      </c>
      <c r="BU397" s="4">
        <f>46164-BU393-BU394-BU395-BU396</f>
        <v>-564</v>
      </c>
      <c r="BV397" s="6">
        <f>K397-BU397-BT397-BS397</f>
        <v>108</v>
      </c>
      <c r="BW397" s="6"/>
      <c r="BX397" s="4">
        <f>42595-BX393-BX394-BX395-BX396</f>
        <v>-443</v>
      </c>
      <c r="BY397" s="4">
        <f>44037-BY393-BY394-BY395-BY396</f>
        <v>-302</v>
      </c>
      <c r="BZ397" s="4">
        <f>45734-BZ393-BZ394-BZ395-BZ396</f>
        <v>-272</v>
      </c>
      <c r="CA397" s="6">
        <f>M397-BZ397-BY397-BX397</f>
        <v>-194</v>
      </c>
      <c r="CB397" s="4">
        <f>46937-CB393-CB394-CB395-CB396</f>
        <v>-323</v>
      </c>
      <c r="CC397" s="4">
        <f>49687-CC393-CC394-CC395-CC396</f>
        <v>-340</v>
      </c>
      <c r="CD397" s="4">
        <f>52571-CD393-CD394-CD395-CD396</f>
        <v>-264</v>
      </c>
      <c r="CE397" s="6">
        <f>O397-CD397-CC397-CB397</f>
        <v>-509</v>
      </c>
      <c r="CF397" s="4">
        <f>50684-CF393-CF394-CF395-CF396</f>
        <v>-636</v>
      </c>
      <c r="CG397" s="4">
        <f>51085-CG393-CG394-CG395-CG396</f>
        <v>-636</v>
      </c>
      <c r="CH397" s="4">
        <f>51017-CH393-CH394-CH395-CH396</f>
        <v>-591</v>
      </c>
      <c r="CI397" s="6">
        <f t="shared" si="1786"/>
        <v>-746</v>
      </c>
    </row>
    <row r="398" spans="2:87" ht="13.5" customHeight="1">
      <c r="B398" s="5" t="s">
        <v>432</v>
      </c>
      <c r="C398" s="8">
        <f t="shared" ref="C398:AB398" si="1787">SUM(C393:C397)</f>
        <v>98754.579999999987</v>
      </c>
      <c r="D398" s="8">
        <f t="shared" si="1787"/>
        <v>116764.98199999999</v>
      </c>
      <c r="E398" s="8">
        <f t="shared" si="1787"/>
        <v>136143</v>
      </c>
      <c r="F398" s="8">
        <f t="shared" si="1787"/>
        <v>142752</v>
      </c>
      <c r="G398" s="8">
        <f t="shared" ref="G398:K398" si="1788">SUM(G393:G397)</f>
        <v>152599</v>
      </c>
      <c r="H398" s="8">
        <f t="shared" si="1788"/>
        <v>153650</v>
      </c>
      <c r="I398" s="8">
        <f t="shared" si="1788"/>
        <v>153742</v>
      </c>
      <c r="J398" s="8">
        <f t="shared" si="1788"/>
        <v>153742</v>
      </c>
      <c r="K398" s="8">
        <f t="shared" si="1788"/>
        <v>178443</v>
      </c>
      <c r="L398" s="8">
        <f t="shared" ref="L398:N398" si="1789">SUM(L393:L397)</f>
        <v>185313</v>
      </c>
      <c r="M398" s="8">
        <f t="shared" ref="M398" si="1790">SUM(M393:M397)</f>
        <v>181089</v>
      </c>
      <c r="N398" s="8">
        <f t="shared" si="1789"/>
        <v>205381</v>
      </c>
      <c r="O398" s="8">
        <f t="shared" ref="O398" si="1791">SUM(O393:O397)</f>
        <v>205381</v>
      </c>
      <c r="P398" s="8">
        <f>SUM(P393:P397)</f>
        <v>205510</v>
      </c>
      <c r="Q398" s="8">
        <f>SUM(Q393:Q397)</f>
        <v>214928</v>
      </c>
      <c r="R398" s="8">
        <f>SUM(R393:R397)</f>
        <v>223487</v>
      </c>
      <c r="S398" s="8">
        <f t="shared" ref="S398" si="1792">SUM(S393:S397)</f>
        <v>221680</v>
      </c>
      <c r="U398" s="8">
        <f t="shared" si="1787"/>
        <v>30638.481</v>
      </c>
      <c r="V398" s="8">
        <f t="shared" si="1787"/>
        <v>33136.816999999995</v>
      </c>
      <c r="W398" s="8">
        <f t="shared" si="1787"/>
        <v>35275.56</v>
      </c>
      <c r="X398" s="8">
        <f t="shared" si="1787"/>
        <v>37090.668000000005</v>
      </c>
      <c r="Y398" s="8">
        <f>SUM(Y393:Y397)</f>
        <v>35465</v>
      </c>
      <c r="Z398" s="8">
        <f t="shared" si="1787"/>
        <v>35208.232000000004</v>
      </c>
      <c r="AA398" s="8">
        <f t="shared" si="1787"/>
        <v>34651.510999999999</v>
      </c>
      <c r="AB398" s="8">
        <f t="shared" si="1787"/>
        <v>37427.256999999998</v>
      </c>
      <c r="AC398" s="8">
        <f t="shared" ref="AC398:AH398" si="1793">SUM(AC393:AC397)</f>
        <v>35552.752999999997</v>
      </c>
      <c r="AD398" s="8">
        <f t="shared" si="1793"/>
        <v>38684</v>
      </c>
      <c r="AE398" s="8">
        <f t="shared" si="1793"/>
        <v>38346</v>
      </c>
      <c r="AF398" s="8">
        <f t="shared" si="1793"/>
        <v>40016.247000000003</v>
      </c>
      <c r="AG398" s="8">
        <f t="shared" si="1793"/>
        <v>36708</v>
      </c>
      <c r="AH398" s="8">
        <f t="shared" si="1793"/>
        <v>38320</v>
      </c>
      <c r="AI398" s="8">
        <f t="shared" ref="AI398:AN398" si="1794">SUM(AI393:AI397)</f>
        <v>39561</v>
      </c>
      <c r="AJ398" s="8">
        <f t="shared" si="1794"/>
        <v>39153</v>
      </c>
      <c r="AK398" s="8">
        <f t="shared" si="1794"/>
        <v>39842</v>
      </c>
      <c r="AL398" s="8">
        <f t="shared" si="1794"/>
        <v>46968</v>
      </c>
      <c r="AM398" s="8">
        <f t="shared" si="1794"/>
        <v>46191</v>
      </c>
      <c r="AN398" s="8">
        <f t="shared" si="1794"/>
        <v>45442</v>
      </c>
      <c r="AO398" s="8">
        <f>SUM(AO393:AO397)</f>
        <v>42545</v>
      </c>
      <c r="AP398" s="8">
        <f>SUM(AP393:AP397)</f>
        <v>45029</v>
      </c>
      <c r="AQ398" s="8">
        <f>SUM(AQ393:AQ397)</f>
        <v>46719</v>
      </c>
      <c r="AR398" s="8">
        <f t="shared" ref="AR398" si="1795">SUM(AR393:AR397)</f>
        <v>46796</v>
      </c>
      <c r="AS398" s="8">
        <f>SUM(AS393:AS397)</f>
        <v>48222</v>
      </c>
      <c r="AT398" s="8">
        <f>SUM(AT393:AT397)</f>
        <v>49694</v>
      </c>
      <c r="AU398" s="8">
        <f>SUM(AU393:AU397)</f>
        <v>52619</v>
      </c>
      <c r="AV398" s="8">
        <f t="shared" ref="AV398" si="1796">SUM(AV393:AV397)</f>
        <v>54846</v>
      </c>
      <c r="AW398" s="8">
        <f>SUM(AW393:AW397)</f>
        <v>51119</v>
      </c>
      <c r="AX398" s="8">
        <f>SUM(AX393:AX397)</f>
        <v>51134</v>
      </c>
      <c r="AY398" s="8">
        <f>SUM(AY393:AY397)</f>
        <v>51211</v>
      </c>
      <c r="AZ398" s="8">
        <f t="shared" ref="AZ398" si="1797">SUM(AZ393:AZ397)</f>
        <v>52046</v>
      </c>
      <c r="BA398" s="8">
        <f>SUM(BA393:BA397)</f>
        <v>48701</v>
      </c>
      <c r="BB398" s="8">
        <f>SUM(BB393:BB397)</f>
        <v>51310</v>
      </c>
      <c r="BC398" s="8">
        <f>SUM(BC393:BC397)</f>
        <v>56291</v>
      </c>
      <c r="BD398" s="8">
        <f t="shared" ref="BD398" si="1798">SUM(BD393:BD397)</f>
        <v>58626</v>
      </c>
      <c r="BE398" s="8">
        <f>SUM(BE393:BE397)</f>
        <v>54463</v>
      </c>
      <c r="BF398" s="8">
        <f>SUM(BF393:BF397)</f>
        <v>56725</v>
      </c>
      <c r="BG398" s="8">
        <f>SUM(BG393:BG397)</f>
        <v>56191</v>
      </c>
      <c r="BH398" s="8">
        <f>SUM(BH393:BH397)</f>
        <v>56108</v>
      </c>
      <c r="BI398" s="8">
        <f>SUM(BI393:BI397)</f>
        <v>52656</v>
      </c>
      <c r="BJ398" s="44"/>
      <c r="BK398" s="8">
        <f t="shared" ref="BK398:BQ398" si="1799">SUM(BK393:BK397)</f>
        <v>35691</v>
      </c>
      <c r="BL398" s="8">
        <f t="shared" si="1799"/>
        <v>38948</v>
      </c>
      <c r="BM398" s="8">
        <f t="shared" si="1799"/>
        <v>38607</v>
      </c>
      <c r="BN398" s="8">
        <f t="shared" si="1799"/>
        <v>40404</v>
      </c>
      <c r="BO398" s="8">
        <f t="shared" si="1799"/>
        <v>38249</v>
      </c>
      <c r="BP398" s="8">
        <f t="shared" si="1799"/>
        <v>39526</v>
      </c>
      <c r="BQ398" s="8">
        <f t="shared" si="1799"/>
        <v>0</v>
      </c>
      <c r="BR398" s="8" t="e">
        <f t="shared" ref="BR398:BY398" si="1800">SUM(BR393:BR397)</f>
        <v>#REF!</v>
      </c>
      <c r="BS398" s="8">
        <f t="shared" si="1800"/>
        <v>39789</v>
      </c>
      <c r="BT398" s="8">
        <f t="shared" si="1800"/>
        <v>46937</v>
      </c>
      <c r="BU398" s="8">
        <f t="shared" si="1800"/>
        <v>46164</v>
      </c>
      <c r="BV398" s="8">
        <f t="shared" si="1800"/>
        <v>45553</v>
      </c>
      <c r="BW398" s="8"/>
      <c r="BX398" s="8">
        <f t="shared" si="1800"/>
        <v>42595</v>
      </c>
      <c r="BY398" s="8">
        <f t="shared" si="1800"/>
        <v>44037</v>
      </c>
      <c r="BZ398" s="8">
        <f t="shared" ref="BZ398:CC398" si="1801">SUM(BZ393:BZ397)</f>
        <v>45734</v>
      </c>
      <c r="CA398" s="8">
        <f t="shared" si="1801"/>
        <v>48723</v>
      </c>
      <c r="CB398" s="8">
        <f t="shared" si="1801"/>
        <v>46937</v>
      </c>
      <c r="CC398" s="8">
        <f t="shared" si="1801"/>
        <v>49687</v>
      </c>
      <c r="CD398" s="8">
        <f t="shared" ref="CD398:CE398" si="1802">SUM(CD393:CD397)</f>
        <v>52571</v>
      </c>
      <c r="CE398" s="8">
        <f t="shared" si="1802"/>
        <v>56186</v>
      </c>
      <c r="CF398" s="8">
        <f>SUM(CF393:CF397)</f>
        <v>50684</v>
      </c>
      <c r="CG398" s="8">
        <f t="shared" ref="CG398:CI398" si="1803">SUM(CG393:CG397)</f>
        <v>51085</v>
      </c>
      <c r="CH398" s="8">
        <f t="shared" si="1803"/>
        <v>51017</v>
      </c>
      <c r="CI398" s="8">
        <f t="shared" si="1803"/>
        <v>52724</v>
      </c>
    </row>
    <row r="399" spans="2:87" s="99" customFormat="1" ht="13.5" customHeight="1">
      <c r="B399" s="136" t="s">
        <v>317</v>
      </c>
      <c r="C399" s="119">
        <f>C398/(41173+39891+8564+2084)-1</f>
        <v>7.6790169225401161E-2</v>
      </c>
      <c r="D399" s="137">
        <f t="shared" ref="D399:I399" si="1804">(D398/C398)-1</f>
        <v>0.18237535919853043</v>
      </c>
      <c r="E399" s="137">
        <f t="shared" si="1804"/>
        <v>0.16595744433035597</v>
      </c>
      <c r="F399" s="137">
        <f t="shared" si="1804"/>
        <v>4.854454507392969E-2</v>
      </c>
      <c r="G399" s="137">
        <f t="shared" si="1804"/>
        <v>6.8979769110065092E-2</v>
      </c>
      <c r="H399" s="137">
        <f t="shared" si="1804"/>
        <v>6.8873321581399694E-3</v>
      </c>
      <c r="I399" s="137">
        <f t="shared" si="1804"/>
        <v>5.9876342336484534E-4</v>
      </c>
      <c r="J399" s="137">
        <f>(J398/H398)-1</f>
        <v>5.9876342336484534E-4</v>
      </c>
      <c r="K399" s="137">
        <f>(K398/J398)-1</f>
        <v>0.16066527038805267</v>
      </c>
      <c r="L399" s="137">
        <f>(L398/K398)-1</f>
        <v>3.8499688976311841E-2</v>
      </c>
      <c r="M399" s="137">
        <f>(M398/L398)-1</f>
        <v>-2.2793867672532442E-2</v>
      </c>
      <c r="N399" s="137">
        <f>(N398/L398)-1</f>
        <v>0.10829245654649156</v>
      </c>
      <c r="O399" s="137">
        <f>(O398/M398)-1</f>
        <v>0.13414398444963527</v>
      </c>
      <c r="P399" s="137">
        <f>(P398/O398)-1</f>
        <v>6.2810094409893047E-4</v>
      </c>
      <c r="Q399" s="137">
        <f>(Q398/P398)-1</f>
        <v>4.5827453651890337E-2</v>
      </c>
      <c r="R399" s="137">
        <f>(R398/Q398)-1</f>
        <v>3.9822638278865563E-2</v>
      </c>
      <c r="S399" s="137"/>
      <c r="U399" s="119">
        <f>U398/(10795+12355+2600+753)-1</f>
        <v>0.15603822208806539</v>
      </c>
      <c r="V399" s="119">
        <f>V398/(10765+14489+2626+781)-1</f>
        <v>0.15616402079480807</v>
      </c>
      <c r="W399" s="119">
        <f>W398/(11146+16046+2825+848)-1</f>
        <v>0.14289842864085522</v>
      </c>
      <c r="X399" s="119">
        <f>X398/(11209+16868+798+2897)-1</f>
        <v>0.16740110789374318</v>
      </c>
      <c r="Y399" s="137">
        <f t="shared" ref="Y399:AE399" si="1805">Y398/U398-1</f>
        <v>0.15753127578354809</v>
      </c>
      <c r="Z399" s="137">
        <f t="shared" si="1805"/>
        <v>6.2510982874426579E-2</v>
      </c>
      <c r="AA399" s="137">
        <f t="shared" si="1805"/>
        <v>-1.7690690098186912E-2</v>
      </c>
      <c r="AB399" s="137">
        <f t="shared" si="1805"/>
        <v>9.074762417327964E-3</v>
      </c>
      <c r="AC399" s="137">
        <f t="shared" si="1805"/>
        <v>2.4743549978851753E-3</v>
      </c>
      <c r="AD399" s="137">
        <f t="shared" si="1805"/>
        <v>9.8720321997423754E-2</v>
      </c>
      <c r="AE399" s="137">
        <f t="shared" si="1805"/>
        <v>0.1066184098003693</v>
      </c>
      <c r="AF399" s="137">
        <f>AF398/AB398-1</f>
        <v>6.9173917821442332E-2</v>
      </c>
      <c r="AG399" s="132">
        <f>AG398/BK398-1</f>
        <v>2.8494578465159348E-2</v>
      </c>
      <c r="AH399" s="132">
        <f>AH398/BL398-1</f>
        <v>-1.6124062853034804E-2</v>
      </c>
      <c r="AI399" s="132">
        <f>AI398/BM398-1</f>
        <v>2.4710544719869443E-2</v>
      </c>
      <c r="AJ399" s="132">
        <f>AJ398/BN398-1</f>
        <v>-3.096228096228093E-2</v>
      </c>
      <c r="AK399" s="137">
        <f>AK398/AG398-1</f>
        <v>8.5376484689985821E-2</v>
      </c>
      <c r="AL399" s="137">
        <f>AL398/BO398-1</f>
        <v>0.22795367199142458</v>
      </c>
      <c r="AM399" s="137">
        <f>AM398/BP398-1</f>
        <v>0.16862318473915905</v>
      </c>
      <c r="AN399" s="132" t="e">
        <f>AN398/BR398-1</f>
        <v>#REF!</v>
      </c>
      <c r="AO399" s="137">
        <f>AO398/AK398-1</f>
        <v>6.7842979770091905E-2</v>
      </c>
      <c r="AP399" s="137">
        <f>AP398/BS398-1</f>
        <v>0.1316946894870441</v>
      </c>
      <c r="AQ399" s="137">
        <f>AQ398/BT398-1</f>
        <v>-4.6445235102371418E-3</v>
      </c>
      <c r="AR399" s="132">
        <f>AR398/AN398-1</f>
        <v>2.9796223757757145E-2</v>
      </c>
      <c r="AS399" s="137">
        <f t="shared" ref="AS399:AZ399" si="1806">AS398/BX398-1</f>
        <v>0.13210470712524947</v>
      </c>
      <c r="AT399" s="137">
        <f t="shared" si="1806"/>
        <v>0.1284601585030769</v>
      </c>
      <c r="AU399" s="137">
        <f t="shared" si="1806"/>
        <v>0.15054445270477101</v>
      </c>
      <c r="AV399" s="137">
        <f t="shared" si="1806"/>
        <v>0.12566960162551566</v>
      </c>
      <c r="AW399" s="137">
        <f t="shared" si="1806"/>
        <v>8.9098152843172684E-2</v>
      </c>
      <c r="AX399" s="137">
        <f t="shared" si="1806"/>
        <v>2.9122305633264345E-2</v>
      </c>
      <c r="AY399" s="137">
        <f t="shared" si="1806"/>
        <v>-2.5869776112305232E-2</v>
      </c>
      <c r="AZ399" s="137">
        <f t="shared" si="1806"/>
        <v>-7.3683835830989919E-2</v>
      </c>
      <c r="BA399" s="137">
        <f>BA398/AW398-1</f>
        <v>-4.7301394784718065E-2</v>
      </c>
      <c r="BB399" s="137">
        <f>BB398/CG398-1</f>
        <v>4.4044239992169221E-3</v>
      </c>
      <c r="BC399" s="137">
        <f>BC398/CH398-1</f>
        <v>0.10337730560401437</v>
      </c>
      <c r="BD399" s="137">
        <f>BD398/CI398-1</f>
        <v>0.1119414308474318</v>
      </c>
      <c r="BE399" s="137">
        <f>BE398/BA398-1</f>
        <v>0.11831379232459294</v>
      </c>
      <c r="BF399" s="137">
        <f>BF398/BB398-1</f>
        <v>0.10553498343402845</v>
      </c>
      <c r="BG399" s="137">
        <f>BG398/BC398-1</f>
        <v>-1.7764829191166953E-3</v>
      </c>
      <c r="BH399" s="137">
        <f>BH398/BD398-1</f>
        <v>-4.2950226861801943E-2</v>
      </c>
      <c r="BI399" s="137">
        <f>BI398/BE398-1</f>
        <v>-3.3178488147916907E-2</v>
      </c>
      <c r="BJ399" s="44"/>
      <c r="BK399" s="132">
        <f>BK398/Y398-1</f>
        <v>6.3724799097701901E-3</v>
      </c>
      <c r="BL399" s="132">
        <f>BL398/Z398-1</f>
        <v>0.10621856843024657</v>
      </c>
      <c r="BM399" s="132">
        <f>BM398/AA398-1</f>
        <v>0.11415054887505494</v>
      </c>
      <c r="BN399" s="132">
        <f>BN398/AB398-1</f>
        <v>7.9534094630552277E-2</v>
      </c>
      <c r="BO399" s="132">
        <f>BO398/AD398-1</f>
        <v>-1.1244959156240353E-2</v>
      </c>
      <c r="BP399" s="132">
        <f>BP398/AE398-1</f>
        <v>3.0772440410994584E-2</v>
      </c>
      <c r="BQ399" s="137">
        <f>BQ398/X398-1</f>
        <v>-1</v>
      </c>
      <c r="BR399" s="132" t="e">
        <f>BR398/AF398-1</f>
        <v>#REF!</v>
      </c>
      <c r="BS399" s="137">
        <f>BS398/BO398-1</f>
        <v>4.0262490522628092E-2</v>
      </c>
      <c r="BT399" s="137">
        <f>BT398/BO398-1</f>
        <v>0.227143193286099</v>
      </c>
      <c r="BU399" s="137">
        <f>BU398/BP398-1</f>
        <v>0.16794009006729738</v>
      </c>
      <c r="BV399" s="132">
        <f>BV398/AJ398-1</f>
        <v>0.16346129287666344</v>
      </c>
      <c r="BW399" s="132"/>
      <c r="BX399" s="137">
        <f>BX398/BS398-1</f>
        <v>7.0522003568825653E-2</v>
      </c>
      <c r="BY399" s="137">
        <f>BY398/BS398-1</f>
        <v>0.10676317575209238</v>
      </c>
      <c r="BZ399" s="137">
        <f>BZ398/BT398-1</f>
        <v>-2.5630099921170935E-2</v>
      </c>
      <c r="CA399" s="132">
        <f>CA398/BV398-1</f>
        <v>6.9589269641955553E-2</v>
      </c>
      <c r="CB399" s="137">
        <f>CB398/BX398-1</f>
        <v>0.1019368470477755</v>
      </c>
      <c r="CC399" s="137">
        <f>CC398/BX398-1</f>
        <v>0.16649841530696086</v>
      </c>
      <c r="CD399" s="137">
        <f>CD398/BY398-1</f>
        <v>0.19379158434952437</v>
      </c>
      <c r="CE399" s="132">
        <f>CE398/BZ398-1</f>
        <v>0.22853894258101204</v>
      </c>
      <c r="CF399" s="132">
        <f>CF398/CA398-1</f>
        <v>4.0247932188083757E-2</v>
      </c>
      <c r="CG399" s="137">
        <f>CG398/CC398-1</f>
        <v>2.8136132187493779E-2</v>
      </c>
      <c r="CH399" s="137">
        <f>CH398/CC398-1</f>
        <v>2.6767564956628576E-2</v>
      </c>
      <c r="CI399" s="132">
        <f>CI398/CD398-1</f>
        <v>2.910349812634383E-3</v>
      </c>
    </row>
    <row r="400" spans="2:87" s="138" customFormat="1" ht="13.5" customHeight="1">
      <c r="B400" s="373" t="s">
        <v>433</v>
      </c>
      <c r="C400" s="374">
        <f t="shared" ref="C400:S400" si="1807">+C398-C10</f>
        <v>0</v>
      </c>
      <c r="D400" s="374">
        <f t="shared" si="1807"/>
        <v>0</v>
      </c>
      <c r="E400" s="374">
        <f t="shared" si="1807"/>
        <v>0.47399999998742715</v>
      </c>
      <c r="F400" s="374">
        <f t="shared" si="1807"/>
        <v>-0.44400000001769513</v>
      </c>
      <c r="G400" s="374">
        <f t="shared" si="1807"/>
        <v>0.22000000000116415</v>
      </c>
      <c r="H400" s="374">
        <f t="shared" si="1807"/>
        <v>-0.40499999999883585</v>
      </c>
      <c r="I400" s="374">
        <f t="shared" si="1807"/>
        <v>-9.7999999969033524E-2</v>
      </c>
      <c r="J400" s="374">
        <f t="shared" si="1807"/>
        <v>-9.7999999969033524E-2</v>
      </c>
      <c r="K400" s="374">
        <f t="shared" si="1807"/>
        <v>0.4940000000060536</v>
      </c>
      <c r="L400" s="374">
        <f t="shared" si="1807"/>
        <v>0.4409999999916181</v>
      </c>
      <c r="M400" s="374">
        <f t="shared" si="1807"/>
        <v>-0.4190000000235159</v>
      </c>
      <c r="N400" s="374">
        <f t="shared" si="1807"/>
        <v>1.3000000006286427E-2</v>
      </c>
      <c r="O400" s="374">
        <f t="shared" si="1807"/>
        <v>1.3000000006286427E-2</v>
      </c>
      <c r="P400" s="374">
        <f t="shared" si="1807"/>
        <v>-0.48099999999976717</v>
      </c>
      <c r="Q400" s="374">
        <f t="shared" si="1807"/>
        <v>-0.31699999998090789</v>
      </c>
      <c r="R400" s="374">
        <f t="shared" si="1807"/>
        <v>-3.4000000014202669E-2</v>
      </c>
      <c r="S400" s="374">
        <f t="shared" si="1807"/>
        <v>-0.2340000000258442</v>
      </c>
      <c r="T400" s="375"/>
      <c r="U400" s="374">
        <f t="shared" ref="U400:BH400" si="1808">+U398-U10</f>
        <v>0</v>
      </c>
      <c r="V400" s="374">
        <f t="shared" si="1808"/>
        <v>0</v>
      </c>
      <c r="W400" s="374">
        <f t="shared" si="1808"/>
        <v>0</v>
      </c>
      <c r="X400" s="374">
        <f t="shared" si="1808"/>
        <v>-1</v>
      </c>
      <c r="Y400" s="374">
        <f t="shared" si="1808"/>
        <v>0.56700000001001172</v>
      </c>
      <c r="Z400" s="374">
        <f t="shared" si="1808"/>
        <v>0</v>
      </c>
      <c r="AA400" s="374">
        <f t="shared" si="1808"/>
        <v>0</v>
      </c>
      <c r="AB400" s="374">
        <f t="shared" si="1808"/>
        <v>-1.0110000000277068</v>
      </c>
      <c r="AC400" s="374">
        <f t="shared" si="1808"/>
        <v>0</v>
      </c>
      <c r="AD400" s="374">
        <f t="shared" si="1808"/>
        <v>0.41200000000389991</v>
      </c>
      <c r="AE400" s="374">
        <f t="shared" si="1808"/>
        <v>-0.36599999999452848</v>
      </c>
      <c r="AF400" s="374">
        <f t="shared" si="1808"/>
        <v>0.17399999999906868</v>
      </c>
      <c r="AG400" s="374">
        <f t="shared" si="1808"/>
        <v>0.39699999999720603</v>
      </c>
      <c r="AH400" s="374">
        <f t="shared" si="1808"/>
        <v>0.46899999999732245</v>
      </c>
      <c r="AI400" s="374">
        <f t="shared" si="1808"/>
        <v>-0.32800000000133878</v>
      </c>
      <c r="AJ400" s="374">
        <f t="shared" si="1808"/>
        <v>-0.63599999996949919</v>
      </c>
      <c r="AK400" s="374">
        <f t="shared" si="1808"/>
        <v>-0.41600000000471482</v>
      </c>
      <c r="AL400" s="374">
        <f t="shared" si="1808"/>
        <v>-2.200000000448199E-2</v>
      </c>
      <c r="AM400" s="374">
        <f t="shared" si="1808"/>
        <v>0.38000000000465661</v>
      </c>
      <c r="AN400" s="374">
        <f t="shared" si="1808"/>
        <v>0.55200000000331784</v>
      </c>
      <c r="AO400" s="374">
        <f t="shared" si="1808"/>
        <v>0.21299999999610009</v>
      </c>
      <c r="AP400" s="374">
        <f t="shared" si="1808"/>
        <v>-8.8999999992665835E-2</v>
      </c>
      <c r="AQ400" s="374">
        <f t="shared" si="1808"/>
        <v>-0.30299999999260763</v>
      </c>
      <c r="AR400" s="374">
        <f t="shared" si="1808"/>
        <v>-0.24000000002706656</v>
      </c>
      <c r="AS400" s="374">
        <f t="shared" si="1808"/>
        <v>-0.1230000000068685</v>
      </c>
      <c r="AT400" s="374">
        <f t="shared" si="1808"/>
        <v>-0.1269999999931315</v>
      </c>
      <c r="AU400" s="374">
        <f t="shared" si="1808"/>
        <v>-7.5999999993655365E-2</v>
      </c>
      <c r="AV400" s="374">
        <f t="shared" si="1808"/>
        <v>0.33900000002176967</v>
      </c>
      <c r="AW400" s="374">
        <f t="shared" si="1808"/>
        <v>-0.19599999999627471</v>
      </c>
      <c r="AX400" s="374">
        <f t="shared" si="1808"/>
        <v>-8.8000000010652002E-2</v>
      </c>
      <c r="AY400" s="374">
        <f t="shared" si="1808"/>
        <v>-0.14699999999720603</v>
      </c>
      <c r="AZ400" s="374">
        <f t="shared" si="1808"/>
        <v>-5.0000000017462298E-2</v>
      </c>
      <c r="BA400" s="374">
        <f t="shared" si="1808"/>
        <v>-4.8000000002502929E-2</v>
      </c>
      <c r="BB400" s="374">
        <f t="shared" si="1808"/>
        <v>0</v>
      </c>
      <c r="BC400" s="374">
        <f t="shared" si="1808"/>
        <v>0.40000000000145519</v>
      </c>
      <c r="BD400" s="374">
        <f t="shared" si="1808"/>
        <v>-0.66899999994348036</v>
      </c>
      <c r="BE400" s="374">
        <f t="shared" si="1808"/>
        <v>-0.10300000000279397</v>
      </c>
      <c r="BF400" s="374">
        <f t="shared" si="1808"/>
        <v>-0.32599999999365536</v>
      </c>
      <c r="BG400" s="374">
        <f t="shared" si="1808"/>
        <v>1.299999999901047E-2</v>
      </c>
      <c r="BH400" s="374">
        <f t="shared" si="1808"/>
        <v>0.38199999998323619</v>
      </c>
      <c r="BI400" s="374">
        <f t="shared" ref="BI400" si="1809">+BI398-BI10</f>
        <v>-0.30299999999988358</v>
      </c>
      <c r="BJ400" s="44"/>
      <c r="BK400" s="140">
        <f t="shared" ref="BK400:BV400" si="1810">+BK398-BK10</f>
        <v>-0.14599999999336433</v>
      </c>
      <c r="BL400" s="140">
        <f t="shared" si="1810"/>
        <v>0.41199999999662396</v>
      </c>
      <c r="BM400" s="140">
        <f t="shared" si="1810"/>
        <v>-0.37899999999353895</v>
      </c>
      <c r="BN400" s="140">
        <f t="shared" si="1810"/>
        <v>-0.29200000001583248</v>
      </c>
      <c r="BO400" s="140">
        <f t="shared" si="1810"/>
        <v>0.3769999999931315</v>
      </c>
      <c r="BP400" s="140">
        <f t="shared" si="1810"/>
        <v>0.40700000000651926</v>
      </c>
      <c r="BQ400" s="140">
        <f t="shared" si="1810"/>
        <v>0</v>
      </c>
      <c r="BR400" s="140" t="e">
        <f t="shared" si="1810"/>
        <v>#REF!</v>
      </c>
      <c r="BS400" s="140">
        <f t="shared" si="1810"/>
        <v>-0.23699999999371357</v>
      </c>
      <c r="BT400" s="140">
        <f t="shared" si="1810"/>
        <v>-5.5000000000291038E-2</v>
      </c>
      <c r="BU400" s="140">
        <f t="shared" si="1810"/>
        <v>0.30099999999220017</v>
      </c>
      <c r="BV400" s="140">
        <f t="shared" si="1810"/>
        <v>0.48500000002968591</v>
      </c>
      <c r="BW400" s="140"/>
      <c r="BX400" s="140">
        <f t="shared" ref="BX400:CI400" si="1811">+BX398-BX10</f>
        <v>-0.13299999999435386</v>
      </c>
      <c r="BY400" s="140">
        <f t="shared" si="1811"/>
        <v>0.42300000000250293</v>
      </c>
      <c r="BZ400" s="140">
        <f t="shared" si="1811"/>
        <v>-0.48300000000017462</v>
      </c>
      <c r="CA400" s="140">
        <f t="shared" si="1811"/>
        <v>-0.22600000000238651</v>
      </c>
      <c r="CB400" s="140">
        <f t="shared" si="1811"/>
        <v>-0.38799999999901047</v>
      </c>
      <c r="CC400" s="140">
        <f t="shared" si="1811"/>
        <v>1.4999999992141966E-2</v>
      </c>
      <c r="CD400" s="140">
        <f t="shared" si="1811"/>
        <v>0.18399999999382999</v>
      </c>
      <c r="CE400" s="140">
        <f t="shared" si="1811"/>
        <v>0.20200000000477303</v>
      </c>
      <c r="CF400" s="140">
        <f t="shared" si="1811"/>
        <v>0.180000000007567</v>
      </c>
      <c r="CG400" s="140">
        <f t="shared" si="1811"/>
        <v>0.36199999999371357</v>
      </c>
      <c r="CH400" s="140">
        <f t="shared" si="1811"/>
        <v>0.35799999999289867</v>
      </c>
      <c r="CI400" s="140">
        <f t="shared" si="1811"/>
        <v>-1.3809999999793945</v>
      </c>
    </row>
    <row r="401" spans="2:87" ht="13.5" customHeight="1"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U401" s="5"/>
      <c r="V401" s="5"/>
      <c r="W401" s="5"/>
      <c r="Y401" s="5"/>
      <c r="Z401" s="5"/>
      <c r="AD401" s="5"/>
      <c r="BJ401" s="44"/>
    </row>
    <row r="402" spans="2:87" ht="13.5" customHeight="1">
      <c r="B402" s="372" t="s">
        <v>435</v>
      </c>
      <c r="C402" s="38">
        <f t="shared" ref="C402:R402" si="1812">C3</f>
        <v>41975</v>
      </c>
      <c r="D402" s="38">
        <f t="shared" si="1812"/>
        <v>42341</v>
      </c>
      <c r="E402" s="38">
        <f t="shared" si="1812"/>
        <v>42708</v>
      </c>
      <c r="F402" s="38">
        <f t="shared" si="1812"/>
        <v>43074</v>
      </c>
      <c r="G402" s="38">
        <f t="shared" si="1812"/>
        <v>43439</v>
      </c>
      <c r="H402" s="38">
        <f t="shared" si="1812"/>
        <v>43439</v>
      </c>
      <c r="I402" s="38">
        <f t="shared" si="1812"/>
        <v>43804</v>
      </c>
      <c r="J402" s="38">
        <f t="shared" si="1812"/>
        <v>43804</v>
      </c>
      <c r="K402" s="38">
        <f t="shared" si="1812"/>
        <v>44170</v>
      </c>
      <c r="L402" s="38">
        <f t="shared" si="1812"/>
        <v>44535</v>
      </c>
      <c r="M402" s="38">
        <f t="shared" si="1812"/>
        <v>44535</v>
      </c>
      <c r="N402" s="38">
        <f t="shared" si="1812"/>
        <v>44900</v>
      </c>
      <c r="O402" s="38">
        <f t="shared" si="1812"/>
        <v>44900</v>
      </c>
      <c r="P402" s="38">
        <f t="shared" si="1812"/>
        <v>45265</v>
      </c>
      <c r="Q402" s="38">
        <f t="shared" si="1812"/>
        <v>45631</v>
      </c>
      <c r="R402" s="38">
        <f t="shared" si="1812"/>
        <v>45996</v>
      </c>
      <c r="S402" s="38" t="s">
        <v>277</v>
      </c>
      <c r="U402" s="38">
        <f t="shared" ref="U402:BH402" si="1813">U3</f>
        <v>42437</v>
      </c>
      <c r="V402" s="38">
        <f t="shared" si="1813"/>
        <v>42527</v>
      </c>
      <c r="W402" s="38">
        <f t="shared" si="1813"/>
        <v>42622</v>
      </c>
      <c r="X402" s="38">
        <f t="shared" si="1813"/>
        <v>42714</v>
      </c>
      <c r="Y402" s="38">
        <f t="shared" si="1813"/>
        <v>42801</v>
      </c>
      <c r="Z402" s="38">
        <f t="shared" si="1813"/>
        <v>42892</v>
      </c>
      <c r="AA402" s="38">
        <f t="shared" si="1813"/>
        <v>42987</v>
      </c>
      <c r="AB402" s="38">
        <f t="shared" si="1813"/>
        <v>43100</v>
      </c>
      <c r="AC402" s="38">
        <f t="shared" si="1813"/>
        <v>43190</v>
      </c>
      <c r="AD402" s="38">
        <f t="shared" si="1813"/>
        <v>43281</v>
      </c>
      <c r="AE402" s="38">
        <f t="shared" si="1813"/>
        <v>43373</v>
      </c>
      <c r="AF402" s="38">
        <f t="shared" si="1813"/>
        <v>43465</v>
      </c>
      <c r="AG402" s="38">
        <f t="shared" si="1813"/>
        <v>43555</v>
      </c>
      <c r="AH402" s="38">
        <f t="shared" si="1813"/>
        <v>43646</v>
      </c>
      <c r="AI402" s="38">
        <f t="shared" si="1813"/>
        <v>43738</v>
      </c>
      <c r="AJ402" s="38">
        <f t="shared" si="1813"/>
        <v>43830</v>
      </c>
      <c r="AK402" s="38">
        <f t="shared" si="1813"/>
        <v>43921</v>
      </c>
      <c r="AL402" s="38">
        <f t="shared" si="1813"/>
        <v>44012</v>
      </c>
      <c r="AM402" s="38">
        <f t="shared" si="1813"/>
        <v>44104</v>
      </c>
      <c r="AN402" s="38">
        <f t="shared" si="1813"/>
        <v>44196</v>
      </c>
      <c r="AO402" s="38">
        <f t="shared" si="1813"/>
        <v>44286</v>
      </c>
      <c r="AP402" s="38">
        <f t="shared" si="1813"/>
        <v>44377</v>
      </c>
      <c r="AQ402" s="38">
        <f t="shared" si="1813"/>
        <v>44469</v>
      </c>
      <c r="AR402" s="38">
        <f t="shared" si="1813"/>
        <v>44561</v>
      </c>
      <c r="AS402" s="38">
        <f t="shared" si="1813"/>
        <v>44651</v>
      </c>
      <c r="AT402" s="38">
        <f t="shared" si="1813"/>
        <v>44742</v>
      </c>
      <c r="AU402" s="38">
        <f t="shared" si="1813"/>
        <v>44834</v>
      </c>
      <c r="AV402" s="38">
        <f t="shared" si="1813"/>
        <v>44926</v>
      </c>
      <c r="AW402" s="38">
        <f t="shared" si="1813"/>
        <v>45016</v>
      </c>
      <c r="AX402" s="38">
        <f t="shared" si="1813"/>
        <v>45107</v>
      </c>
      <c r="AY402" s="38">
        <f t="shared" si="1813"/>
        <v>45199</v>
      </c>
      <c r="AZ402" s="38">
        <f t="shared" si="1813"/>
        <v>45291</v>
      </c>
      <c r="BA402" s="197">
        <f t="shared" si="1813"/>
        <v>45382</v>
      </c>
      <c r="BB402" s="197">
        <f t="shared" si="1813"/>
        <v>45473</v>
      </c>
      <c r="BC402" s="197">
        <f t="shared" si="1813"/>
        <v>45565</v>
      </c>
      <c r="BD402" s="197">
        <f t="shared" si="1813"/>
        <v>45657</v>
      </c>
      <c r="BE402" s="197">
        <f t="shared" si="1813"/>
        <v>45747</v>
      </c>
      <c r="BF402" s="197">
        <f t="shared" si="1813"/>
        <v>45838</v>
      </c>
      <c r="BG402" s="197">
        <f t="shared" si="1813"/>
        <v>45930</v>
      </c>
      <c r="BH402" s="197">
        <f t="shared" si="1813"/>
        <v>46022</v>
      </c>
      <c r="BI402" s="197">
        <f t="shared" ref="BI402" si="1814">BI3</f>
        <v>46112</v>
      </c>
      <c r="BJ402" s="44"/>
      <c r="BK402" s="197">
        <f t="shared" ref="BK402:BV402" si="1815">BK3</f>
        <v>43166</v>
      </c>
      <c r="BL402" s="197">
        <f t="shared" si="1815"/>
        <v>43281</v>
      </c>
      <c r="BM402" s="197">
        <f t="shared" si="1815"/>
        <v>43373</v>
      </c>
      <c r="BN402" s="197">
        <f t="shared" si="1815"/>
        <v>43465</v>
      </c>
      <c r="BO402" s="197">
        <f t="shared" si="1815"/>
        <v>43646</v>
      </c>
      <c r="BP402" s="197">
        <f t="shared" si="1815"/>
        <v>43738</v>
      </c>
      <c r="BQ402" s="38">
        <f t="shared" si="1815"/>
        <v>43079</v>
      </c>
      <c r="BR402" s="197">
        <f t="shared" si="1815"/>
        <v>43830</v>
      </c>
      <c r="BS402" s="38">
        <f t="shared" si="1815"/>
        <v>43921</v>
      </c>
      <c r="BT402" s="38">
        <f t="shared" si="1815"/>
        <v>44012</v>
      </c>
      <c r="BU402" s="38">
        <f t="shared" si="1815"/>
        <v>44104</v>
      </c>
      <c r="BV402" s="197">
        <f t="shared" si="1815"/>
        <v>44196</v>
      </c>
      <c r="BW402" s="197"/>
      <c r="BX402" s="38">
        <f t="shared" ref="BX402:CI402" si="1816">BX3</f>
        <v>44286</v>
      </c>
      <c r="BY402" s="38">
        <f t="shared" si="1816"/>
        <v>44377</v>
      </c>
      <c r="BZ402" s="38">
        <f t="shared" si="1816"/>
        <v>44469</v>
      </c>
      <c r="CA402" s="197">
        <f t="shared" si="1816"/>
        <v>44561</v>
      </c>
      <c r="CB402" s="38">
        <f t="shared" si="1816"/>
        <v>44651</v>
      </c>
      <c r="CC402" s="38">
        <f t="shared" si="1816"/>
        <v>44742</v>
      </c>
      <c r="CD402" s="38">
        <f t="shared" si="1816"/>
        <v>44834</v>
      </c>
      <c r="CE402" s="197">
        <f t="shared" si="1816"/>
        <v>44926</v>
      </c>
      <c r="CF402" s="38">
        <f t="shared" si="1816"/>
        <v>45016</v>
      </c>
      <c r="CG402" s="38">
        <f t="shared" si="1816"/>
        <v>45107</v>
      </c>
      <c r="CH402" s="38">
        <f t="shared" si="1816"/>
        <v>45199</v>
      </c>
      <c r="CI402" s="197">
        <f t="shared" si="1816"/>
        <v>45291</v>
      </c>
    </row>
    <row r="403" spans="2:87" ht="13.5" customHeight="1">
      <c r="B403" s="1" t="s">
        <v>427</v>
      </c>
      <c r="C403" s="99">
        <f t="shared" ref="C403:G403" si="1817">C393/C379</f>
        <v>0.50156569847856158</v>
      </c>
      <c r="D403" s="99">
        <f t="shared" si="1817"/>
        <v>0.51338069914689988</v>
      </c>
      <c r="E403" s="99">
        <f t="shared" si="1817"/>
        <v>0.53265443465785134</v>
      </c>
      <c r="F403" s="99">
        <f t="shared" si="1817"/>
        <v>0.53848556609667153</v>
      </c>
      <c r="G403" s="99">
        <f t="shared" si="1817"/>
        <v>0.53375785551415378</v>
      </c>
      <c r="H403" s="99">
        <f t="shared" ref="H403:N403" si="1818">H393/H379</f>
        <v>0.53415342298288504</v>
      </c>
      <c r="I403" s="99">
        <f t="shared" si="1818"/>
        <v>0.53397451477379254</v>
      </c>
      <c r="J403" s="99">
        <f t="shared" si="1818"/>
        <v>0.53397451477379254</v>
      </c>
      <c r="K403" s="99">
        <f t="shared" si="1818"/>
        <v>0.55992516794693725</v>
      </c>
      <c r="L403" s="99">
        <f t="shared" si="1818"/>
        <v>0.55348177563466172</v>
      </c>
      <c r="M403" s="99">
        <f t="shared" ref="M403" si="1819">M393/M379</f>
        <v>0.55118065336518995</v>
      </c>
      <c r="N403" s="99">
        <f t="shared" si="1818"/>
        <v>0.52623083131557713</v>
      </c>
      <c r="O403" s="99">
        <f t="shared" ref="O403" si="1820">O393/O379</f>
        <v>0.52623083131557713</v>
      </c>
      <c r="P403" s="99">
        <f>P393/P379</f>
        <v>0.52225580936354099</v>
      </c>
      <c r="Q403" s="99">
        <f>Q393/Q379</f>
        <v>0.52660434162573289</v>
      </c>
      <c r="R403" s="99">
        <f>R393/R379</f>
        <v>0.53966910431047621</v>
      </c>
      <c r="S403" s="99">
        <f t="shared" ref="S403" si="1821">S393/S379</f>
        <v>0.54163680198084319</v>
      </c>
      <c r="U403" s="99">
        <f t="shared" ref="U403:AA403" si="1822">U393/U379</f>
        <v>0.52042675855670784</v>
      </c>
      <c r="V403" s="99">
        <f t="shared" si="1822"/>
        <v>0.53747062148573466</v>
      </c>
      <c r="W403" s="99">
        <f t="shared" si="1822"/>
        <v>0.53459082994776552</v>
      </c>
      <c r="X403" s="99">
        <f t="shared" si="1822"/>
        <v>0.5364534018666306</v>
      </c>
      <c r="Y403" s="99">
        <f t="shared" si="1822"/>
        <v>0.53676254337980123</v>
      </c>
      <c r="Z403" s="99">
        <f t="shared" si="1822"/>
        <v>0.54514091919073793</v>
      </c>
      <c r="AA403" s="99">
        <f t="shared" si="1822"/>
        <v>0.53988118573022525</v>
      </c>
      <c r="AB403" s="99">
        <f t="shared" ref="AB403:AG403" si="1823">AB393/AB379</f>
        <v>0.53255269320843091</v>
      </c>
      <c r="AC403" s="99">
        <f t="shared" si="1823"/>
        <v>0.53090704436732017</v>
      </c>
      <c r="AD403" s="99">
        <f t="shared" si="1823"/>
        <v>0.5352139392461317</v>
      </c>
      <c r="AE403" s="99">
        <f t="shared" si="1823"/>
        <v>0.5390295649298763</v>
      </c>
      <c r="AF403" s="99">
        <f t="shared" si="1823"/>
        <v>0.52977837544286122</v>
      </c>
      <c r="AG403" s="99">
        <f t="shared" si="1823"/>
        <v>0.5367956137678952</v>
      </c>
      <c r="AH403" s="99">
        <f t="shared" ref="AH403:AM403" si="1824">AH393/AH379</f>
        <v>0.5382365116599972</v>
      </c>
      <c r="AI403" s="99">
        <f t="shared" si="1824"/>
        <v>0.53711836886794961</v>
      </c>
      <c r="AJ403" s="99">
        <f t="shared" si="1824"/>
        <v>0.5242032592116882</v>
      </c>
      <c r="AK403" s="99">
        <f t="shared" si="1824"/>
        <v>0.54537889714856314</v>
      </c>
      <c r="AL403" s="99">
        <f t="shared" si="1824"/>
        <v>0.56783777220108478</v>
      </c>
      <c r="AM403" s="99">
        <f t="shared" si="1824"/>
        <v>0.56671696486311707</v>
      </c>
      <c r="AN403" s="99">
        <f t="shared" ref="AN403:AS403" si="1825">AN393/AN379</f>
        <v>0.55584742147684152</v>
      </c>
      <c r="AO403" s="99">
        <f t="shared" si="1825"/>
        <v>0.55996714832020122</v>
      </c>
      <c r="AP403" s="99">
        <f t="shared" si="1825"/>
        <v>0.56148231330713083</v>
      </c>
      <c r="AQ403" s="99">
        <f t="shared" si="1825"/>
        <v>0.55003162269606076</v>
      </c>
      <c r="AR403" s="99">
        <f t="shared" si="1825"/>
        <v>0.53636363636363638</v>
      </c>
      <c r="AS403" s="99">
        <f t="shared" si="1825"/>
        <v>0.53826407477291671</v>
      </c>
      <c r="AT403" s="99">
        <f t="shared" ref="AT403:AW403" si="1826">AT393/AT379</f>
        <v>0.52669255035185636</v>
      </c>
      <c r="AU403" s="99">
        <f t="shared" si="1826"/>
        <v>0.52187706543291479</v>
      </c>
      <c r="AV403" s="99">
        <f t="shared" si="1826"/>
        <v>0.52032449860458663</v>
      </c>
      <c r="AW403" s="99">
        <f t="shared" si="1826"/>
        <v>0.52288024383016551</v>
      </c>
      <c r="AX403" s="99">
        <f t="shared" ref="AX403:BA403" si="1827">AX393/AX379</f>
        <v>0.52318971908723944</v>
      </c>
      <c r="AY403" s="99">
        <f t="shared" si="1827"/>
        <v>0.51942415581666135</v>
      </c>
      <c r="AZ403" s="99">
        <f t="shared" si="1827"/>
        <v>0.52344586540598426</v>
      </c>
      <c r="BA403" s="99">
        <f t="shared" si="1827"/>
        <v>0.52430758728301152</v>
      </c>
      <c r="BB403" s="99">
        <f t="shared" ref="BB403:BE403" si="1828">BB393/BB379</f>
        <v>0.53419585197593178</v>
      </c>
      <c r="BC403" s="99">
        <f t="shared" si="1828"/>
        <v>0.5286400961345884</v>
      </c>
      <c r="BD403" s="99">
        <f t="shared" si="1828"/>
        <v>0.51996680059608025</v>
      </c>
      <c r="BE403" s="99">
        <f t="shared" si="1828"/>
        <v>0.53452125375697723</v>
      </c>
      <c r="BF403" s="99">
        <f t="shared" ref="BF403:BG403" si="1829">BF393/BF379</f>
        <v>0.53641804413321392</v>
      </c>
      <c r="BG403" s="99">
        <f t="shared" si="1829"/>
        <v>0.55241204971560987</v>
      </c>
      <c r="BH403" s="99">
        <f>BH393/BH379</f>
        <v>0.53530199630078446</v>
      </c>
      <c r="BI403" s="99">
        <f t="shared" ref="BI403" si="1830">BI393/BI379</f>
        <v>0.5426936076776947</v>
      </c>
      <c r="BJ403" s="44"/>
      <c r="BK403" s="99">
        <f t="shared" ref="BK403:BP403" si="1831">BK393/BK379</f>
        <v>0.53100521174671533</v>
      </c>
      <c r="BL403" s="99">
        <f t="shared" si="1831"/>
        <v>0.53545503791982663</v>
      </c>
      <c r="BM403" s="99">
        <f t="shared" si="1831"/>
        <v>0.53946100696451671</v>
      </c>
      <c r="BN403" s="99">
        <f t="shared" si="1831"/>
        <v>0.53053415378251201</v>
      </c>
      <c r="BO403" s="99">
        <f t="shared" si="1831"/>
        <v>0.5382365116599972</v>
      </c>
      <c r="BP403" s="99">
        <f t="shared" si="1831"/>
        <v>0.53711836886794961</v>
      </c>
      <c r="BQ403" s="99"/>
      <c r="BR403" s="99" t="e">
        <f t="shared" ref="BR403:BX403" si="1832">BR393/BR379</f>
        <v>#REF!</v>
      </c>
      <c r="BS403" s="99">
        <f t="shared" si="1832"/>
        <v>0.54537889714856314</v>
      </c>
      <c r="BT403" s="99">
        <f t="shared" si="1832"/>
        <v>0.56783777220108478</v>
      </c>
      <c r="BU403" s="99">
        <f t="shared" si="1832"/>
        <v>0.56671696486311707</v>
      </c>
      <c r="BV403" s="99">
        <f t="shared" si="1832"/>
        <v>0.55584742147684152</v>
      </c>
      <c r="BW403" s="99"/>
      <c r="BX403" s="99">
        <f t="shared" si="1832"/>
        <v>0.55996714832020122</v>
      </c>
      <c r="BY403" s="99">
        <f t="shared" ref="BY403:CB403" si="1833">BY393/BY379</f>
        <v>0.55933518266020965</v>
      </c>
      <c r="BZ403" s="99">
        <f t="shared" si="1833"/>
        <v>0.54756064322703735</v>
      </c>
      <c r="CA403" s="99">
        <f t="shared" si="1833"/>
        <v>0.54054975922953452</v>
      </c>
      <c r="CB403" s="99">
        <f t="shared" si="1833"/>
        <v>0.53540995187425489</v>
      </c>
      <c r="CC403" s="99">
        <f t="shared" ref="CC403:CF403" si="1834">CC393/CC379</f>
        <v>0.52669255035185636</v>
      </c>
      <c r="CD403" s="99">
        <f t="shared" si="1834"/>
        <v>0.52187706543291479</v>
      </c>
      <c r="CE403" s="99">
        <f t="shared" si="1834"/>
        <v>0.52264141178905965</v>
      </c>
      <c r="CF403" s="99">
        <f t="shared" si="1834"/>
        <v>0.52288024383016551</v>
      </c>
      <c r="CG403" s="99">
        <f t="shared" ref="CG403:CI403" si="1835">CG393/CG379</f>
        <v>0.52318971908723944</v>
      </c>
      <c r="CH403" s="99">
        <f t="shared" si="1835"/>
        <v>0.51942415581666135</v>
      </c>
      <c r="CI403" s="99">
        <f t="shared" si="1835"/>
        <v>0.52344586540598426</v>
      </c>
    </row>
    <row r="404" spans="2:87" ht="13.5" customHeight="1">
      <c r="B404" s="1" t="s">
        <v>428</v>
      </c>
      <c r="C404" s="99">
        <f t="shared" ref="C404:G404" si="1836">C394/C381</f>
        <v>0.57555792890134128</v>
      </c>
      <c r="D404" s="99">
        <f t="shared" si="1836"/>
        <v>0.57559473097843894</v>
      </c>
      <c r="E404" s="99">
        <f t="shared" si="1836"/>
        <v>0.56998342643177213</v>
      </c>
      <c r="F404" s="99">
        <f t="shared" si="1836"/>
        <v>0.55323292794936207</v>
      </c>
      <c r="G404" s="99">
        <f t="shared" si="1836"/>
        <v>0.56110115262520155</v>
      </c>
      <c r="H404" s="99">
        <f t="shared" ref="H404:N404" si="1837">H394/H381</f>
        <v>0.56313853698406213</v>
      </c>
      <c r="I404" s="99">
        <f t="shared" si="1837"/>
        <v>0.55780617014646305</v>
      </c>
      <c r="J404" s="99">
        <f t="shared" si="1837"/>
        <v>0.55780617014646305</v>
      </c>
      <c r="K404" s="99">
        <f t="shared" si="1837"/>
        <v>0.54750317898903367</v>
      </c>
      <c r="L404" s="99">
        <f t="shared" si="1837"/>
        <v>0.53766612450594553</v>
      </c>
      <c r="M404" s="99">
        <f t="shared" ref="M404" si="1838">M394/M381</f>
        <v>0.55089880739579611</v>
      </c>
      <c r="N404" s="99">
        <f t="shared" si="1837"/>
        <v>0.53858482680347541</v>
      </c>
      <c r="O404" s="99">
        <f t="shared" ref="O404" si="1839">O394/O381</f>
        <v>0.53858482680347541</v>
      </c>
      <c r="P404" s="99">
        <f>P394/P381</f>
        <v>0.53894089567843062</v>
      </c>
      <c r="Q404" s="99">
        <f>Q394/Q381</f>
        <v>0.55724908046889476</v>
      </c>
      <c r="R404" s="99">
        <f>R394/R381</f>
        <v>0.55470935152349021</v>
      </c>
      <c r="S404" s="99">
        <f t="shared" ref="S404" si="1840">S394/S381</f>
        <v>0.55486624456129363</v>
      </c>
      <c r="U404" s="99">
        <f t="shared" ref="U404:AA404" si="1841">U394/U381</f>
        <v>0.5731479140328698</v>
      </c>
      <c r="V404" s="99">
        <f t="shared" si="1841"/>
        <v>0.57110277721467662</v>
      </c>
      <c r="W404" s="99">
        <f t="shared" si="1841"/>
        <v>0.57158836689038028</v>
      </c>
      <c r="X404" s="99">
        <f t="shared" si="1841"/>
        <v>0.56448143645375481</v>
      </c>
      <c r="Y404" s="99">
        <f t="shared" si="1841"/>
        <v>0.55232531811800933</v>
      </c>
      <c r="Z404" s="99">
        <f t="shared" si="1841"/>
        <v>0.55440649521476848</v>
      </c>
      <c r="AA404" s="99">
        <f t="shared" si="1841"/>
        <v>0.54327193932827733</v>
      </c>
      <c r="AB404" s="99">
        <f t="shared" ref="AB404:AG404" si="1842">AB394/AB381</f>
        <v>0.56290475779293669</v>
      </c>
      <c r="AC404" s="99">
        <f t="shared" si="1842"/>
        <v>0.55556009477898516</v>
      </c>
      <c r="AD404" s="99">
        <f t="shared" si="1842"/>
        <v>0.56218885498634974</v>
      </c>
      <c r="AE404" s="99">
        <f t="shared" si="1842"/>
        <v>0.56378127602204686</v>
      </c>
      <c r="AF404" s="99">
        <f t="shared" si="1842"/>
        <v>0.56272273699215969</v>
      </c>
      <c r="AG404" s="99">
        <f t="shared" si="1842"/>
        <v>0.55735977204418596</v>
      </c>
      <c r="AH404" s="99">
        <f t="shared" ref="AH404:AM404" si="1843">AH394/AH381</f>
        <v>0.55961793153268857</v>
      </c>
      <c r="AI404" s="99">
        <f t="shared" si="1843"/>
        <v>0.55624299137697697</v>
      </c>
      <c r="AJ404" s="99">
        <f t="shared" si="1843"/>
        <v>0.55806169411585715</v>
      </c>
      <c r="AK404" s="99">
        <f t="shared" si="1843"/>
        <v>0.55562904174015282</v>
      </c>
      <c r="AL404" s="99">
        <f t="shared" si="1843"/>
        <v>0.5464700625558534</v>
      </c>
      <c r="AM404" s="99">
        <f t="shared" si="1843"/>
        <v>0.54376606930427107</v>
      </c>
      <c r="AN404" s="99">
        <f t="shared" ref="AN404:AS404" si="1844">AN394/AN381</f>
        <v>0.54382022471910108</v>
      </c>
      <c r="AO404" s="99">
        <f t="shared" si="1844"/>
        <v>0.54412349517371028</v>
      </c>
      <c r="AP404" s="99">
        <f t="shared" si="1844"/>
        <v>0.54535472673821417</v>
      </c>
      <c r="AQ404" s="99">
        <f t="shared" si="1844"/>
        <v>0.53807859686140047</v>
      </c>
      <c r="AR404" s="99">
        <f t="shared" si="1844"/>
        <v>0.58295061890390587</v>
      </c>
      <c r="AS404" s="99">
        <f t="shared" si="1844"/>
        <v>0.52749447689374451</v>
      </c>
      <c r="AT404" s="99">
        <f t="shared" ref="AT404:AW404" si="1845">AT394/AT381</f>
        <v>0.53956811886174771</v>
      </c>
      <c r="AU404" s="99">
        <f t="shared" si="1845"/>
        <v>0.53918121685239262</v>
      </c>
      <c r="AV404" s="99">
        <f t="shared" si="1845"/>
        <v>0.5484263769201948</v>
      </c>
      <c r="AW404" s="99">
        <f t="shared" si="1845"/>
        <v>0.531260346540117</v>
      </c>
      <c r="AX404" s="99">
        <f t="shared" ref="AX404:BA404" si="1846">AX394/AX381</f>
        <v>0.53410837548556578</v>
      </c>
      <c r="AY404" s="99">
        <f t="shared" si="1846"/>
        <v>0.54246048109965639</v>
      </c>
      <c r="AZ404" s="99">
        <f t="shared" si="1846"/>
        <v>0.54768149249695819</v>
      </c>
      <c r="BA404" s="99">
        <f t="shared" si="1846"/>
        <v>0.54608677044883114</v>
      </c>
      <c r="BB404" s="99">
        <f t="shared" ref="BB404:BE404" si="1847">BB394/BB381</f>
        <v>0.55307875511787841</v>
      </c>
      <c r="BC404" s="99">
        <f t="shared" si="1847"/>
        <v>0.56440594952697654</v>
      </c>
      <c r="BD404" s="99">
        <f t="shared" si="1847"/>
        <v>0.56510527435133984</v>
      </c>
      <c r="BE404" s="99">
        <f t="shared" si="1847"/>
        <v>0.55184386343311065</v>
      </c>
      <c r="BF404" s="99">
        <f t="shared" ref="BF404:BG404" si="1848">BF394/BF381</f>
        <v>0.56067576348278103</v>
      </c>
      <c r="BG404" s="99">
        <f t="shared" si="1848"/>
        <v>0.54893693601048921</v>
      </c>
      <c r="BH404" s="99">
        <f t="shared" ref="BH404:BI404" si="1849">BH394/BH381</f>
        <v>0.55734544255308349</v>
      </c>
      <c r="BI404" s="99">
        <f t="shared" si="1849"/>
        <v>0.55258520867945427</v>
      </c>
      <c r="BJ404" s="44"/>
      <c r="BK404" s="99">
        <f t="shared" ref="BK404:BP404" si="1850">BK394/BK381</f>
        <v>0.55781815225785469</v>
      </c>
      <c r="BL404" s="99">
        <f t="shared" si="1850"/>
        <v>0.56414355367276792</v>
      </c>
      <c r="BM404" s="99">
        <f t="shared" si="1850"/>
        <v>0.5656071076011846</v>
      </c>
      <c r="BN404" s="99">
        <f t="shared" si="1850"/>
        <v>0.56484217992670527</v>
      </c>
      <c r="BO404" s="99">
        <f t="shared" si="1850"/>
        <v>0.55969819801741783</v>
      </c>
      <c r="BP404" s="99">
        <f t="shared" si="1850"/>
        <v>0.55624299137697697</v>
      </c>
      <c r="BQ404" s="99"/>
      <c r="BR404" s="99" t="e">
        <f t="shared" ref="BR404:BX404" si="1851">BR394/BR381</f>
        <v>#REF!</v>
      </c>
      <c r="BS404" s="99">
        <f t="shared" si="1851"/>
        <v>0.55562904174015282</v>
      </c>
      <c r="BT404" s="99">
        <f t="shared" si="1851"/>
        <v>0.5464700625558534</v>
      </c>
      <c r="BU404" s="99">
        <f t="shared" si="1851"/>
        <v>0.54376606930427107</v>
      </c>
      <c r="BV404" s="99">
        <f t="shared" si="1851"/>
        <v>0.54382022471910108</v>
      </c>
      <c r="BW404" s="99"/>
      <c r="BX404" s="99">
        <f t="shared" si="1851"/>
        <v>0.54412349517371028</v>
      </c>
      <c r="BY404" s="99">
        <f t="shared" ref="BY404:CB404" si="1852">BY394/BY381</f>
        <v>0.55515142233623038</v>
      </c>
      <c r="BZ404" s="99">
        <f t="shared" si="1852"/>
        <v>0.55398858865324574</v>
      </c>
      <c r="CA404" s="99">
        <f t="shared" si="1852"/>
        <v>0.55054296334086439</v>
      </c>
      <c r="CB404" s="99">
        <f t="shared" si="1852"/>
        <v>0.53921925098337353</v>
      </c>
      <c r="CC404" s="99">
        <f t="shared" ref="CC404:CF404" si="1853">CC394/CC381</f>
        <v>0.53956811886174771</v>
      </c>
      <c r="CD404" s="99">
        <f t="shared" si="1853"/>
        <v>0.53918121685239262</v>
      </c>
      <c r="CE404" s="99">
        <f t="shared" si="1853"/>
        <v>0.53656154862427485</v>
      </c>
      <c r="CF404" s="99">
        <f t="shared" si="1853"/>
        <v>0.531260346540117</v>
      </c>
      <c r="CG404" s="99">
        <f t="shared" ref="CG404:CI404" si="1854">CG394/CG381</f>
        <v>0.53410837548556578</v>
      </c>
      <c r="CH404" s="99">
        <f t="shared" si="1854"/>
        <v>0.54246048109965639</v>
      </c>
      <c r="CI404" s="99">
        <f t="shared" si="1854"/>
        <v>0.54768149249695819</v>
      </c>
    </row>
    <row r="405" spans="2:87" ht="13.5" customHeight="1">
      <c r="B405" s="1" t="s">
        <v>429</v>
      </c>
      <c r="C405" s="99">
        <f t="shared" ref="C405:G405" si="1855">C395/C383</f>
        <v>0.43513747663125257</v>
      </c>
      <c r="D405" s="99">
        <f t="shared" si="1855"/>
        <v>0.4510547132498352</v>
      </c>
      <c r="E405" s="99">
        <f t="shared" si="1855"/>
        <v>0.45580756013745705</v>
      </c>
      <c r="F405" s="99">
        <f t="shared" si="1855"/>
        <v>0.46154115096846376</v>
      </c>
      <c r="G405" s="99">
        <f t="shared" si="1855"/>
        <v>0.454738933030647</v>
      </c>
      <c r="H405" s="99">
        <f t="shared" ref="H405:N405" si="1856">H395/H383</f>
        <v>0.4576055890758971</v>
      </c>
      <c r="I405" s="99">
        <f t="shared" si="1856"/>
        <v>0.44289714117300322</v>
      </c>
      <c r="J405" s="99">
        <f t="shared" si="1856"/>
        <v>0.44289714117300322</v>
      </c>
      <c r="K405" s="99">
        <f t="shared" si="1856"/>
        <v>0.4501220728310581</v>
      </c>
      <c r="L405" s="99">
        <f t="shared" si="1856"/>
        <v>0.44607343192248855</v>
      </c>
      <c r="M405" s="99">
        <f t="shared" ref="M405" si="1857">M395/M383</f>
        <v>0.44128708733806937</v>
      </c>
      <c r="N405" s="99">
        <f t="shared" si="1856"/>
        <v>0.42586759001327745</v>
      </c>
      <c r="O405" s="99">
        <f t="shared" ref="O405" si="1858">O395/O383</f>
        <v>0.42586759001327745</v>
      </c>
      <c r="P405" s="99">
        <f>P395/P383</f>
        <v>0.4315496493573826</v>
      </c>
      <c r="Q405" s="99">
        <f>Q395/Q383</f>
        <v>0.43642017101732744</v>
      </c>
      <c r="R405" s="99">
        <f>R395/R383</f>
        <v>0.43123300090661831</v>
      </c>
      <c r="S405" s="99">
        <f t="shared" ref="S405" si="1859">S395/S383</f>
        <v>0.42911730989682845</v>
      </c>
      <c r="U405" s="99">
        <f t="shared" ref="U405:AA405" si="1860">U395/U383</f>
        <v>0.4652488827246109</v>
      </c>
      <c r="V405" s="99">
        <f t="shared" si="1860"/>
        <v>0.44528631793676232</v>
      </c>
      <c r="W405" s="99">
        <f t="shared" si="1860"/>
        <v>0.46855590062111802</v>
      </c>
      <c r="X405" s="99">
        <f t="shared" si="1860"/>
        <v>0.44488778054862843</v>
      </c>
      <c r="Y405" s="99">
        <f t="shared" si="1860"/>
        <v>0.46280669868882252</v>
      </c>
      <c r="Z405" s="99">
        <f t="shared" si="1860"/>
        <v>0.45822416302765645</v>
      </c>
      <c r="AA405" s="99">
        <f t="shared" si="1860"/>
        <v>0.47128654102982637</v>
      </c>
      <c r="AB405" s="99">
        <f t="shared" ref="AB405:AG405" si="1861">AB395/AB383</f>
        <v>0.454320987654321</v>
      </c>
      <c r="AC405" s="99">
        <f t="shared" si="1861"/>
        <v>0.472438713334278</v>
      </c>
      <c r="AD405" s="99">
        <f t="shared" si="1861"/>
        <v>0.47181478285878631</v>
      </c>
      <c r="AE405" s="99">
        <f t="shared" si="1861"/>
        <v>0.44526218951241953</v>
      </c>
      <c r="AF405" s="99">
        <f t="shared" si="1861"/>
        <v>0.43099621360490925</v>
      </c>
      <c r="AG405" s="99">
        <f t="shared" si="1861"/>
        <v>0.44700460829493088</v>
      </c>
      <c r="AH405" s="99">
        <f t="shared" ref="AH405:AM405" si="1862">AH395/AH383</f>
        <v>0.44707076566125292</v>
      </c>
      <c r="AI405" s="99">
        <f t="shared" si="1862"/>
        <v>0.44988642816581487</v>
      </c>
      <c r="AJ405" s="99">
        <f t="shared" si="1862"/>
        <v>0.42658638258452986</v>
      </c>
      <c r="AK405" s="99">
        <f t="shared" si="1862"/>
        <v>0.4569326215553311</v>
      </c>
      <c r="AL405" s="99">
        <f t="shared" si="1862"/>
        <v>0.45736228813559321</v>
      </c>
      <c r="AM405" s="99">
        <f t="shared" si="1862"/>
        <v>0.44821709491347667</v>
      </c>
      <c r="AN405" s="99">
        <f t="shared" ref="AN405:AS405" si="1863">AN395/AN383</f>
        <v>0.43758967001434718</v>
      </c>
      <c r="AO405" s="99">
        <f t="shared" si="1863"/>
        <v>0.45985603543743081</v>
      </c>
      <c r="AP405" s="99">
        <f t="shared" si="1863"/>
        <v>0.44933078393881454</v>
      </c>
      <c r="AQ405" s="99">
        <f t="shared" si="1863"/>
        <v>0.45187268311389495</v>
      </c>
      <c r="AR405" s="99">
        <f t="shared" si="1863"/>
        <v>0.40972540045766592</v>
      </c>
      <c r="AS405" s="99">
        <f t="shared" si="1863"/>
        <v>0.44075193017791203</v>
      </c>
      <c r="AT405" s="99">
        <f t="shared" ref="AT405:AW405" si="1864">AT395/AT383</f>
        <v>0.42422985167513744</v>
      </c>
      <c r="AU405" s="99">
        <f t="shared" si="1864"/>
        <v>0.42655875299760193</v>
      </c>
      <c r="AV405" s="99">
        <f t="shared" si="1864"/>
        <v>0.41323155216284985</v>
      </c>
      <c r="AW405" s="99">
        <f t="shared" si="1864"/>
        <v>0.43769470404984423</v>
      </c>
      <c r="AX405" s="99">
        <f t="shared" ref="AX405:BA405" si="1865">AX395/AX383</f>
        <v>0.43557833089311859</v>
      </c>
      <c r="AY405" s="99">
        <f t="shared" si="1865"/>
        <v>0.43345724907063199</v>
      </c>
      <c r="AZ405" s="99">
        <f t="shared" si="1865"/>
        <v>0.41716417910447762</v>
      </c>
      <c r="BA405" s="99">
        <f t="shared" si="1865"/>
        <v>0.35204547761648564</v>
      </c>
      <c r="BB405" s="99">
        <f t="shared" ref="BB405:BE405" si="1866">BB395/BB383</f>
        <v>0.43907817840996805</v>
      </c>
      <c r="BC405" s="99">
        <f t="shared" si="1866"/>
        <v>0.43621318096739237</v>
      </c>
      <c r="BD405" s="99">
        <f t="shared" si="1866"/>
        <v>0.51128793486306434</v>
      </c>
      <c r="BE405" s="99">
        <f t="shared" si="1866"/>
        <v>0.4366499642090193</v>
      </c>
      <c r="BF405" s="99">
        <f t="shared" ref="BF405:BG405" si="1867">BF395/BF383</f>
        <v>0.43782837127845886</v>
      </c>
      <c r="BG405" s="99">
        <f t="shared" si="1867"/>
        <v>0.42757074810871393</v>
      </c>
      <c r="BH405" s="99">
        <f t="shared" ref="BH405:BI405" si="1868">BH395/BH383</f>
        <v>0.42307692307692307</v>
      </c>
      <c r="BI405" s="99">
        <f t="shared" si="1868"/>
        <v>0.42832394976180166</v>
      </c>
      <c r="BJ405" s="44"/>
      <c r="BK405" s="99">
        <f t="shared" ref="BK405:BP405" si="1869">BK395/BK383</f>
        <v>0.47490121469339969</v>
      </c>
      <c r="BL405" s="99">
        <f t="shared" si="1869"/>
        <v>0.46717278222972025</v>
      </c>
      <c r="BM405" s="99">
        <f t="shared" si="1869"/>
        <v>0.44847560975609757</v>
      </c>
      <c r="BN405" s="99">
        <f t="shared" si="1869"/>
        <v>0.44148053605615828</v>
      </c>
      <c r="BO405" s="99">
        <f t="shared" si="1869"/>
        <v>0.45183073229291715</v>
      </c>
      <c r="BP405" s="99">
        <f t="shared" si="1869"/>
        <v>0.45223665223665221</v>
      </c>
      <c r="BQ405" s="99"/>
      <c r="BR405" s="99" t="e">
        <f t="shared" ref="BR405:BX405" si="1870">BR395/BR383</f>
        <v>#REF!</v>
      </c>
      <c r="BS405" s="99">
        <f t="shared" si="1870"/>
        <v>0.45956316410861864</v>
      </c>
      <c r="BT405" s="99">
        <f t="shared" si="1870"/>
        <v>0.46374865735767989</v>
      </c>
      <c r="BU405" s="99">
        <f t="shared" si="1870"/>
        <v>0.44974807743304163</v>
      </c>
      <c r="BV405" s="99">
        <f t="shared" si="1870"/>
        <v>0.42788790157211209</v>
      </c>
      <c r="BW405" s="99"/>
      <c r="BX405" s="99">
        <f t="shared" si="1870"/>
        <v>0.45741795497694604</v>
      </c>
      <c r="BY405" s="99">
        <f t="shared" ref="BY405:CB405" si="1871">BY395/BY383</f>
        <v>0.4426652191613516</v>
      </c>
      <c r="BZ405" s="99">
        <f t="shared" si="1871"/>
        <v>0.44661558109833971</v>
      </c>
      <c r="CA405" s="99">
        <f t="shared" si="1871"/>
        <v>0.42127460168697284</v>
      </c>
      <c r="CB405" s="99">
        <f t="shared" si="1871"/>
        <v>0.42251205611573872</v>
      </c>
      <c r="CC405" s="99">
        <f t="shared" ref="CC405:CF405" si="1872">CC395/CC383</f>
        <v>0.42407234175241659</v>
      </c>
      <c r="CD405" s="99">
        <f t="shared" si="1872"/>
        <v>0.42580449914254009</v>
      </c>
      <c r="CE405" s="99">
        <f t="shared" si="1872"/>
        <v>0.4308417922690454</v>
      </c>
      <c r="CF405" s="99">
        <f t="shared" si="1872"/>
        <v>0.43450064850843062</v>
      </c>
      <c r="CG405" s="99">
        <f t="shared" ref="CG405:CI405" si="1873">CG395/CG383</f>
        <v>0.43267874579581206</v>
      </c>
      <c r="CH405" s="99">
        <f t="shared" si="1873"/>
        <v>0.43134643134643136</v>
      </c>
      <c r="CI405" s="99">
        <f t="shared" si="1873"/>
        <v>0.42763660159232197</v>
      </c>
    </row>
    <row r="406" spans="2:87" ht="13.5" customHeight="1">
      <c r="B406" s="1" t="s">
        <v>430</v>
      </c>
      <c r="C406" s="99">
        <f t="shared" ref="C406:G406" si="1874">C396/C385</f>
        <v>0.42105263157894735</v>
      </c>
      <c r="D406" s="99">
        <f t="shared" si="1874"/>
        <v>0.42063492063492064</v>
      </c>
      <c r="E406" s="99">
        <f t="shared" si="1874"/>
        <v>0.44232904965889258</v>
      </c>
      <c r="F406" s="99">
        <f t="shared" si="1874"/>
        <v>0.37152963876085326</v>
      </c>
      <c r="G406" s="99">
        <f t="shared" si="1874"/>
        <v>0.36298584499882691</v>
      </c>
      <c r="H406" s="99">
        <f t="shared" ref="H406:L406" si="1875">H396/H385</f>
        <v>0.37055484767751651</v>
      </c>
      <c r="I406" s="99">
        <f t="shared" si="1875"/>
        <v>0.3631213655974489</v>
      </c>
      <c r="J406" s="99">
        <f t="shared" si="1875"/>
        <v>0.3631213655974489</v>
      </c>
      <c r="K406" s="99">
        <f t="shared" si="1875"/>
        <v>0.36411468913383727</v>
      </c>
      <c r="L406" s="99">
        <f t="shared" si="1875"/>
        <v>0.3455183506360579</v>
      </c>
      <c r="M406" s="99">
        <f t="shared" ref="M406" si="1876">M396/M385</f>
        <v>0.3455183506360579</v>
      </c>
      <c r="N406" s="99">
        <f t="shared" ref="N406:O406" si="1877">N396/N385</f>
        <v>0.31955988917306055</v>
      </c>
      <c r="O406" s="99">
        <f t="shared" si="1877"/>
        <v>0.31955988917306055</v>
      </c>
      <c r="P406" s="99">
        <f>P396/P385</f>
        <v>0.33042298680478482</v>
      </c>
      <c r="Q406" s="99">
        <f>Q396/Q385</f>
        <v>0.36209040049729152</v>
      </c>
      <c r="R406" s="99">
        <f>R396/R385</f>
        <v>0.35512967130261558</v>
      </c>
      <c r="S406" s="99">
        <f t="shared" ref="S406" si="1878">S396/S385</f>
        <v>0.35361959159838685</v>
      </c>
      <c r="U406" s="99">
        <f t="shared" ref="U406:AA406" si="1879">U396/U385</f>
        <v>0.38914233576642338</v>
      </c>
      <c r="V406" s="99">
        <f t="shared" si="1879"/>
        <v>0.43478260869565216</v>
      </c>
      <c r="W406" s="99">
        <f t="shared" si="1879"/>
        <v>0.45358974358974358</v>
      </c>
      <c r="X406" s="99">
        <f t="shared" si="1879"/>
        <v>0.46401151631477927</v>
      </c>
      <c r="Y406" s="99">
        <f t="shared" si="1879"/>
        <v>0.44001896633475579</v>
      </c>
      <c r="Z406" s="99">
        <f t="shared" si="1879"/>
        <v>0.39826839826839827</v>
      </c>
      <c r="AA406" s="99">
        <f t="shared" si="1879"/>
        <v>0.35679442508710801</v>
      </c>
      <c r="AB406" s="99">
        <f t="shared" ref="AB406:AG406" si="1880">AB396/AB385</f>
        <v>0.31829896907216493</v>
      </c>
      <c r="AC406" s="99">
        <f t="shared" si="1880"/>
        <v>0.37007094538854973</v>
      </c>
      <c r="AD406" s="99">
        <f t="shared" si="1880"/>
        <v>0.36597938144329895</v>
      </c>
      <c r="AE406" s="99">
        <f t="shared" si="1880"/>
        <v>0.35229019366738396</v>
      </c>
      <c r="AF406" s="99">
        <f t="shared" si="1880"/>
        <v>0.36417120164730105</v>
      </c>
      <c r="AG406" s="99">
        <f t="shared" si="1880"/>
        <v>0.36858379715522571</v>
      </c>
      <c r="AH406" s="99">
        <f t="shared" ref="AH406:AM406" si="1881">AH396/AH385</f>
        <v>0.36569189026228521</v>
      </c>
      <c r="AI406" s="99">
        <f t="shared" si="1881"/>
        <v>0.36515762737188107</v>
      </c>
      <c r="AJ406" s="99">
        <f t="shared" si="1881"/>
        <v>0.35349854227405247</v>
      </c>
      <c r="AK406" s="99">
        <f t="shared" si="1881"/>
        <v>0.3707302262031274</v>
      </c>
      <c r="AL406" s="99">
        <f t="shared" si="1881"/>
        <v>0.35212998361551062</v>
      </c>
      <c r="AM406" s="99">
        <f t="shared" si="1881"/>
        <v>0.35611688954928183</v>
      </c>
      <c r="AN406" s="99">
        <f t="shared" ref="AN406:AS406" si="1882">AN396/AN385</f>
        <v>0.37764237751803031</v>
      </c>
      <c r="AO406" s="99">
        <f t="shared" si="1882"/>
        <v>0.35649623868417696</v>
      </c>
      <c r="AP406" s="99">
        <f t="shared" si="1882"/>
        <v>0.33586681143684399</v>
      </c>
      <c r="AQ406" s="99">
        <f t="shared" si="1882"/>
        <v>0.3413594470046083</v>
      </c>
      <c r="AR406" s="99">
        <f t="shared" si="1882"/>
        <v>0.34871576254929126</v>
      </c>
      <c r="AS406" s="99">
        <f t="shared" si="1882"/>
        <v>0.31093818500657605</v>
      </c>
      <c r="AT406" s="99">
        <f t="shared" ref="AT406:AW406" si="1883">AT396/AT385</f>
        <v>0.30956658432517403</v>
      </c>
      <c r="AU406" s="99">
        <f t="shared" si="1883"/>
        <v>0.30193818753273965</v>
      </c>
      <c r="AV406" s="99">
        <f t="shared" si="1883"/>
        <v>0.35327778335508481</v>
      </c>
      <c r="AW406" s="99">
        <f t="shared" si="1883"/>
        <v>0.34783453097688871</v>
      </c>
      <c r="AX406" s="99">
        <f t="shared" ref="AX406:BA406" si="1884">AX396/AX385</f>
        <v>0.3031403336604514</v>
      </c>
      <c r="AY406" s="99">
        <f t="shared" si="1884"/>
        <v>0.34836106908724157</v>
      </c>
      <c r="AZ406" s="99">
        <f t="shared" si="1884"/>
        <v>0.32261881285742455</v>
      </c>
      <c r="BA406" s="99">
        <f t="shared" si="1884"/>
        <v>0.43259987182226017</v>
      </c>
      <c r="BB406" s="99">
        <f t="shared" ref="BB406:BE406" si="1885">BB396/BB385</f>
        <v>0.30734548187112531</v>
      </c>
      <c r="BC406" s="99">
        <f t="shared" si="1885"/>
        <v>0.37035171661210442</v>
      </c>
      <c r="BD406" s="99">
        <f t="shared" si="1885"/>
        <v>0.34870075440067055</v>
      </c>
      <c r="BE406" s="99">
        <f t="shared" si="1885"/>
        <v>0.35405943881786484</v>
      </c>
      <c r="BF406" s="99">
        <f t="shared" ref="BF406:BG406" si="1886">BF396/BF385</f>
        <v>0.35402247525489322</v>
      </c>
      <c r="BG406" s="99">
        <f t="shared" si="1886"/>
        <v>0.35159022896513326</v>
      </c>
      <c r="BH406" s="99">
        <f t="shared" ref="BH406:BI406" si="1887">BH396/BH385</f>
        <v>0.36060437265004874</v>
      </c>
      <c r="BI406" s="99">
        <f t="shared" si="1887"/>
        <v>0.34755759638983452</v>
      </c>
      <c r="BJ406" s="44"/>
      <c r="BK406" s="99">
        <f t="shared" ref="BK406:BP406" si="1888">BK396/BK385</f>
        <v>0.37899917965545526</v>
      </c>
      <c r="BL406" s="99">
        <f t="shared" si="1888"/>
        <v>0.37529766629623751</v>
      </c>
      <c r="BM406" s="99">
        <f t="shared" si="1888"/>
        <v>0.36039453717754172</v>
      </c>
      <c r="BN406" s="99">
        <f t="shared" si="1888"/>
        <v>0.36847433116413592</v>
      </c>
      <c r="BO406" s="99">
        <f t="shared" si="1888"/>
        <v>0.36569189026228521</v>
      </c>
      <c r="BP406" s="99">
        <f t="shared" si="1888"/>
        <v>0.36515762737188107</v>
      </c>
      <c r="BQ406" s="99"/>
      <c r="BR406" s="99" t="e">
        <f t="shared" ref="BR406:BX406" si="1889">BR396/BR385</f>
        <v>#REF!</v>
      </c>
      <c r="BS406" s="99">
        <f t="shared" si="1889"/>
        <v>0.3707302262031274</v>
      </c>
      <c r="BT406" s="99">
        <f t="shared" si="1889"/>
        <v>0.35212998361551062</v>
      </c>
      <c r="BU406" s="99">
        <f t="shared" si="1889"/>
        <v>0.35611688954928183</v>
      </c>
      <c r="BV406" s="99">
        <f t="shared" si="1889"/>
        <v>0.37764237751803031</v>
      </c>
      <c r="BW406" s="99"/>
      <c r="BX406" s="99">
        <f t="shared" si="1889"/>
        <v>0.35649623868417696</v>
      </c>
      <c r="BY406" s="99">
        <f t="shared" ref="BY406:CB406" si="1890">BY396/BY385</f>
        <v>0.33586681143684399</v>
      </c>
      <c r="BZ406" s="99">
        <f t="shared" si="1890"/>
        <v>0.3413594470046083</v>
      </c>
      <c r="CA406" s="99">
        <f t="shared" si="1890"/>
        <v>0.34871576254929126</v>
      </c>
      <c r="CB406" s="99">
        <f t="shared" si="1890"/>
        <v>0.32010373210057502</v>
      </c>
      <c r="CC406" s="99">
        <f t="shared" ref="CC406:CF406" si="1891">CC396/CC385</f>
        <v>0.30990343588591962</v>
      </c>
      <c r="CD406" s="99">
        <f t="shared" si="1891"/>
        <v>0.30193818753273965</v>
      </c>
      <c r="CE406" s="99">
        <f t="shared" si="1891"/>
        <v>0.34397024275646043</v>
      </c>
      <c r="CF406" s="99">
        <f t="shared" si="1891"/>
        <v>0.32465260907589155</v>
      </c>
      <c r="CG406" s="99">
        <f t="shared" ref="CG406:CI406" si="1892">CG396/CG385</f>
        <v>0.3152376286134248</v>
      </c>
      <c r="CH406" s="99">
        <f t="shared" si="1892"/>
        <v>0.34832140336727491</v>
      </c>
      <c r="CI406" s="99">
        <f t="shared" si="1892"/>
        <v>0.33405725567620925</v>
      </c>
    </row>
    <row r="407" spans="2:87" ht="13.5" customHeight="1"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</row>
    <row r="408" spans="2:87" ht="13.5" customHeight="1">
      <c r="B408" s="5" t="s">
        <v>432</v>
      </c>
      <c r="C408" s="99">
        <f t="shared" ref="C408:G408" si="1893">(C398-C400)/(C388-C390)</f>
        <v>0.52795071334193866</v>
      </c>
      <c r="D408" s="99">
        <f t="shared" si="1893"/>
        <v>0.53272017162931251</v>
      </c>
      <c r="E408" s="99">
        <f t="shared" si="1893"/>
        <v>0.53994598498673418</v>
      </c>
      <c r="F408" s="99">
        <f t="shared" si="1893"/>
        <v>0.53362326554614681</v>
      </c>
      <c r="G408" s="99">
        <f t="shared" si="1893"/>
        <v>0.52936799263030609</v>
      </c>
      <c r="H408" s="99">
        <f t="shared" ref="H408:N408" si="1894">(H398-H400)/(H388-H390)</f>
        <v>0.53107513040789367</v>
      </c>
      <c r="I408" s="99">
        <f t="shared" si="1894"/>
        <v>0.52664781902490343</v>
      </c>
      <c r="J408" s="99">
        <f t="shared" si="1894"/>
        <v>0.52664781902490343</v>
      </c>
      <c r="K408" s="99">
        <f t="shared" si="1894"/>
        <v>0.53901891628059395</v>
      </c>
      <c r="L408" s="99">
        <f t="shared" si="1894"/>
        <v>0.53115285262203771</v>
      </c>
      <c r="M408" s="99">
        <f t="shared" ref="M408" si="1895">(M398-M400)/(M388-M390)</f>
        <v>0.53451471687347329</v>
      </c>
      <c r="N408" s="99">
        <f t="shared" si="1894"/>
        <v>0.51511849851840685</v>
      </c>
      <c r="O408" s="99">
        <f t="shared" ref="O408" si="1896">(O398-O400)/(O388-O390)</f>
        <v>0.51511849851840685</v>
      </c>
      <c r="P408" s="99">
        <f>(P398-P400)/(P388-P390)</f>
        <v>0.51393131082409149</v>
      </c>
      <c r="Q408" s="99">
        <f>(Q398-Q400)/(Q388-Q390)</f>
        <v>0.5263529742456311</v>
      </c>
      <c r="R408" s="99">
        <f>(R398-R400)/(R388-R390)</f>
        <v>0.52344805546081286</v>
      </c>
      <c r="S408" s="99">
        <f t="shared" ref="S408" si="1897">(S398-S400)/(S388-S390)</f>
        <v>0.52339254568067239</v>
      </c>
      <c r="U408" s="99">
        <f t="shared" ref="U408:AA408" si="1898">(U398-U400)/(U388-U390)</f>
        <v>0.53680623421323348</v>
      </c>
      <c r="V408" s="99">
        <f t="shared" si="1898"/>
        <v>0.54287204834731762</v>
      </c>
      <c r="W408" s="99">
        <f t="shared" si="1898"/>
        <v>0.54133701198283968</v>
      </c>
      <c r="X408" s="99">
        <f t="shared" si="1898"/>
        <v>0.53863832256313282</v>
      </c>
      <c r="Y408" s="99">
        <f t="shared" si="1898"/>
        <v>0.5366896131564467</v>
      </c>
      <c r="Z408" s="99">
        <f t="shared" si="1898"/>
        <v>0.54071218149957978</v>
      </c>
      <c r="AA408" s="99">
        <f t="shared" si="1898"/>
        <v>0.52992263895043856</v>
      </c>
      <c r="AB408" s="99">
        <f t="shared" ref="AB408:AG408" si="1899">(AB398-AB400)/(AB388-AB390)</f>
        <v>0.52767055209286207</v>
      </c>
      <c r="AC408" s="99">
        <f t="shared" si="1899"/>
        <v>0.52942020884523711</v>
      </c>
      <c r="AD408" s="99">
        <f t="shared" si="1899"/>
        <v>0.53418109824158178</v>
      </c>
      <c r="AE408" s="99">
        <f t="shared" si="1899"/>
        <v>0.52971689495092855</v>
      </c>
      <c r="AF408" s="99">
        <f t="shared" si="1899"/>
        <v>0.52442319385775971</v>
      </c>
      <c r="AG408" s="99">
        <f t="shared" si="1899"/>
        <v>0.52761160616078451</v>
      </c>
      <c r="AH408" s="99">
        <f t="shared" ref="AH408:AM408" si="1900">(AH398-AH400)/(AH388-AH390)</f>
        <v>0.52983020669769987</v>
      </c>
      <c r="AI408" s="99">
        <f t="shared" si="1900"/>
        <v>0.527729443850665</v>
      </c>
      <c r="AJ408" s="99">
        <f t="shared" si="1900"/>
        <v>0.52160805502266083</v>
      </c>
      <c r="AK408" s="99">
        <f t="shared" si="1900"/>
        <v>0.53548694988301992</v>
      </c>
      <c r="AL408" s="99">
        <f t="shared" si="1900"/>
        <v>0.54354065512773575</v>
      </c>
      <c r="AM408" s="99">
        <f t="shared" si="1900"/>
        <v>0.53835013132583209</v>
      </c>
      <c r="AN408" s="99">
        <f t="shared" ref="AN408:AS408" si="1901">(AN398-AN400)/(AN388-AN390)</f>
        <v>0.53818330950846638</v>
      </c>
      <c r="AO408" s="99">
        <f t="shared" si="1901"/>
        <v>0.53761366599172622</v>
      </c>
      <c r="AP408" s="99">
        <f t="shared" si="1901"/>
        <v>0.53741168108388493</v>
      </c>
      <c r="AQ408" s="99">
        <f t="shared" si="1901"/>
        <v>0.52980499188531216</v>
      </c>
      <c r="AR408" s="99">
        <f t="shared" si="1901"/>
        <v>0.53368607495224174</v>
      </c>
      <c r="AS408" s="99">
        <f t="shared" si="1901"/>
        <v>0.51673586857664355</v>
      </c>
      <c r="AT408" s="99">
        <f t="shared" ref="AT408:AW408" si="1902">(AT398-AT400)/(AT388-AT390)</f>
        <v>0.51531537564667274</v>
      </c>
      <c r="AU408" s="99">
        <f t="shared" si="1902"/>
        <v>0.51175374669744289</v>
      </c>
      <c r="AV408" s="99">
        <f t="shared" si="1902"/>
        <v>0.51677728884046148</v>
      </c>
      <c r="AW408" s="99">
        <f t="shared" si="1902"/>
        <v>0.51342307591600833</v>
      </c>
      <c r="AX408" s="99">
        <f t="shared" ref="AX408:BA408" si="1903">(AX398-AX400)/(AX388-AX390)</f>
        <v>0.50947547630155998</v>
      </c>
      <c r="AY408" s="99">
        <f t="shared" si="1903"/>
        <v>0.5163366736539774</v>
      </c>
      <c r="AZ408" s="99">
        <f t="shared" si="1903"/>
        <v>0.51650409925983376</v>
      </c>
      <c r="BA408" s="99">
        <f t="shared" si="1903"/>
        <v>0.52008189479676636</v>
      </c>
      <c r="BB408" s="99">
        <f t="shared" ref="BB408:BE408" si="1904">(BB398-BB400)/(BB388-BB390)</f>
        <v>0.52310922954003425</v>
      </c>
      <c r="BC408" s="99">
        <f t="shared" si="1904"/>
        <v>0.53081126144494772</v>
      </c>
      <c r="BD408" s="99">
        <f t="shared" si="1904"/>
        <v>0.53026587321191498</v>
      </c>
      <c r="BE408" s="99">
        <f t="shared" si="1904"/>
        <v>0.52506926981294233</v>
      </c>
      <c r="BF408" s="99">
        <f t="shared" ref="BF408:BI408" si="1905">(BF398-BF400)/(BF388-BF390)</f>
        <v>0.52766503753600058</v>
      </c>
      <c r="BG408" s="99">
        <f t="shared" si="1905"/>
        <v>0.52309213385092135</v>
      </c>
      <c r="BH408" s="99">
        <f t="shared" si="1905"/>
        <v>0.5180625595177446</v>
      </c>
      <c r="BI408" s="99">
        <f t="shared" si="1905"/>
        <v>0.52488996423460077</v>
      </c>
      <c r="BJ408" s="44"/>
      <c r="BK408" s="99">
        <f t="shared" ref="BK408:BP408" si="1906">(BK398-BK400)/(BK388-BK390)</f>
        <v>0.53152115606681605</v>
      </c>
      <c r="BL408" s="99">
        <f t="shared" si="1906"/>
        <v>0.53504015714752284</v>
      </c>
      <c r="BM408" s="99">
        <f t="shared" si="1906"/>
        <v>0.53144258616720019</v>
      </c>
      <c r="BN408" s="99">
        <f t="shared" si="1906"/>
        <v>0.52657529574813988</v>
      </c>
      <c r="BO408" s="99">
        <f t="shared" si="1906"/>
        <v>0.53053618208091358</v>
      </c>
      <c r="BP408" s="99">
        <f t="shared" si="1906"/>
        <v>0.52805798164664985</v>
      </c>
      <c r="BQ408" s="99">
        <f>SUM(BQ403:BQ407)</f>
        <v>0</v>
      </c>
      <c r="BR408" s="99" t="e">
        <f t="shared" ref="BR408:BX408" si="1907">(BR398-BR400)/(BR388-BR390)</f>
        <v>#REF!</v>
      </c>
      <c r="BS408" s="99">
        <f t="shared" si="1907"/>
        <v>0.53588406559589163</v>
      </c>
      <c r="BT408" s="99">
        <f t="shared" si="1907"/>
        <v>0.54383122525841365</v>
      </c>
      <c r="BU408" s="99">
        <f t="shared" si="1907"/>
        <v>0.53857242121393256</v>
      </c>
      <c r="BV408" s="99">
        <f t="shared" si="1907"/>
        <v>0.53731672097590943</v>
      </c>
      <c r="BW408" s="99"/>
      <c r="BX408" s="99">
        <f t="shared" si="1907"/>
        <v>0.53723270186731642</v>
      </c>
      <c r="BY408" s="99">
        <f t="shared" ref="BY408:CB408" si="1908">(BY398-BY400)/(BY388-BY390)</f>
        <v>0.53930792450170084</v>
      </c>
      <c r="BZ408" s="99">
        <f t="shared" si="1908"/>
        <v>0.53391147254296967</v>
      </c>
      <c r="CA408" s="99">
        <f t="shared" si="1908"/>
        <v>0.52849245901390396</v>
      </c>
      <c r="CB408" s="99">
        <f t="shared" si="1908"/>
        <v>0.51824269425941072</v>
      </c>
      <c r="CC408" s="99">
        <f t="shared" ref="CC408:CF408" si="1909">(CC398-CC400)/(CC388-CC390)</f>
        <v>0.51534736701724626</v>
      </c>
      <c r="CD408" s="99">
        <f t="shared" si="1909"/>
        <v>0.51175818458699784</v>
      </c>
      <c r="CE408" s="99">
        <f t="shared" si="1909"/>
        <v>0.51548700614114884</v>
      </c>
      <c r="CF408" s="99">
        <f t="shared" si="1909"/>
        <v>0.51102401817382248</v>
      </c>
      <c r="CG408" s="99">
        <f t="shared" ref="CG408:CI408" si="1910">(CG398-CG400)/(CG388-CG390)</f>
        <v>0.51066207184502976</v>
      </c>
      <c r="CH408" s="99">
        <f t="shared" si="1910"/>
        <v>0.51647149366523537</v>
      </c>
      <c r="CI408" s="99">
        <f t="shared" si="1910"/>
        <v>0.51750867148342283</v>
      </c>
    </row>
    <row r="409" spans="2:87" ht="13.5" customHeight="1">
      <c r="B409" s="136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  <c r="AG409" s="137"/>
      <c r="AH409" s="137"/>
      <c r="AI409" s="137"/>
      <c r="AJ409" s="137"/>
      <c r="AK409" s="137"/>
      <c r="AL409" s="137"/>
      <c r="AM409" s="137"/>
      <c r="AN409" s="137"/>
      <c r="AO409" s="137"/>
      <c r="AP409" s="137"/>
      <c r="AQ409" s="137"/>
      <c r="AR409" s="137"/>
      <c r="AS409" s="137"/>
      <c r="AT409" s="137"/>
      <c r="AU409" s="137"/>
      <c r="AV409" s="137"/>
      <c r="AW409" s="137"/>
      <c r="AX409" s="137"/>
      <c r="AY409" s="137"/>
      <c r="AZ409" s="137"/>
      <c r="BA409" s="137"/>
      <c r="BB409" s="137"/>
      <c r="BC409" s="137"/>
      <c r="BD409" s="137"/>
      <c r="BE409" s="137"/>
      <c r="BF409" s="137"/>
      <c r="BG409" s="137"/>
      <c r="BH409" s="137"/>
      <c r="BI409" s="137"/>
      <c r="BJ409" s="44"/>
      <c r="BK409" s="137"/>
      <c r="BL409" s="137"/>
      <c r="BM409" s="137"/>
      <c r="BN409" s="137"/>
      <c r="BO409" s="137"/>
      <c r="BP409" s="137"/>
      <c r="BQ409" s="137"/>
      <c r="BR409" s="137"/>
      <c r="BS409" s="137"/>
      <c r="BT409" s="137"/>
      <c r="BU409" s="137"/>
      <c r="BV409" s="137"/>
      <c r="BW409" s="137"/>
      <c r="BX409" s="137"/>
      <c r="BY409" s="137"/>
      <c r="BZ409" s="137"/>
      <c r="CA409" s="137"/>
      <c r="CB409" s="137"/>
      <c r="CC409" s="137"/>
      <c r="CD409" s="137"/>
      <c r="CE409" s="137"/>
      <c r="CF409" s="137"/>
      <c r="CG409" s="137"/>
      <c r="CH409" s="137"/>
      <c r="CI409" s="137"/>
    </row>
    <row r="410" spans="2:87" s="138" customFormat="1" ht="13.5" customHeight="1">
      <c r="B410" s="139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U410" s="140"/>
      <c r="V410" s="140"/>
      <c r="W410" s="140"/>
      <c r="X410" s="140"/>
      <c r="Y410" s="140"/>
      <c r="Z410" s="140"/>
      <c r="AA410" s="140"/>
      <c r="AB410" s="140"/>
      <c r="AC410" s="140"/>
      <c r="AD410" s="140"/>
      <c r="AE410" s="140"/>
      <c r="AF410" s="140"/>
      <c r="AG410" s="140"/>
      <c r="AH410" s="140"/>
      <c r="AI410" s="140"/>
      <c r="AJ410" s="140"/>
      <c r="AK410" s="140"/>
      <c r="AL410" s="140"/>
      <c r="AN410" s="140"/>
      <c r="AO410" s="140"/>
      <c r="AP410" s="140"/>
      <c r="AQ410" s="140"/>
      <c r="AR410" s="140"/>
      <c r="AS410" s="140"/>
      <c r="AT410" s="140"/>
      <c r="AU410" s="140"/>
      <c r="AV410" s="140"/>
      <c r="AW410" s="140"/>
      <c r="AX410" s="140"/>
      <c r="AY410" s="140"/>
      <c r="AZ410" s="140"/>
      <c r="BA410" s="140"/>
      <c r="BB410" s="140"/>
      <c r="BC410" s="140"/>
      <c r="BD410" s="140"/>
      <c r="BE410" s="140"/>
      <c r="BF410" s="140"/>
      <c r="BG410" s="140"/>
      <c r="BH410" s="140"/>
      <c r="BI410" s="140"/>
      <c r="BJ410" s="44"/>
      <c r="BK410" s="140"/>
      <c r="BL410" s="140"/>
      <c r="BM410" s="140"/>
      <c r="BN410" s="140"/>
      <c r="BO410" s="140"/>
      <c r="BP410" s="140"/>
      <c r="BQ410" s="140"/>
      <c r="BR410" s="140"/>
      <c r="BS410" s="140"/>
      <c r="BT410" s="140"/>
      <c r="BU410" s="140"/>
      <c r="BV410" s="140"/>
      <c r="BW410" s="140"/>
      <c r="BX410" s="140"/>
      <c r="BY410" s="140"/>
      <c r="BZ410" s="140"/>
      <c r="CA410" s="140"/>
      <c r="CB410" s="140"/>
      <c r="CC410" s="140"/>
      <c r="CD410" s="140"/>
      <c r="CE410" s="140"/>
      <c r="CF410" s="140"/>
      <c r="CG410" s="140"/>
      <c r="CH410" s="140"/>
      <c r="CI410" s="140"/>
    </row>
    <row r="411" spans="2:87" ht="13.5" customHeight="1"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BJ411" s="44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</row>
    <row r="412" spans="2:87" ht="13.5" customHeight="1">
      <c r="B412" s="372" t="s">
        <v>436</v>
      </c>
      <c r="C412" s="38">
        <f t="shared" ref="C412:R412" si="1911">C3</f>
        <v>41975</v>
      </c>
      <c r="D412" s="38">
        <f t="shared" si="1911"/>
        <v>42341</v>
      </c>
      <c r="E412" s="38">
        <f t="shared" si="1911"/>
        <v>42708</v>
      </c>
      <c r="F412" s="38">
        <f t="shared" si="1911"/>
        <v>43074</v>
      </c>
      <c r="G412" s="38">
        <f t="shared" si="1911"/>
        <v>43439</v>
      </c>
      <c r="H412" s="38">
        <f t="shared" si="1911"/>
        <v>43439</v>
      </c>
      <c r="I412" s="38">
        <f t="shared" si="1911"/>
        <v>43804</v>
      </c>
      <c r="J412" s="38">
        <f t="shared" si="1911"/>
        <v>43804</v>
      </c>
      <c r="K412" s="38">
        <f t="shared" si="1911"/>
        <v>44170</v>
      </c>
      <c r="L412" s="38">
        <f t="shared" si="1911"/>
        <v>44535</v>
      </c>
      <c r="M412" s="38">
        <f t="shared" si="1911"/>
        <v>44535</v>
      </c>
      <c r="N412" s="38">
        <f t="shared" si="1911"/>
        <v>44900</v>
      </c>
      <c r="O412" s="38">
        <f t="shared" si="1911"/>
        <v>44900</v>
      </c>
      <c r="P412" s="38">
        <f t="shared" si="1911"/>
        <v>45265</v>
      </c>
      <c r="Q412" s="38">
        <f t="shared" si="1911"/>
        <v>45631</v>
      </c>
      <c r="R412" s="38">
        <f t="shared" si="1911"/>
        <v>45996</v>
      </c>
      <c r="S412" s="38" t="s">
        <v>277</v>
      </c>
      <c r="U412" s="38">
        <f t="shared" ref="U412:BH412" si="1912">U3</f>
        <v>42437</v>
      </c>
      <c r="V412" s="38">
        <f t="shared" si="1912"/>
        <v>42527</v>
      </c>
      <c r="W412" s="38">
        <f t="shared" si="1912"/>
        <v>42622</v>
      </c>
      <c r="X412" s="38">
        <f t="shared" si="1912"/>
        <v>42714</v>
      </c>
      <c r="Y412" s="38">
        <f t="shared" si="1912"/>
        <v>42801</v>
      </c>
      <c r="Z412" s="38">
        <f t="shared" si="1912"/>
        <v>42892</v>
      </c>
      <c r="AA412" s="38">
        <f t="shared" si="1912"/>
        <v>42987</v>
      </c>
      <c r="AB412" s="38">
        <f t="shared" si="1912"/>
        <v>43100</v>
      </c>
      <c r="AC412" s="38">
        <f t="shared" si="1912"/>
        <v>43190</v>
      </c>
      <c r="AD412" s="38">
        <f t="shared" si="1912"/>
        <v>43281</v>
      </c>
      <c r="AE412" s="38">
        <f t="shared" si="1912"/>
        <v>43373</v>
      </c>
      <c r="AF412" s="38">
        <f t="shared" si="1912"/>
        <v>43465</v>
      </c>
      <c r="AG412" s="38">
        <f t="shared" si="1912"/>
        <v>43555</v>
      </c>
      <c r="AH412" s="38">
        <f t="shared" si="1912"/>
        <v>43646</v>
      </c>
      <c r="AI412" s="38">
        <f t="shared" si="1912"/>
        <v>43738</v>
      </c>
      <c r="AJ412" s="38">
        <f t="shared" si="1912"/>
        <v>43830</v>
      </c>
      <c r="AK412" s="38">
        <f t="shared" si="1912"/>
        <v>43921</v>
      </c>
      <c r="AL412" s="38">
        <f t="shared" si="1912"/>
        <v>44012</v>
      </c>
      <c r="AM412" s="38">
        <f t="shared" si="1912"/>
        <v>44104</v>
      </c>
      <c r="AN412" s="38">
        <f t="shared" si="1912"/>
        <v>44196</v>
      </c>
      <c r="AO412" s="38">
        <f t="shared" si="1912"/>
        <v>44286</v>
      </c>
      <c r="AP412" s="38">
        <f t="shared" si="1912"/>
        <v>44377</v>
      </c>
      <c r="AQ412" s="38">
        <f t="shared" si="1912"/>
        <v>44469</v>
      </c>
      <c r="AR412" s="38">
        <f t="shared" si="1912"/>
        <v>44561</v>
      </c>
      <c r="AS412" s="38">
        <f t="shared" si="1912"/>
        <v>44651</v>
      </c>
      <c r="AT412" s="38">
        <f t="shared" si="1912"/>
        <v>44742</v>
      </c>
      <c r="AU412" s="38">
        <f t="shared" si="1912"/>
        <v>44834</v>
      </c>
      <c r="AV412" s="38">
        <f t="shared" si="1912"/>
        <v>44926</v>
      </c>
      <c r="AW412" s="38">
        <f t="shared" si="1912"/>
        <v>45016</v>
      </c>
      <c r="AX412" s="38">
        <f t="shared" si="1912"/>
        <v>45107</v>
      </c>
      <c r="AY412" s="38">
        <f t="shared" si="1912"/>
        <v>45199</v>
      </c>
      <c r="AZ412" s="38">
        <f t="shared" si="1912"/>
        <v>45291</v>
      </c>
      <c r="BA412" s="197">
        <f t="shared" si="1912"/>
        <v>45382</v>
      </c>
      <c r="BB412" s="197">
        <f t="shared" si="1912"/>
        <v>45473</v>
      </c>
      <c r="BC412" s="197">
        <f t="shared" si="1912"/>
        <v>45565</v>
      </c>
      <c r="BD412" s="197">
        <f t="shared" si="1912"/>
        <v>45657</v>
      </c>
      <c r="BE412" s="197">
        <f t="shared" si="1912"/>
        <v>45747</v>
      </c>
      <c r="BF412" s="197">
        <f t="shared" si="1912"/>
        <v>45838</v>
      </c>
      <c r="BG412" s="197">
        <f t="shared" si="1912"/>
        <v>45930</v>
      </c>
      <c r="BH412" s="197">
        <f t="shared" si="1912"/>
        <v>46022</v>
      </c>
      <c r="BI412" s="197">
        <f t="shared" ref="BI412" si="1913">BI3</f>
        <v>46112</v>
      </c>
      <c r="BJ412" s="44"/>
      <c r="BK412" s="197">
        <f t="shared" ref="BK412:BV412" si="1914">BK3</f>
        <v>43166</v>
      </c>
      <c r="BL412" s="197">
        <f t="shared" si="1914"/>
        <v>43281</v>
      </c>
      <c r="BM412" s="197">
        <f t="shared" si="1914"/>
        <v>43373</v>
      </c>
      <c r="BN412" s="197">
        <f t="shared" si="1914"/>
        <v>43465</v>
      </c>
      <c r="BO412" s="197">
        <f t="shared" si="1914"/>
        <v>43646</v>
      </c>
      <c r="BP412" s="197">
        <f t="shared" si="1914"/>
        <v>43738</v>
      </c>
      <c r="BQ412" s="38">
        <f t="shared" si="1914"/>
        <v>43079</v>
      </c>
      <c r="BR412" s="197">
        <f t="shared" si="1914"/>
        <v>43830</v>
      </c>
      <c r="BS412" s="38">
        <f t="shared" si="1914"/>
        <v>43921</v>
      </c>
      <c r="BT412" s="38">
        <f t="shared" si="1914"/>
        <v>44012</v>
      </c>
      <c r="BU412" s="38">
        <f t="shared" si="1914"/>
        <v>44104</v>
      </c>
      <c r="BV412" s="197">
        <f t="shared" si="1914"/>
        <v>44196</v>
      </c>
      <c r="BW412" s="197"/>
      <c r="BX412" s="38">
        <f t="shared" ref="BX412:CI412" si="1915">BX3</f>
        <v>44286</v>
      </c>
      <c r="BY412" s="38">
        <f t="shared" si="1915"/>
        <v>44377</v>
      </c>
      <c r="BZ412" s="38">
        <f t="shared" si="1915"/>
        <v>44469</v>
      </c>
      <c r="CA412" s="197">
        <f t="shared" si="1915"/>
        <v>44561</v>
      </c>
      <c r="CB412" s="38">
        <f t="shared" si="1915"/>
        <v>44651</v>
      </c>
      <c r="CC412" s="38">
        <f t="shared" si="1915"/>
        <v>44742</v>
      </c>
      <c r="CD412" s="38">
        <f t="shared" si="1915"/>
        <v>44834</v>
      </c>
      <c r="CE412" s="197">
        <f t="shared" si="1915"/>
        <v>44926</v>
      </c>
      <c r="CF412" s="38">
        <f t="shared" si="1915"/>
        <v>45016</v>
      </c>
      <c r="CG412" s="38">
        <f t="shared" si="1915"/>
        <v>45107</v>
      </c>
      <c r="CH412" s="38">
        <f t="shared" si="1915"/>
        <v>45199</v>
      </c>
      <c r="CI412" s="197">
        <f t="shared" si="1915"/>
        <v>45291</v>
      </c>
    </row>
    <row r="413" spans="2:87" ht="13.5" customHeight="1">
      <c r="B413" s="1" t="s">
        <v>427</v>
      </c>
      <c r="C413" s="4">
        <v>392</v>
      </c>
      <c r="D413" s="4">
        <v>5024</v>
      </c>
      <c r="E413" s="4">
        <v>7161</v>
      </c>
      <c r="F413" s="4">
        <v>7701</v>
      </c>
      <c r="G413" s="4">
        <v>5100</v>
      </c>
      <c r="H413" s="4">
        <v>5100</v>
      </c>
      <c r="I413" s="4">
        <v>6094</v>
      </c>
      <c r="J413" s="4">
        <v>6094</v>
      </c>
      <c r="K413" s="4">
        <v>11195</v>
      </c>
      <c r="L413" s="4">
        <v>16076</v>
      </c>
      <c r="M413" s="4">
        <v>15171</v>
      </c>
      <c r="N413" s="4">
        <v>33263</v>
      </c>
      <c r="O413" s="4">
        <v>33263</v>
      </c>
      <c r="P413" s="4">
        <v>11175</v>
      </c>
      <c r="Q413" s="4">
        <v>5920</v>
      </c>
      <c r="R413" s="4">
        <v>6272</v>
      </c>
      <c r="S413" s="95">
        <f>SUM(BF413:BI413)</f>
        <v>6648</v>
      </c>
      <c r="U413" s="4">
        <v>1163</v>
      </c>
      <c r="V413" s="4">
        <v>2063</v>
      </c>
      <c r="W413" s="4">
        <v>2429</v>
      </c>
      <c r="X413" s="6">
        <f>E413-W413-V413-U413</f>
        <v>1506</v>
      </c>
      <c r="Y413" s="4">
        <f>3678-Z413</f>
        <v>1406</v>
      </c>
      <c r="Z413" s="4">
        <v>2272</v>
      </c>
      <c r="AA413" s="4">
        <v>2181</v>
      </c>
      <c r="AB413" s="6">
        <f>+F413-SUM(Y413:AA413)</f>
        <v>1842</v>
      </c>
      <c r="AC413" s="4">
        <v>1210</v>
      </c>
      <c r="AD413" s="4">
        <v>-213</v>
      </c>
      <c r="AE413" s="4">
        <v>1989</v>
      </c>
      <c r="AF413" s="6">
        <f>G413-AE413-AD413-AC413</f>
        <v>2114</v>
      </c>
      <c r="AG413" s="4">
        <v>1661</v>
      </c>
      <c r="AH413" s="4">
        <v>1276</v>
      </c>
      <c r="AI413" s="4">
        <v>1684</v>
      </c>
      <c r="AJ413" s="6">
        <f>I413-AI413-AH413-AG413</f>
        <v>1473</v>
      </c>
      <c r="AK413" s="4">
        <v>-1167</v>
      </c>
      <c r="AL413" s="4">
        <v>4067</v>
      </c>
      <c r="AM413" s="4">
        <v>4651</v>
      </c>
      <c r="AN413" s="6">
        <f>K413-AM413-AL413-AK413</f>
        <v>3644</v>
      </c>
      <c r="AO413" s="4">
        <v>5160</v>
      </c>
      <c r="AP413" s="4">
        <v>2814</v>
      </c>
      <c r="AQ413" s="4">
        <v>3404</v>
      </c>
      <c r="AR413" s="6">
        <f>M413-AQ413-AP413-AO413</f>
        <v>3793</v>
      </c>
      <c r="AS413" s="4">
        <v>4240</v>
      </c>
      <c r="AT413" s="4">
        <v>4801</v>
      </c>
      <c r="AU413" s="4">
        <v>5159</v>
      </c>
      <c r="AV413" s="6">
        <f>N413-AU413-AT413-AS413</f>
        <v>19063</v>
      </c>
      <c r="AW413" s="4">
        <v>2770</v>
      </c>
      <c r="AX413" s="4">
        <v>3306</v>
      </c>
      <c r="AY413" s="4">
        <v>3123</v>
      </c>
      <c r="AZ413" s="6">
        <f>P413-AY413-AX413-AW413</f>
        <v>1976</v>
      </c>
      <c r="BA413" s="4">
        <v>1394</v>
      </c>
      <c r="BB413" s="4">
        <v>1779</v>
      </c>
      <c r="BC413" s="4">
        <v>1774</v>
      </c>
      <c r="BD413" s="6">
        <f>Q413-BC413-BB413-BA413</f>
        <v>973</v>
      </c>
      <c r="BE413" s="4">
        <v>802</v>
      </c>
      <c r="BF413" s="4">
        <v>1608</v>
      </c>
      <c r="BG413" s="4">
        <v>2279</v>
      </c>
      <c r="BH413" s="6">
        <f>R413-SUM(BE413:BG413)</f>
        <v>1583</v>
      </c>
      <c r="BI413" s="4">
        <v>1178</v>
      </c>
      <c r="BJ413" s="44"/>
      <c r="BK413" s="4">
        <v>1223</v>
      </c>
      <c r="BL413" s="4">
        <v>-213</v>
      </c>
      <c r="BM413" s="4">
        <v>1989</v>
      </c>
      <c r="BN413" s="6">
        <f>H413-BM413-BL413-BK413</f>
        <v>2101</v>
      </c>
      <c r="BO413" s="4">
        <v>1276</v>
      </c>
      <c r="BP413" s="4">
        <v>1684</v>
      </c>
      <c r="BQ413" s="6"/>
      <c r="BR413" s="6" t="e">
        <f>#REF!-BQ413-BP413-BO413</f>
        <v>#REF!</v>
      </c>
      <c r="BS413" s="4">
        <v>-1167</v>
      </c>
      <c r="BT413" s="4">
        <v>4067</v>
      </c>
      <c r="BU413" s="4">
        <v>4651</v>
      </c>
      <c r="BV413" s="6">
        <f>K413-BU413-BT413-BS413</f>
        <v>3644</v>
      </c>
      <c r="BW413" s="6"/>
      <c r="BX413" s="4">
        <v>5160</v>
      </c>
      <c r="BY413" s="4">
        <v>2607</v>
      </c>
      <c r="BZ413" s="4">
        <v>3162</v>
      </c>
      <c r="CA413" s="6">
        <f>M413-BZ413-BY413-BX413</f>
        <v>4242</v>
      </c>
      <c r="CB413" s="4">
        <v>3960</v>
      </c>
      <c r="CC413" s="4">
        <v>4801</v>
      </c>
      <c r="CD413" s="4">
        <v>5159</v>
      </c>
      <c r="CE413" s="6">
        <f>O413-CD413-CC413-CB413</f>
        <v>19343</v>
      </c>
      <c r="CF413" s="4">
        <v>2770</v>
      </c>
      <c r="CG413" s="4">
        <v>3306</v>
      </c>
      <c r="CH413" s="4">
        <v>5159</v>
      </c>
      <c r="CI413" s="6">
        <f>P413-CH413-CG413-CF413</f>
        <v>-60</v>
      </c>
    </row>
    <row r="414" spans="2:87" ht="13.5" customHeight="1">
      <c r="B414" s="130"/>
      <c r="C414" s="131">
        <f>C413/(174623*0.07671)-1</f>
        <v>-0.97073607067963963</v>
      </c>
      <c r="D414" s="132">
        <f>+D413/C413-1</f>
        <v>11.816326530612244</v>
      </c>
      <c r="E414" s="132">
        <f>+E413/D413-1</f>
        <v>0.42535828025477707</v>
      </c>
      <c r="F414" s="132">
        <f>+F413/E413-1</f>
        <v>7.5408462505236695E-2</v>
      </c>
      <c r="G414" s="132">
        <f>+G413/F413-1</f>
        <v>-0.33774834437086088</v>
      </c>
      <c r="H414" s="132">
        <f>+H413/F413-1</f>
        <v>-0.33774834437086088</v>
      </c>
      <c r="I414" s="132">
        <f>+I413/H413-1</f>
        <v>0.19490196078431365</v>
      </c>
      <c r="J414" s="137">
        <f>(J413/H413)-1</f>
        <v>0.19490196078431365</v>
      </c>
      <c r="K414" s="132">
        <f>+K413/I413-1</f>
        <v>0.83705283885789306</v>
      </c>
      <c r="L414" s="132">
        <f>+L413/J413-1</f>
        <v>1.6380045946832951</v>
      </c>
      <c r="M414" s="132">
        <f>+M413/K413-1</f>
        <v>0.3551585529254131</v>
      </c>
      <c r="N414" s="132">
        <f>+N413/K413-1</f>
        <v>1.9712371594461815</v>
      </c>
      <c r="O414" s="132">
        <f>+O413/L413-1</f>
        <v>1.0691092311520278</v>
      </c>
      <c r="P414" s="132">
        <f>+P413/O413-1</f>
        <v>-0.6640411267775006</v>
      </c>
      <c r="Q414" s="132">
        <f>+Q413/P413-1</f>
        <v>-0.4702460850111857</v>
      </c>
      <c r="R414" s="132">
        <f>+R413/Q413-1</f>
        <v>5.9459459459459518E-2</v>
      </c>
      <c r="S414" s="177"/>
      <c r="U414" s="132"/>
      <c r="V414" s="132"/>
      <c r="W414" s="132"/>
      <c r="X414" s="132"/>
      <c r="Y414" s="132">
        <f t="shared" ref="Y414:AE414" si="1916">Y413/U413-1</f>
        <v>0.20894239036973339</v>
      </c>
      <c r="Z414" s="132">
        <f t="shared" si="1916"/>
        <v>0.10130877363063506</v>
      </c>
      <c r="AA414" s="132">
        <f t="shared" si="1916"/>
        <v>-0.10209962947715112</v>
      </c>
      <c r="AB414" s="132">
        <f t="shared" si="1916"/>
        <v>0.22310756972111556</v>
      </c>
      <c r="AC414" s="132">
        <f t="shared" si="1916"/>
        <v>-0.13940256045519206</v>
      </c>
      <c r="AD414" s="132">
        <f t="shared" si="1916"/>
        <v>-1.09375</v>
      </c>
      <c r="AE414" s="132">
        <f t="shared" si="1916"/>
        <v>-8.8033012379642339E-2</v>
      </c>
      <c r="AF414" s="132">
        <f>AF413/AB413-1</f>
        <v>0.14766558089033666</v>
      </c>
      <c r="AG414" s="132">
        <f>AG413/BK413-1</f>
        <v>0.35813573180703195</v>
      </c>
      <c r="AH414" s="132">
        <f>AH413/BL413-1</f>
        <v>-6.990610328638498</v>
      </c>
      <c r="AI414" s="132">
        <f>AI413/BM413-1</f>
        <v>-0.15334338863750629</v>
      </c>
      <c r="AJ414" s="132">
        <f>AJ413/BN413-1</f>
        <v>-0.29890528319847687</v>
      </c>
      <c r="AK414" s="132">
        <f>AK413/AG413-1</f>
        <v>-1.7025888019265503</v>
      </c>
      <c r="AL414" s="137">
        <f>AL413/BO413-1</f>
        <v>2.1873040752351098</v>
      </c>
      <c r="AM414" s="137">
        <f>AM413/BP413-1</f>
        <v>1.7618764845605699</v>
      </c>
      <c r="AN414" s="132" t="e">
        <f>AN413/BR413-1</f>
        <v>#REF!</v>
      </c>
      <c r="AO414" s="132">
        <f>AO413/AK413-1</f>
        <v>-5.4215938303341904</v>
      </c>
      <c r="AP414" s="137">
        <f>AP413/BS413-1</f>
        <v>-3.4113110539845759</v>
      </c>
      <c r="AQ414" s="137">
        <f>AQ413/BT413-1</f>
        <v>-0.16301942463732477</v>
      </c>
      <c r="AR414" s="132">
        <f>AR413/AN413-1</f>
        <v>4.0889132821075647E-2</v>
      </c>
      <c r="AS414" s="137">
        <f t="shared" ref="AS414:AZ414" si="1917">AS413/BX413-1</f>
        <v>-0.17829457364341084</v>
      </c>
      <c r="AT414" s="137">
        <f t="shared" si="1917"/>
        <v>0.84158036056770236</v>
      </c>
      <c r="AU414" s="137">
        <f t="shared" si="1917"/>
        <v>0.63156230234029098</v>
      </c>
      <c r="AV414" s="137">
        <f t="shared" si="1917"/>
        <v>3.4938708156529943</v>
      </c>
      <c r="AW414" s="137">
        <f t="shared" si="1917"/>
        <v>-0.3005050505050505</v>
      </c>
      <c r="AX414" s="137">
        <f t="shared" si="1917"/>
        <v>-0.31139345969589671</v>
      </c>
      <c r="AY414" s="137">
        <f t="shared" si="1917"/>
        <v>-0.39465012599340954</v>
      </c>
      <c r="AZ414" s="137">
        <f t="shared" si="1917"/>
        <v>-0.89784418135759703</v>
      </c>
      <c r="BA414" s="137">
        <f>BA413/AW413-1</f>
        <v>-0.49675090252707577</v>
      </c>
      <c r="BB414" s="137">
        <f>BB413/CG413-1</f>
        <v>-0.46188747731397461</v>
      </c>
      <c r="BC414" s="137">
        <f>BC413/CH413-1</f>
        <v>-0.65613490986625322</v>
      </c>
      <c r="BD414" s="137">
        <f>BD413/CI413-1</f>
        <v>-17.216666666666665</v>
      </c>
      <c r="BE414" s="137">
        <f>BE413/BA413-1</f>
        <v>-0.42467718794835008</v>
      </c>
      <c r="BF414" s="137">
        <f>BF413/BB413-1</f>
        <v>-9.6121416526138259E-2</v>
      </c>
      <c r="BG414" s="137">
        <f>BG413/BC413-1</f>
        <v>0.2846674182638107</v>
      </c>
      <c r="BH414" s="137">
        <f>BH413/BD413-1</f>
        <v>0.62692702980472759</v>
      </c>
      <c r="BI414" s="137">
        <f>BI413/BE413-1</f>
        <v>0.4688279301745637</v>
      </c>
      <c r="BJ414" s="44"/>
      <c r="BK414" s="132">
        <f>BK413/Y413-1</f>
        <v>-0.13015647226173543</v>
      </c>
      <c r="BL414" s="132">
        <f>BL413/Z413-1</f>
        <v>-1.09375</v>
      </c>
      <c r="BM414" s="132">
        <f>BM413/AA413-1</f>
        <v>-8.8033012379642339E-2</v>
      </c>
      <c r="BN414" s="132">
        <f>BN413/AB413-1</f>
        <v>0.14060803474484262</v>
      </c>
      <c r="BO414" s="132">
        <f>BO413/AD413-1</f>
        <v>-6.990610328638498</v>
      </c>
      <c r="BP414" s="132">
        <f>BP413/AE413-1</f>
        <v>-0.15334338863750629</v>
      </c>
      <c r="BQ414" s="132"/>
      <c r="BR414" s="132" t="e">
        <f>BR413/AF413-1</f>
        <v>#REF!</v>
      </c>
      <c r="BS414" s="132">
        <f>BS413/BO413-1</f>
        <v>-1.9145768025078369</v>
      </c>
      <c r="BT414" s="137">
        <f>BT413/BO413-1</f>
        <v>2.1873040752351098</v>
      </c>
      <c r="BU414" s="137">
        <f>BU413/BP413-1</f>
        <v>1.7618764845605699</v>
      </c>
      <c r="BV414" s="132">
        <f>BV413/AJ413-1</f>
        <v>1.4738628649015615</v>
      </c>
      <c r="BW414" s="132"/>
      <c r="BX414" s="132">
        <f>BX413/BS413-1</f>
        <v>-5.4215938303341904</v>
      </c>
      <c r="BY414" s="137">
        <f>BY413/BS413-1</f>
        <v>-3.2339331619537277</v>
      </c>
      <c r="BZ414" s="137">
        <f>BZ413/BT413-1</f>
        <v>-0.22252274403737393</v>
      </c>
      <c r="CA414" s="132">
        <f>CA413/BV413-1</f>
        <v>0.1641053787047202</v>
      </c>
      <c r="CB414" s="132">
        <f>CB413/BX413-1</f>
        <v>-0.23255813953488369</v>
      </c>
      <c r="CC414" s="137">
        <f>CC413/BX413-1</f>
        <v>-6.9573643410852704E-2</v>
      </c>
      <c r="CD414" s="137">
        <f>CD413/BY413-1</f>
        <v>0.97890295358649793</v>
      </c>
      <c r="CE414" s="132">
        <f>CE413/BZ413-1</f>
        <v>5.1173308032890574</v>
      </c>
      <c r="CF414" s="132">
        <f>CF413/CA413-1</f>
        <v>-0.34700612918434703</v>
      </c>
      <c r="CG414" s="137">
        <f>CG413/CC413-1</f>
        <v>-0.31139345969589671</v>
      </c>
      <c r="CH414" s="137">
        <f>CH413/CC413-1</f>
        <v>7.4567798375338556E-2</v>
      </c>
      <c r="CI414" s="132">
        <f>CI413/CD413-1</f>
        <v>-1.0116301608838922</v>
      </c>
    </row>
    <row r="415" spans="2:87" ht="13.5" customHeight="1">
      <c r="B415" s="1" t="s">
        <v>428</v>
      </c>
      <c r="C415" s="4">
        <v>10132</v>
      </c>
      <c r="D415" s="4">
        <v>10920</v>
      </c>
      <c r="E415" s="4">
        <v>13141</v>
      </c>
      <c r="F415" s="4">
        <v>13753</v>
      </c>
      <c r="G415" s="4">
        <v>15750</v>
      </c>
      <c r="H415" s="4">
        <v>15750</v>
      </c>
      <c r="I415" s="4">
        <v>15966</v>
      </c>
      <c r="J415" s="4">
        <v>15966</v>
      </c>
      <c r="K415" s="4">
        <v>14976</v>
      </c>
      <c r="L415" s="4">
        <v>18373</v>
      </c>
      <c r="M415" s="4">
        <v>16731</v>
      </c>
      <c r="N415" s="4">
        <v>18824</v>
      </c>
      <c r="O415" s="4">
        <v>18824</v>
      </c>
      <c r="P415" s="4">
        <v>21882</v>
      </c>
      <c r="Q415" s="4">
        <v>23726</v>
      </c>
      <c r="R415" s="4">
        <v>23442</v>
      </c>
      <c r="S415" s="95">
        <f>SUM(BF415:BI415)</f>
        <v>24218</v>
      </c>
      <c r="U415" s="4">
        <v>2655</v>
      </c>
      <c r="V415" s="4">
        <v>3021</v>
      </c>
      <c r="W415" s="4">
        <v>3434</v>
      </c>
      <c r="X415" s="6">
        <f>E415-W415-V415-U415</f>
        <v>4031</v>
      </c>
      <c r="Y415" s="4">
        <f>6141-Z415</f>
        <v>2843</v>
      </c>
      <c r="Z415" s="4">
        <v>3298</v>
      </c>
      <c r="AA415" s="4">
        <v>3732</v>
      </c>
      <c r="AB415" s="6">
        <f>+F415-SUM(Y415:AA415)</f>
        <v>3880</v>
      </c>
      <c r="AC415" s="4">
        <v>3388</v>
      </c>
      <c r="AD415" s="4">
        <v>3777</v>
      </c>
      <c r="AE415" s="4">
        <v>4114</v>
      </c>
      <c r="AF415" s="6">
        <f>G415-AE415-AD415-AC415</f>
        <v>4471</v>
      </c>
      <c r="AG415" s="4">
        <v>3492</v>
      </c>
      <c r="AH415" s="4">
        <v>3514</v>
      </c>
      <c r="AI415" s="4">
        <v>4263</v>
      </c>
      <c r="AJ415" s="6">
        <f>I415-AI415-AH415-AG415</f>
        <v>4697</v>
      </c>
      <c r="AK415" s="4">
        <v>3682</v>
      </c>
      <c r="AL415" s="4">
        <v>3187</v>
      </c>
      <c r="AM415" s="4">
        <v>3683</v>
      </c>
      <c r="AN415" s="6">
        <f>K415-AM415-AL415-AK415</f>
        <v>4424</v>
      </c>
      <c r="AO415" s="4">
        <v>3755</v>
      </c>
      <c r="AP415" s="4">
        <v>4382</v>
      </c>
      <c r="AQ415" s="4">
        <v>4666</v>
      </c>
      <c r="AR415" s="6">
        <f>M415-AQ415-AP415-AO415</f>
        <v>3928</v>
      </c>
      <c r="AS415" s="4">
        <v>4418</v>
      </c>
      <c r="AT415" s="4">
        <v>4782</v>
      </c>
      <c r="AU415" s="4">
        <v>5158</v>
      </c>
      <c r="AV415" s="6">
        <f>N415-AU415-AT415-AS415</f>
        <v>4466</v>
      </c>
      <c r="AW415" s="4">
        <v>4823</v>
      </c>
      <c r="AX415" s="4">
        <v>5276</v>
      </c>
      <c r="AY415" s="4">
        <v>5948</v>
      </c>
      <c r="AZ415" s="6">
        <f>P415-AY415-AX415-AW415</f>
        <v>5835</v>
      </c>
      <c r="BA415" s="4">
        <v>5070</v>
      </c>
      <c r="BB415" s="4">
        <v>5751</v>
      </c>
      <c r="BC415" s="4">
        <v>6652</v>
      </c>
      <c r="BD415" s="6">
        <f>Q415-BC415-BB415-BA415</f>
        <v>6253</v>
      </c>
      <c r="BE415" s="4">
        <v>5268</v>
      </c>
      <c r="BF415" s="4">
        <v>5829</v>
      </c>
      <c r="BG415" s="4">
        <v>5901</v>
      </c>
      <c r="BH415" s="6">
        <f>R415-SUM(BE415:BG415)</f>
        <v>6444</v>
      </c>
      <c r="BI415" s="4">
        <v>6044</v>
      </c>
      <c r="BJ415" s="44"/>
      <c r="BK415" s="4">
        <v>3388</v>
      </c>
      <c r="BL415" s="4">
        <v>3777</v>
      </c>
      <c r="BM415" s="4">
        <v>4114</v>
      </c>
      <c r="BN415" s="6">
        <f>H415-BM415-BL415-BK415</f>
        <v>4471</v>
      </c>
      <c r="BO415" s="4">
        <v>3514</v>
      </c>
      <c r="BP415" s="4">
        <v>4263</v>
      </c>
      <c r="BQ415" s="6"/>
      <c r="BR415" s="6" t="e">
        <f>#REF!-BQ415-BP415-BO415</f>
        <v>#REF!</v>
      </c>
      <c r="BS415" s="4">
        <v>3682</v>
      </c>
      <c r="BT415" s="4">
        <v>3187</v>
      </c>
      <c r="BU415" s="4">
        <v>3683</v>
      </c>
      <c r="BV415" s="6">
        <f>K415-BU415-BT415-BS415</f>
        <v>4424</v>
      </c>
      <c r="BW415" s="6"/>
      <c r="BX415" s="4">
        <v>3603</v>
      </c>
      <c r="BY415" s="4">
        <v>3965</v>
      </c>
      <c r="BZ415" s="4">
        <v>4293</v>
      </c>
      <c r="CA415" s="6">
        <f>M415-BZ415-BY415-BX415</f>
        <v>4870</v>
      </c>
      <c r="CB415" s="4">
        <v>4083</v>
      </c>
      <c r="CC415" s="4">
        <v>4782</v>
      </c>
      <c r="CD415" s="4">
        <v>5158</v>
      </c>
      <c r="CE415" s="6">
        <f>O415-CD415-CC415-CB415</f>
        <v>4801</v>
      </c>
      <c r="CF415" s="4">
        <v>4823</v>
      </c>
      <c r="CG415" s="4">
        <v>4782</v>
      </c>
      <c r="CH415" s="4">
        <v>5158</v>
      </c>
      <c r="CI415" s="6">
        <f>P415-CH415-CG415-CF415</f>
        <v>7119</v>
      </c>
    </row>
    <row r="416" spans="2:87" ht="13.5" customHeight="1">
      <c r="B416" s="130"/>
      <c r="C416" s="131">
        <f>C415/(174623*0.07671)-1</f>
        <v>-0.24361701052578677</v>
      </c>
      <c r="D416" s="132">
        <f>+D415/C415-1</f>
        <v>7.7773391235688827E-2</v>
      </c>
      <c r="E416" s="132">
        <f>+E415/D415-1</f>
        <v>0.20338827838827833</v>
      </c>
      <c r="F416" s="132">
        <f>+F415/E415-1</f>
        <v>4.6571798188874469E-2</v>
      </c>
      <c r="G416" s="132">
        <f>+G415/F415-1</f>
        <v>0.14520468261470221</v>
      </c>
      <c r="H416" s="132">
        <f>+H415/F415-1</f>
        <v>0.14520468261470221</v>
      </c>
      <c r="I416" s="132">
        <f>+I415/H415-1</f>
        <v>1.371428571428579E-2</v>
      </c>
      <c r="J416" s="137">
        <f>(J415/H415)-1</f>
        <v>1.371428571428579E-2</v>
      </c>
      <c r="K416" s="132">
        <f>+K415/I415-1</f>
        <v>-6.200676437429542E-2</v>
      </c>
      <c r="L416" s="132">
        <f>+L415/J415-1</f>
        <v>0.15075786045346362</v>
      </c>
      <c r="M416" s="132">
        <f>+M415/K415-1</f>
        <v>0.1171875</v>
      </c>
      <c r="N416" s="132">
        <f>+N415/K415-1</f>
        <v>0.25694444444444442</v>
      </c>
      <c r="O416" s="132">
        <f>+O415/L415-1</f>
        <v>2.4546889457355947E-2</v>
      </c>
      <c r="P416" s="132">
        <f>+P415/O415-1</f>
        <v>0.16245218869528255</v>
      </c>
      <c r="Q416" s="132">
        <f>+Q415/P415-1</f>
        <v>8.4270176400694563E-2</v>
      </c>
      <c r="R416" s="132">
        <f>+R415/Q415-1</f>
        <v>-1.1969990727471957E-2</v>
      </c>
      <c r="S416" s="177"/>
      <c r="U416" s="132"/>
      <c r="V416" s="132"/>
      <c r="W416" s="132"/>
      <c r="X416" s="132"/>
      <c r="Y416" s="132">
        <f t="shared" ref="Y416:AE416" si="1918">Y415/U415-1</f>
        <v>7.0809792843691044E-2</v>
      </c>
      <c r="Z416" s="132">
        <f t="shared" si="1918"/>
        <v>9.1691492883151371E-2</v>
      </c>
      <c r="AA416" s="132">
        <f t="shared" si="1918"/>
        <v>8.6779266161910229E-2</v>
      </c>
      <c r="AB416" s="132">
        <f t="shared" si="1918"/>
        <v>-3.7459687422475851E-2</v>
      </c>
      <c r="AC416" s="132">
        <f t="shared" si="1918"/>
        <v>0.19169890960253255</v>
      </c>
      <c r="AD416" s="132">
        <f t="shared" si="1918"/>
        <v>0.14523953911461485</v>
      </c>
      <c r="AE416" s="132">
        <f t="shared" si="1918"/>
        <v>0.10235798499464099</v>
      </c>
      <c r="AF416" s="132">
        <f>AF415/AB415-1</f>
        <v>0.15231958762886588</v>
      </c>
      <c r="AG416" s="132">
        <f>AG415/BK415-1</f>
        <v>3.0696576151121535E-2</v>
      </c>
      <c r="AH416" s="132">
        <f>AH415/BL415-1</f>
        <v>-6.9631983055334912E-2</v>
      </c>
      <c r="AI416" s="132">
        <f>AI415/BM415-1</f>
        <v>3.6217792902284884E-2</v>
      </c>
      <c r="AJ416" s="132">
        <f>AJ415/BN415-1</f>
        <v>5.0547975844330129E-2</v>
      </c>
      <c r="AK416" s="132">
        <f>AK415/AG415-1</f>
        <v>5.4410080183276088E-2</v>
      </c>
      <c r="AL416" s="137">
        <f>AL415/BO415-1</f>
        <v>-9.3056346044393834E-2</v>
      </c>
      <c r="AM416" s="137">
        <f>AM415/BP415-1</f>
        <v>-0.13605442176870752</v>
      </c>
      <c r="AN416" s="132" t="e">
        <f>AN415/BR415-1</f>
        <v>#REF!</v>
      </c>
      <c r="AO416" s="132">
        <f>AO415/AK415-1</f>
        <v>1.9826181423139522E-2</v>
      </c>
      <c r="AP416" s="137">
        <f>AP415/BS415-1</f>
        <v>0.19011406844106471</v>
      </c>
      <c r="AQ416" s="137">
        <f>AQ415/BT415-1</f>
        <v>0.46407279573266402</v>
      </c>
      <c r="AR416" s="132">
        <f>AR415/AN415-1</f>
        <v>-0.11211573236889694</v>
      </c>
      <c r="AS416" s="137">
        <f t="shared" ref="AS416:AZ416" si="1919">AS415/BX415-1</f>
        <v>0.22620038856508473</v>
      </c>
      <c r="AT416" s="137">
        <f t="shared" si="1919"/>
        <v>0.20605296343001256</v>
      </c>
      <c r="AU416" s="137">
        <f t="shared" si="1919"/>
        <v>0.2014907989750756</v>
      </c>
      <c r="AV416" s="137">
        <f t="shared" si="1919"/>
        <v>-8.2956878850102722E-2</v>
      </c>
      <c r="AW416" s="137">
        <f t="shared" si="1919"/>
        <v>0.18123928483957874</v>
      </c>
      <c r="AX416" s="137">
        <f t="shared" si="1919"/>
        <v>0.10330405687996658</v>
      </c>
      <c r="AY416" s="137">
        <f t="shared" si="1919"/>
        <v>0.15316013958898789</v>
      </c>
      <c r="AZ416" s="137">
        <f t="shared" si="1919"/>
        <v>0.21537179754217872</v>
      </c>
      <c r="BA416" s="137">
        <f>BA415/AW415-1</f>
        <v>5.1212938005390729E-2</v>
      </c>
      <c r="BB416" s="137">
        <f>BB415/CG415-1</f>
        <v>0.2026348808030114</v>
      </c>
      <c r="BC416" s="137">
        <f>BC415/CH415-1</f>
        <v>0.28964715005816211</v>
      </c>
      <c r="BD416" s="137">
        <f>BD415/CI415-1</f>
        <v>-0.12164629863744914</v>
      </c>
      <c r="BE416" s="137">
        <f>BE415/BA415-1</f>
        <v>3.9053254437869889E-2</v>
      </c>
      <c r="BF416" s="137">
        <f>BF415/BB415-1</f>
        <v>1.3562858633281216E-2</v>
      </c>
      <c r="BG416" s="137">
        <f>BG415/BC415-1</f>
        <v>-0.11289837642814193</v>
      </c>
      <c r="BH416" s="137">
        <f>BH415/BD415-1</f>
        <v>3.0545338237645936E-2</v>
      </c>
      <c r="BI416" s="137">
        <f>BI415/BE415-1</f>
        <v>0.1473044798785117</v>
      </c>
      <c r="BJ416" s="44"/>
      <c r="BK416" s="132">
        <f>BK415/Y415-1</f>
        <v>0.19169890960253255</v>
      </c>
      <c r="BL416" s="132">
        <f>BL415/Z415-1</f>
        <v>0.14523953911461485</v>
      </c>
      <c r="BM416" s="132">
        <f>BM415/AA415-1</f>
        <v>0.10235798499464099</v>
      </c>
      <c r="BN416" s="132">
        <f>BN415/AB415-1</f>
        <v>0.15231958762886588</v>
      </c>
      <c r="BO416" s="132">
        <f>BO415/AD415-1</f>
        <v>-6.9631983055334912E-2</v>
      </c>
      <c r="BP416" s="132">
        <f>BP415/AE415-1</f>
        <v>3.6217792902284884E-2</v>
      </c>
      <c r="BQ416" s="132"/>
      <c r="BR416" s="132" t="e">
        <f>BR415/AF415-1</f>
        <v>#REF!</v>
      </c>
      <c r="BS416" s="132">
        <f>BS415/BO415-1</f>
        <v>4.7808764940239001E-2</v>
      </c>
      <c r="BT416" s="137">
        <f>BT415/BO415-1</f>
        <v>-9.3056346044393834E-2</v>
      </c>
      <c r="BU416" s="137">
        <f>BU415/BP415-1</f>
        <v>-0.13605442176870752</v>
      </c>
      <c r="BV416" s="132">
        <f>BV415/AJ415-1</f>
        <v>-5.8122205663189264E-2</v>
      </c>
      <c r="BW416" s="132"/>
      <c r="BX416" s="132">
        <f>BX415/BS415-1</f>
        <v>-2.1455730581205867E-2</v>
      </c>
      <c r="BY416" s="137">
        <f>BY415/BS415-1</f>
        <v>7.6860401955459068E-2</v>
      </c>
      <c r="BZ416" s="137">
        <f>BZ415/BT415-1</f>
        <v>0.34703482899278315</v>
      </c>
      <c r="CA416" s="132">
        <f>CA415/BV415-1</f>
        <v>0.10081374321880654</v>
      </c>
      <c r="CB416" s="132">
        <f>CB415/BX415-1</f>
        <v>0.13322231473771851</v>
      </c>
      <c r="CC416" s="137">
        <f>CC415/BX415-1</f>
        <v>0.32722731057452115</v>
      </c>
      <c r="CD416" s="137">
        <f>CD415/BY415-1</f>
        <v>0.30088272383354342</v>
      </c>
      <c r="CE416" s="132">
        <f>CE415/BZ415-1</f>
        <v>0.11833216864663409</v>
      </c>
      <c r="CF416" s="132">
        <f>CF415/CA415-1</f>
        <v>-9.650924024640628E-3</v>
      </c>
      <c r="CG416" s="137">
        <f>CG415/CC415-1</f>
        <v>0</v>
      </c>
      <c r="CH416" s="137">
        <f>CH415/CC415-1</f>
        <v>7.8628189042241781E-2</v>
      </c>
      <c r="CI416" s="132">
        <f>CI415/CD415-1</f>
        <v>0.38018611865063989</v>
      </c>
    </row>
    <row r="417" spans="2:87" ht="13.5" customHeight="1">
      <c r="B417" s="1" t="s">
        <v>429</v>
      </c>
      <c r="C417" s="4">
        <v>7</v>
      </c>
      <c r="D417" s="4">
        <v>-1310</v>
      </c>
      <c r="E417" s="4">
        <v>-2453</v>
      </c>
      <c r="F417" s="4">
        <v>-1284</v>
      </c>
      <c r="G417" s="4">
        <v>-529</v>
      </c>
      <c r="H417" s="4">
        <v>-529</v>
      </c>
      <c r="I417" s="4">
        <v>-1337</v>
      </c>
      <c r="J417" s="4">
        <v>-1337</v>
      </c>
      <c r="K417" s="4">
        <v>-402</v>
      </c>
      <c r="L417" s="4">
        <v>345</v>
      </c>
      <c r="M417" s="4">
        <v>78</v>
      </c>
      <c r="N417" s="4">
        <v>1087</v>
      </c>
      <c r="O417" s="4">
        <v>1087</v>
      </c>
      <c r="P417" s="4">
        <v>1294</v>
      </c>
      <c r="Q417" s="4">
        <v>1191</v>
      </c>
      <c r="R417" s="4">
        <v>607</v>
      </c>
      <c r="S417" s="95">
        <f>SUM(BF417:BI417)</f>
        <v>509</v>
      </c>
      <c r="U417" s="4">
        <v>-57</v>
      </c>
      <c r="V417" s="4">
        <v>-334</v>
      </c>
      <c r="W417" s="4">
        <v>-110</v>
      </c>
      <c r="X417" s="6">
        <f>E417-W417-V417-U417</f>
        <v>-1952</v>
      </c>
      <c r="Y417" s="4">
        <f>+-641-Z417</f>
        <v>-243</v>
      </c>
      <c r="Z417" s="4">
        <v>-398</v>
      </c>
      <c r="AA417" s="4">
        <v>-62</v>
      </c>
      <c r="AB417" s="6">
        <f>+F417-SUM(Y417:AA417)</f>
        <v>-581</v>
      </c>
      <c r="AC417" s="4">
        <v>25</v>
      </c>
      <c r="AD417" s="4">
        <v>-124</v>
      </c>
      <c r="AE417" s="4">
        <v>-126</v>
      </c>
      <c r="AF417" s="6">
        <f>G417-AE417-AD417-AC417</f>
        <v>-304</v>
      </c>
      <c r="AG417" s="4">
        <v>-264</v>
      </c>
      <c r="AH417" s="4">
        <v>-259</v>
      </c>
      <c r="AI417" s="4">
        <v>-203</v>
      </c>
      <c r="AJ417" s="6">
        <f>I417-AI417-AH417-AG417</f>
        <v>-611</v>
      </c>
      <c r="AK417" s="4">
        <v>-77</v>
      </c>
      <c r="AL417" s="4">
        <v>117</v>
      </c>
      <c r="AM417" s="4">
        <v>40</v>
      </c>
      <c r="AN417" s="6">
        <f>K417-AM417-AL417-AK417</f>
        <v>-482</v>
      </c>
      <c r="AO417" s="4">
        <v>41</v>
      </c>
      <c r="AP417" s="4">
        <v>76</v>
      </c>
      <c r="AQ417" s="4">
        <v>280</v>
      </c>
      <c r="AR417" s="6">
        <f>M417-AQ417-AP417-AO417</f>
        <v>-319</v>
      </c>
      <c r="AS417" s="4">
        <v>305</v>
      </c>
      <c r="AT417" s="4">
        <v>231</v>
      </c>
      <c r="AU417" s="4">
        <v>338</v>
      </c>
      <c r="AV417" s="6">
        <f>N417-AU417-AT417-AS417</f>
        <v>213</v>
      </c>
      <c r="AW417" s="4">
        <v>476</v>
      </c>
      <c r="AX417" s="4">
        <v>360</v>
      </c>
      <c r="AY417" s="4">
        <v>407</v>
      </c>
      <c r="AZ417" s="6">
        <f>P417-AY417-AX417-AW417</f>
        <v>51</v>
      </c>
      <c r="BA417" s="4">
        <v>365</v>
      </c>
      <c r="BB417" s="4">
        <v>291</v>
      </c>
      <c r="BC417" s="4">
        <v>337</v>
      </c>
      <c r="BD417" s="6">
        <f>Q417-BC417-BB417-BA417</f>
        <v>198</v>
      </c>
      <c r="BE417" s="4">
        <v>326</v>
      </c>
      <c r="BF417" s="4">
        <v>278</v>
      </c>
      <c r="BG417" s="4">
        <v>187</v>
      </c>
      <c r="BH417" s="6">
        <f>R417-SUM(BE417:BG417)</f>
        <v>-184</v>
      </c>
      <c r="BI417" s="4">
        <v>228</v>
      </c>
      <c r="BJ417" s="44"/>
      <c r="BK417" s="4">
        <v>31</v>
      </c>
      <c r="BL417" s="4">
        <v>-124</v>
      </c>
      <c r="BM417" s="4">
        <v>-126</v>
      </c>
      <c r="BN417" s="6">
        <f>H417-BM417-BL417-BK417</f>
        <v>-310</v>
      </c>
      <c r="BO417" s="4">
        <v>-225</v>
      </c>
      <c r="BP417" s="4">
        <v>-186</v>
      </c>
      <c r="BQ417" s="6"/>
      <c r="BR417" s="6" t="e">
        <f>#REF!-BQ417-BP417-BO417</f>
        <v>#REF!</v>
      </c>
      <c r="BS417" s="4">
        <v>-61</v>
      </c>
      <c r="BT417" s="4">
        <v>128</v>
      </c>
      <c r="BU417" s="4">
        <v>54</v>
      </c>
      <c r="BV417" s="6">
        <f>K417-BU417-BT417-BS417</f>
        <v>-523</v>
      </c>
      <c r="BW417" s="6"/>
      <c r="BX417" s="4">
        <v>15</v>
      </c>
      <c r="BY417" s="4">
        <v>-27</v>
      </c>
      <c r="BZ417" s="4">
        <v>208</v>
      </c>
      <c r="CA417" s="6">
        <f>M417-BZ417-BY417-BX417</f>
        <v>-118</v>
      </c>
      <c r="CB417" s="4">
        <v>208</v>
      </c>
      <c r="CC417" s="4">
        <v>232</v>
      </c>
      <c r="CD417" s="4">
        <v>335</v>
      </c>
      <c r="CE417" s="6">
        <f>O417-CD417-CC417-CB417</f>
        <v>312</v>
      </c>
      <c r="CF417" s="4">
        <v>476</v>
      </c>
      <c r="CG417" s="4">
        <v>359</v>
      </c>
      <c r="CH417" s="4">
        <v>335</v>
      </c>
      <c r="CI417" s="6">
        <f>P417-CH417-CG417-CF417</f>
        <v>124</v>
      </c>
    </row>
    <row r="418" spans="2:87" ht="13.5" customHeight="1">
      <c r="B418" s="130"/>
      <c r="C418" s="131">
        <f>C417/(174623*0.07671)-1</f>
        <v>-0.99947742983356502</v>
      </c>
      <c r="D418" s="132">
        <f>+D417/C417-1</f>
        <v>-188.14285714285714</v>
      </c>
      <c r="E418" s="132">
        <f>+E417/D417-1</f>
        <v>0.87251908396946565</v>
      </c>
      <c r="F418" s="132">
        <f>+F417/E417-1</f>
        <v>-0.47655931512433758</v>
      </c>
      <c r="G418" s="132">
        <f>+G417/F417-1</f>
        <v>-0.588006230529595</v>
      </c>
      <c r="H418" s="132">
        <f>+H417/F417-1</f>
        <v>-0.588006230529595</v>
      </c>
      <c r="I418" s="132">
        <f>+I417/H417-1</f>
        <v>1.5274102079395084</v>
      </c>
      <c r="J418" s="137">
        <f>(J417/H417)-1</f>
        <v>1.5274102079395084</v>
      </c>
      <c r="K418" s="132">
        <f>+K417/I417-1</f>
        <v>-0.69932685115931181</v>
      </c>
      <c r="L418" s="132">
        <f>+L417/J417-1</f>
        <v>-1.2580403889304412</v>
      </c>
      <c r="M418" s="132">
        <f>+M417/K417-1</f>
        <v>-1.1940298507462686</v>
      </c>
      <c r="N418" s="132">
        <f>+N417/K417-1</f>
        <v>-3.7039800995024876</v>
      </c>
      <c r="O418" s="132">
        <f>+O417/L417-1</f>
        <v>2.1507246376811593</v>
      </c>
      <c r="P418" s="132">
        <f>+P417/O417-1</f>
        <v>0.19043238270469187</v>
      </c>
      <c r="Q418" s="132">
        <f>+Q417/P417-1</f>
        <v>-7.9598145285935118E-2</v>
      </c>
      <c r="R418" s="132">
        <f>+R417/Q417-1</f>
        <v>-0.49034424853064651</v>
      </c>
      <c r="S418" s="177"/>
      <c r="U418" s="132"/>
      <c r="V418" s="132"/>
      <c r="W418" s="132"/>
      <c r="X418" s="132"/>
      <c r="Y418" s="132">
        <f t="shared" ref="Y418:AE418" si="1920">Y417/U417-1</f>
        <v>3.2631578947368425</v>
      </c>
      <c r="Z418" s="132">
        <f t="shared" si="1920"/>
        <v>0.19161676646706582</v>
      </c>
      <c r="AA418" s="132">
        <f t="shared" si="1920"/>
        <v>-0.4363636363636364</v>
      </c>
      <c r="AB418" s="132">
        <f t="shared" si="1920"/>
        <v>-0.70235655737704916</v>
      </c>
      <c r="AC418" s="132">
        <f t="shared" si="1920"/>
        <v>-1.1028806584362141</v>
      </c>
      <c r="AD418" s="132">
        <f t="shared" si="1920"/>
        <v>-0.68844221105527637</v>
      </c>
      <c r="AE418" s="132">
        <f t="shared" si="1920"/>
        <v>1.032258064516129</v>
      </c>
      <c r="AF418" s="132">
        <f>AF417/AB417-1</f>
        <v>-0.47676419965576589</v>
      </c>
      <c r="AG418" s="132">
        <f>AG417/BK417-1</f>
        <v>-9.5161290322580641</v>
      </c>
      <c r="AH418" s="132">
        <f>AH417/BL417-1</f>
        <v>1.088709677419355</v>
      </c>
      <c r="AI418" s="132">
        <f>AI417/BM417-1</f>
        <v>0.61111111111111116</v>
      </c>
      <c r="AJ418" s="132">
        <f>AJ417/BN417-1</f>
        <v>0.97096774193548385</v>
      </c>
      <c r="AK418" s="132">
        <f>AK417/AG417-1</f>
        <v>-0.70833333333333326</v>
      </c>
      <c r="AL418" s="137">
        <f>AL417/BO417-1</f>
        <v>-1.52</v>
      </c>
      <c r="AM418" s="137">
        <f>AM417/BP417-1</f>
        <v>-1.2150537634408602</v>
      </c>
      <c r="AN418" s="132" t="e">
        <f>AN417/BR417-1</f>
        <v>#REF!</v>
      </c>
      <c r="AO418" s="132">
        <f>AO417/AK417-1</f>
        <v>-1.5324675324675323</v>
      </c>
      <c r="AP418" s="137">
        <f>AP417/BS417-1</f>
        <v>-2.2459016393442623</v>
      </c>
      <c r="AQ418" s="137">
        <f>AQ417/BT417-1</f>
        <v>1.1875</v>
      </c>
      <c r="AR418" s="132">
        <f>AR417/AN417-1</f>
        <v>-0.33817427385892118</v>
      </c>
      <c r="AS418" s="137">
        <f t="shared" ref="AS418:AZ418" si="1921">AS417/BX417-1</f>
        <v>19.333333333333332</v>
      </c>
      <c r="AT418" s="137">
        <f t="shared" si="1921"/>
        <v>-9.5555555555555554</v>
      </c>
      <c r="AU418" s="137">
        <f t="shared" si="1921"/>
        <v>0.625</v>
      </c>
      <c r="AV418" s="137">
        <f t="shared" si="1921"/>
        <v>-2.8050847457627119</v>
      </c>
      <c r="AW418" s="137">
        <f t="shared" si="1921"/>
        <v>1.2884615384615383</v>
      </c>
      <c r="AX418" s="137">
        <f t="shared" si="1921"/>
        <v>0.55172413793103448</v>
      </c>
      <c r="AY418" s="137">
        <f t="shared" si="1921"/>
        <v>0.21492537313432836</v>
      </c>
      <c r="AZ418" s="137">
        <f t="shared" si="1921"/>
        <v>-0.83653846153846156</v>
      </c>
      <c r="BA418" s="137">
        <f>BA417/AW417-1</f>
        <v>-0.23319327731092432</v>
      </c>
      <c r="BB418" s="137">
        <f>BB417/CG417-1</f>
        <v>-0.18941504178272983</v>
      </c>
      <c r="BC418" s="137">
        <f>BC417/CH417-1</f>
        <v>5.9701492537314049E-3</v>
      </c>
      <c r="BD418" s="137">
        <f>BD417/CI417-1</f>
        <v>0.59677419354838701</v>
      </c>
      <c r="BE418" s="137">
        <f>BE417/BA417-1</f>
        <v>-0.10684931506849316</v>
      </c>
      <c r="BF418" s="137">
        <f>BF417/BB417-1</f>
        <v>-4.4673539518900296E-2</v>
      </c>
      <c r="BG418" s="137">
        <f>BG417/BC417-1</f>
        <v>-0.44510385756676563</v>
      </c>
      <c r="BH418" s="137">
        <f>BH417/BD417-1</f>
        <v>-1.9292929292929293</v>
      </c>
      <c r="BI418" s="137">
        <f>BI417/BE417-1</f>
        <v>-0.30061349693251538</v>
      </c>
      <c r="BJ418" s="44"/>
      <c r="BK418" s="132">
        <f>BK417/Y417-1</f>
        <v>-1.1275720164609053</v>
      </c>
      <c r="BL418" s="132">
        <f>BL417/Z417-1</f>
        <v>-0.68844221105527637</v>
      </c>
      <c r="BM418" s="132">
        <f>BM417/AA417-1</f>
        <v>1.032258064516129</v>
      </c>
      <c r="BN418" s="132">
        <f>BN417/AB417-1</f>
        <v>-0.46643717728055079</v>
      </c>
      <c r="BO418" s="132">
        <f>BO417/AD417-1</f>
        <v>0.81451612903225801</v>
      </c>
      <c r="BP418" s="132">
        <f>BP417/AE417-1</f>
        <v>0.47619047619047628</v>
      </c>
      <c r="BQ418" s="132"/>
      <c r="BR418" s="132" t="e">
        <f>BR417/AF417-1</f>
        <v>#REF!</v>
      </c>
      <c r="BS418" s="132">
        <f>BS417/BO417-1</f>
        <v>-0.72888888888888892</v>
      </c>
      <c r="BT418" s="137">
        <f>BT417/BO417-1</f>
        <v>-1.568888888888889</v>
      </c>
      <c r="BU418" s="137">
        <f>BU417/BP417-1</f>
        <v>-1.2903225806451613</v>
      </c>
      <c r="BV418" s="132">
        <f>BV417/AJ417-1</f>
        <v>-0.14402618657937805</v>
      </c>
      <c r="BW418" s="132"/>
      <c r="BX418" s="132">
        <f>BX417/BS417-1</f>
        <v>-1.2459016393442623</v>
      </c>
      <c r="BY418" s="137">
        <f>BY417/BS417-1</f>
        <v>-0.55737704918032782</v>
      </c>
      <c r="BZ418" s="137">
        <f>BZ417/BT417-1</f>
        <v>0.625</v>
      </c>
      <c r="CA418" s="132">
        <f>CA417/BV417-1</f>
        <v>-0.77437858508604207</v>
      </c>
      <c r="CB418" s="132">
        <f>CB417/BX417-1</f>
        <v>12.866666666666667</v>
      </c>
      <c r="CC418" s="137">
        <f>CC417/BX417-1</f>
        <v>14.466666666666667</v>
      </c>
      <c r="CD418" s="137">
        <f>CD417/BY417-1</f>
        <v>-13.407407407407407</v>
      </c>
      <c r="CE418" s="132">
        <f>CE417/BZ417-1</f>
        <v>0.5</v>
      </c>
      <c r="CF418" s="132">
        <f>CF417/CA417-1</f>
        <v>-5.0338983050847457</v>
      </c>
      <c r="CG418" s="137">
        <f>CG417/CC417-1</f>
        <v>0.54741379310344818</v>
      </c>
      <c r="CH418" s="137">
        <f>CH417/CC417-1</f>
        <v>0.44396551724137923</v>
      </c>
      <c r="CI418" s="132">
        <f>CI417/CD417-1</f>
        <v>-0.62985074626865667</v>
      </c>
    </row>
    <row r="419" spans="2:87" ht="13.5" customHeight="1">
      <c r="B419" s="1" t="s">
        <v>430</v>
      </c>
      <c r="C419" s="4">
        <v>-209</v>
      </c>
      <c r="D419" s="4">
        <v>-601</v>
      </c>
      <c r="E419" s="4">
        <v>-351</v>
      </c>
      <c r="F419" s="4">
        <v>-2395</v>
      </c>
      <c r="G419" s="4">
        <v>-1481</v>
      </c>
      <c r="H419" s="4">
        <v>-1481</v>
      </c>
      <c r="I419" s="4">
        <v>136</v>
      </c>
      <c r="J419" s="4">
        <v>136</v>
      </c>
      <c r="K419" s="4">
        <v>168</v>
      </c>
      <c r="L419" s="4">
        <v>292</v>
      </c>
      <c r="M419" s="4">
        <v>292</v>
      </c>
      <c r="N419" s="4">
        <v>-486</v>
      </c>
      <c r="O419" s="4">
        <v>-486</v>
      </c>
      <c r="P419" s="4">
        <v>326</v>
      </c>
      <c r="Q419" s="4">
        <v>1227</v>
      </c>
      <c r="R419" s="4">
        <v>2498</v>
      </c>
      <c r="S419" s="95">
        <f>SUM(BF419:BI419)</f>
        <v>2601</v>
      </c>
      <c r="U419" s="4">
        <v>-97</v>
      </c>
      <c r="V419" s="4">
        <v>-71</v>
      </c>
      <c r="W419" s="4">
        <v>-110</v>
      </c>
      <c r="X419" s="6">
        <f>E419-W419-V419-U419</f>
        <v>-73</v>
      </c>
      <c r="Y419" s="4">
        <f>-889-Z419</f>
        <v>-361</v>
      </c>
      <c r="Z419" s="4">
        <v>-528</v>
      </c>
      <c r="AA419" s="4">
        <v>-868</v>
      </c>
      <c r="AB419" s="6">
        <f>+F419-SUM(Y419:AA419)</f>
        <v>-638</v>
      </c>
      <c r="AC419" s="4">
        <v>-342</v>
      </c>
      <c r="AD419" s="4">
        <v>-456</v>
      </c>
      <c r="AE419" s="4">
        <v>-260</v>
      </c>
      <c r="AF419" s="6">
        <f>G419-AE419-AD419-AC419</f>
        <v>-423</v>
      </c>
      <c r="AG419" s="4">
        <v>-37</v>
      </c>
      <c r="AH419" s="4">
        <v>26</v>
      </c>
      <c r="AI419" s="4">
        <v>13</v>
      </c>
      <c r="AJ419" s="6">
        <f>I419-AI419-AH419-AG419</f>
        <v>134</v>
      </c>
      <c r="AK419" s="4">
        <v>-16</v>
      </c>
      <c r="AL419" s="4">
        <v>-55</v>
      </c>
      <c r="AM419" s="4">
        <v>57</v>
      </c>
      <c r="AN419" s="6">
        <f>K419-AM419-AL419-AK419</f>
        <v>182</v>
      </c>
      <c r="AO419" s="4">
        <v>49</v>
      </c>
      <c r="AP419" s="4">
        <v>58</v>
      </c>
      <c r="AQ419" s="4">
        <v>268</v>
      </c>
      <c r="AR419" s="6">
        <f>M419-AQ419-AP419-AO419</f>
        <v>-83</v>
      </c>
      <c r="AS419" s="4">
        <v>-24</v>
      </c>
      <c r="AT419" s="4">
        <v>150</v>
      </c>
      <c r="AU419" s="4">
        <v>128</v>
      </c>
      <c r="AV419" s="6">
        <f>N419-AU419-AT419-AS419</f>
        <v>-740</v>
      </c>
      <c r="AW419" s="4">
        <v>131</v>
      </c>
      <c r="AX419" s="4">
        <v>43</v>
      </c>
      <c r="AY419" s="4">
        <v>187</v>
      </c>
      <c r="AZ419" s="6">
        <f>P419-AY419-AX419-AW419</f>
        <v>-35</v>
      </c>
      <c r="BA419" s="4">
        <v>24</v>
      </c>
      <c r="BB419" s="4">
        <v>510</v>
      </c>
      <c r="BC419" s="4">
        <v>476</v>
      </c>
      <c r="BD419" s="6">
        <f>Q419-BC419-BB419-BA419</f>
        <v>217</v>
      </c>
      <c r="BE419" s="4">
        <v>227</v>
      </c>
      <c r="BF419" s="4">
        <v>593</v>
      </c>
      <c r="BG419" s="4">
        <v>772</v>
      </c>
      <c r="BH419" s="6">
        <f>R419-SUM(BE419:BG419)</f>
        <v>906</v>
      </c>
      <c r="BI419" s="4">
        <v>330</v>
      </c>
      <c r="BJ419" s="44"/>
      <c r="BK419" s="4">
        <v>-342</v>
      </c>
      <c r="BL419" s="4">
        <v>-456</v>
      </c>
      <c r="BM419" s="4">
        <v>-260</v>
      </c>
      <c r="BN419" s="6">
        <f>H419-BM419-BL419-BK419</f>
        <v>-423</v>
      </c>
      <c r="BO419" s="4">
        <v>26</v>
      </c>
      <c r="BP419" s="4">
        <v>13</v>
      </c>
      <c r="BQ419" s="6"/>
      <c r="BR419" s="6" t="e">
        <f>#REF!-BQ419-BP419-BO419</f>
        <v>#REF!</v>
      </c>
      <c r="BS419" s="4">
        <v>-16</v>
      </c>
      <c r="BT419" s="4">
        <v>-55</v>
      </c>
      <c r="BU419" s="4">
        <v>57</v>
      </c>
      <c r="BV419" s="6">
        <f>K419-BU419-BT419-BS419</f>
        <v>182</v>
      </c>
      <c r="BW419" s="6"/>
      <c r="BX419" s="4">
        <v>49</v>
      </c>
      <c r="BY419" s="4">
        <v>58</v>
      </c>
      <c r="BZ419" s="4">
        <v>268</v>
      </c>
      <c r="CA419" s="6">
        <f>M419-BZ419-BY419-BX419</f>
        <v>-83</v>
      </c>
      <c r="CB419" s="4">
        <v>-24</v>
      </c>
      <c r="CC419" s="4">
        <v>150</v>
      </c>
      <c r="CD419" s="4">
        <v>128</v>
      </c>
      <c r="CE419" s="6">
        <f>O419-CD419-CC419-CB419</f>
        <v>-740</v>
      </c>
      <c r="CF419" s="4">
        <v>133</v>
      </c>
      <c r="CG419" s="4">
        <v>36</v>
      </c>
      <c r="CH419" s="4">
        <v>128</v>
      </c>
      <c r="CI419" s="6">
        <f>P419-CH419-CG419-CF419</f>
        <v>29</v>
      </c>
    </row>
    <row r="420" spans="2:87" ht="13.5" customHeight="1">
      <c r="B420" s="130"/>
      <c r="C420" s="131">
        <f>C419/(174623*0.07671)-1</f>
        <v>-1.015602452112131</v>
      </c>
      <c r="D420" s="132">
        <f>+D419/C419-1</f>
        <v>1.8755980861244019</v>
      </c>
      <c r="E420" s="132">
        <f>+E419/D419-1</f>
        <v>-0.41597337770382692</v>
      </c>
      <c r="F420" s="132">
        <f>+F419/E419-1</f>
        <v>5.8233618233618234</v>
      </c>
      <c r="G420" s="132">
        <f>+G419/F419-1</f>
        <v>-0.38162839248434233</v>
      </c>
      <c r="H420" s="132">
        <f>+H419/F419-1</f>
        <v>-0.38162839248434233</v>
      </c>
      <c r="I420" s="132">
        <f>+I419/H419-1</f>
        <v>-1.0918298446995274</v>
      </c>
      <c r="J420" s="137">
        <f>(J419/H419)-1</f>
        <v>-1.0918298446995274</v>
      </c>
      <c r="K420" s="132">
        <f>+K419/I419-1</f>
        <v>0.23529411764705888</v>
      </c>
      <c r="L420" s="132">
        <f>+L419/J419-1</f>
        <v>1.1470588235294117</v>
      </c>
      <c r="M420" s="132">
        <f>+M419/K419-1</f>
        <v>0.73809523809523814</v>
      </c>
      <c r="N420" s="132">
        <f>+N419/K419-1</f>
        <v>-3.8928571428571428</v>
      </c>
      <c r="O420" s="132">
        <f>+O419/L419-1</f>
        <v>-2.6643835616438354</v>
      </c>
      <c r="P420" s="132">
        <f>+P419/O419-1</f>
        <v>-1.6707818930041154</v>
      </c>
      <c r="Q420" s="132">
        <f>+Q419/P419-1</f>
        <v>2.7638036809815949</v>
      </c>
      <c r="R420" s="132">
        <f>+R419/Q419-1</f>
        <v>1.0358598207008964</v>
      </c>
      <c r="S420" s="132"/>
      <c r="U420" s="132"/>
      <c r="V420" s="132"/>
      <c r="W420" s="132"/>
      <c r="X420" s="132"/>
      <c r="Y420" s="132">
        <f t="shared" ref="Y420:AE420" si="1922">Y419/U419-1</f>
        <v>2.7216494845360826</v>
      </c>
      <c r="Z420" s="132">
        <f t="shared" si="1922"/>
        <v>6.436619718309859</v>
      </c>
      <c r="AA420" s="132">
        <f t="shared" si="1922"/>
        <v>6.8909090909090907</v>
      </c>
      <c r="AB420" s="132">
        <f t="shared" si="1922"/>
        <v>7.7397260273972606</v>
      </c>
      <c r="AC420" s="132">
        <f t="shared" si="1922"/>
        <v>-5.2631578947368474E-2</v>
      </c>
      <c r="AD420" s="132">
        <f t="shared" si="1922"/>
        <v>-0.13636363636363635</v>
      </c>
      <c r="AE420" s="132">
        <f t="shared" si="1922"/>
        <v>-0.70046082949308763</v>
      </c>
      <c r="AF420" s="132">
        <f>AF419/AB419-1</f>
        <v>-0.3369905956112853</v>
      </c>
      <c r="AG420" s="132">
        <f>AG419/BK419-1</f>
        <v>-0.89181286549707606</v>
      </c>
      <c r="AH420" s="132">
        <f>AH419/BL419-1</f>
        <v>-1.0570175438596492</v>
      </c>
      <c r="AI420" s="132">
        <f>AI419/BM419-1</f>
        <v>-1.05</v>
      </c>
      <c r="AJ420" s="132">
        <f>AJ419/BN419-1</f>
        <v>-1.3167848699763594</v>
      </c>
      <c r="AK420" s="132">
        <f>AK419/AG419-1</f>
        <v>-0.56756756756756754</v>
      </c>
      <c r="AL420" s="137">
        <f>AL419/BO419-1</f>
        <v>-3.1153846153846154</v>
      </c>
      <c r="AM420" s="137">
        <f>AM419/BP419-1</f>
        <v>3.384615384615385</v>
      </c>
      <c r="AN420" s="132" t="e">
        <f>AN419/BR419-1</f>
        <v>#REF!</v>
      </c>
      <c r="AO420" s="132">
        <f>AO419/AK419-1</f>
        <v>-4.0625</v>
      </c>
      <c r="AP420" s="137">
        <f>AP419/BS419-1</f>
        <v>-4.625</v>
      </c>
      <c r="AQ420" s="137">
        <f>AQ419/BT419-1</f>
        <v>-5.872727272727273</v>
      </c>
      <c r="AR420" s="132">
        <f>AR419/AN419-1</f>
        <v>-1.456043956043956</v>
      </c>
      <c r="AS420" s="137">
        <f t="shared" ref="AS420:AZ420" si="1923">AS419/BX419-1</f>
        <v>-1.489795918367347</v>
      </c>
      <c r="AT420" s="137">
        <f t="shared" si="1923"/>
        <v>1.5862068965517242</v>
      </c>
      <c r="AU420" s="137">
        <f t="shared" si="1923"/>
        <v>-0.52238805970149249</v>
      </c>
      <c r="AV420" s="137">
        <f t="shared" si="1923"/>
        <v>7.9156626506024104</v>
      </c>
      <c r="AW420" s="137">
        <f t="shared" si="1923"/>
        <v>-6.458333333333333</v>
      </c>
      <c r="AX420" s="137">
        <f t="shared" si="1923"/>
        <v>-0.71333333333333337</v>
      </c>
      <c r="AY420" s="137">
        <f t="shared" si="1923"/>
        <v>0.4609375</v>
      </c>
      <c r="AZ420" s="137">
        <f t="shared" si="1923"/>
        <v>-0.95270270270270274</v>
      </c>
      <c r="BA420" s="137">
        <f>BA419/AW419-1</f>
        <v>-0.81679389312977102</v>
      </c>
      <c r="BB420" s="137">
        <f>BB419/CG419-1</f>
        <v>13.166666666666666</v>
      </c>
      <c r="BC420" s="137">
        <f>BC419/CH419-1</f>
        <v>2.71875</v>
      </c>
      <c r="BD420" s="137">
        <f>BD419/CI419-1</f>
        <v>6.4827586206896548</v>
      </c>
      <c r="BE420" s="137">
        <f>BE419/BA419-1</f>
        <v>8.4583333333333339</v>
      </c>
      <c r="BF420" s="137">
        <f>BF419/BB419-1</f>
        <v>0.16274509803921577</v>
      </c>
      <c r="BG420" s="137">
        <f>BG419/BC419-1</f>
        <v>0.62184873949579833</v>
      </c>
      <c r="BH420" s="137">
        <f>BH419/BD419-1</f>
        <v>3.1751152073732722</v>
      </c>
      <c r="BI420" s="137">
        <f>BI419/BE419-1</f>
        <v>0.45374449339207046</v>
      </c>
      <c r="BJ420" s="44"/>
      <c r="BK420" s="132">
        <f>BK419/Y419-1</f>
        <v>-5.2631578947368474E-2</v>
      </c>
      <c r="BL420" s="132">
        <f>BL419/Z419-1</f>
        <v>-0.13636363636363635</v>
      </c>
      <c r="BM420" s="132">
        <f>BM419/AA419-1</f>
        <v>-0.70046082949308763</v>
      </c>
      <c r="BN420" s="132">
        <f>BN419/AB419-1</f>
        <v>-0.3369905956112853</v>
      </c>
      <c r="BO420" s="132">
        <f>BO419/AD419-1</f>
        <v>-1.0570175438596492</v>
      </c>
      <c r="BP420" s="132">
        <f>BP419/AE419-1</f>
        <v>-1.05</v>
      </c>
      <c r="BQ420" s="132"/>
      <c r="BR420" s="132" t="e">
        <f>BR419/AF419-1</f>
        <v>#REF!</v>
      </c>
      <c r="BS420" s="132">
        <f>BS419/BO419-1</f>
        <v>-1.6153846153846154</v>
      </c>
      <c r="BT420" s="137">
        <f>BT419/BO419-1</f>
        <v>-3.1153846153846154</v>
      </c>
      <c r="BU420" s="137">
        <f>BU419/BP419-1</f>
        <v>3.384615384615385</v>
      </c>
      <c r="BV420" s="132">
        <f>BV419/AJ419-1</f>
        <v>0.35820895522388052</v>
      </c>
      <c r="BW420" s="132"/>
      <c r="BX420" s="132">
        <f>BX419/BS419-1</f>
        <v>-4.0625</v>
      </c>
      <c r="BY420" s="137">
        <f>BY419/BS419-1</f>
        <v>-4.625</v>
      </c>
      <c r="BZ420" s="137">
        <f>BZ419/BT419-1</f>
        <v>-5.872727272727273</v>
      </c>
      <c r="CA420" s="132">
        <f>CA419/BV419-1</f>
        <v>-1.456043956043956</v>
      </c>
      <c r="CB420" s="132">
        <f>CB419/BX419-1</f>
        <v>-1.489795918367347</v>
      </c>
      <c r="CC420" s="137">
        <f>CC419/BX419-1</f>
        <v>2.0612244897959182</v>
      </c>
      <c r="CD420" s="137">
        <f>CD419/BY419-1</f>
        <v>1.2068965517241379</v>
      </c>
      <c r="CE420" s="132">
        <f>CE419/BZ419-1</f>
        <v>-3.7611940298507465</v>
      </c>
      <c r="CF420" s="132">
        <f>CF419/CA419-1</f>
        <v>-2.6024096385542168</v>
      </c>
      <c r="CG420" s="137">
        <f>CG419/CC419-1</f>
        <v>-0.76</v>
      </c>
      <c r="CH420" s="137">
        <f>CH419/CC419-1</f>
        <v>-0.14666666666666661</v>
      </c>
      <c r="CI420" s="132">
        <f>CI419/CD419-1</f>
        <v>-0.7734375</v>
      </c>
    </row>
    <row r="421" spans="2:87" ht="13.5" customHeight="1">
      <c r="B421" s="5"/>
      <c r="C421" s="5"/>
      <c r="D421" s="5"/>
      <c r="E421" s="5"/>
      <c r="F421" s="132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44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</row>
    <row r="422" spans="2:87" ht="13.5" customHeight="1"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44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</row>
    <row r="423" spans="2:87" ht="13.5" customHeight="1">
      <c r="B423" s="372" t="s">
        <v>437</v>
      </c>
      <c r="C423" s="38">
        <f t="shared" ref="C423:R423" si="1924">C3</f>
        <v>41975</v>
      </c>
      <c r="D423" s="38">
        <f t="shared" si="1924"/>
        <v>42341</v>
      </c>
      <c r="E423" s="38">
        <f t="shared" si="1924"/>
        <v>42708</v>
      </c>
      <c r="F423" s="38">
        <f t="shared" si="1924"/>
        <v>43074</v>
      </c>
      <c r="G423" s="38">
        <f t="shared" si="1924"/>
        <v>43439</v>
      </c>
      <c r="H423" s="38">
        <f t="shared" si="1924"/>
        <v>43439</v>
      </c>
      <c r="I423" s="38">
        <f t="shared" si="1924"/>
        <v>43804</v>
      </c>
      <c r="J423" s="38">
        <f t="shared" si="1924"/>
        <v>43804</v>
      </c>
      <c r="K423" s="38">
        <f t="shared" si="1924"/>
        <v>44170</v>
      </c>
      <c r="L423" s="38">
        <f t="shared" si="1924"/>
        <v>44535</v>
      </c>
      <c r="M423" s="38">
        <f t="shared" si="1924"/>
        <v>44535</v>
      </c>
      <c r="N423" s="38">
        <f t="shared" si="1924"/>
        <v>44900</v>
      </c>
      <c r="O423" s="38">
        <f t="shared" si="1924"/>
        <v>44900</v>
      </c>
      <c r="P423" s="38">
        <f t="shared" si="1924"/>
        <v>45265</v>
      </c>
      <c r="Q423" s="38">
        <f t="shared" si="1924"/>
        <v>45631</v>
      </c>
      <c r="R423" s="38">
        <f t="shared" si="1924"/>
        <v>45996</v>
      </c>
      <c r="S423" s="38" t="s">
        <v>277</v>
      </c>
      <c r="U423" s="38">
        <f t="shared" ref="U423:BH423" si="1925">U3</f>
        <v>42437</v>
      </c>
      <c r="V423" s="38">
        <f t="shared" si="1925"/>
        <v>42527</v>
      </c>
      <c r="W423" s="38">
        <f t="shared" si="1925"/>
        <v>42622</v>
      </c>
      <c r="X423" s="38">
        <f t="shared" si="1925"/>
        <v>42714</v>
      </c>
      <c r="Y423" s="38">
        <f t="shared" si="1925"/>
        <v>42801</v>
      </c>
      <c r="Z423" s="38">
        <f t="shared" si="1925"/>
        <v>42892</v>
      </c>
      <c r="AA423" s="38">
        <f t="shared" si="1925"/>
        <v>42987</v>
      </c>
      <c r="AB423" s="38">
        <f t="shared" si="1925"/>
        <v>43100</v>
      </c>
      <c r="AC423" s="38">
        <f t="shared" si="1925"/>
        <v>43190</v>
      </c>
      <c r="AD423" s="38">
        <f t="shared" si="1925"/>
        <v>43281</v>
      </c>
      <c r="AE423" s="38">
        <f t="shared" si="1925"/>
        <v>43373</v>
      </c>
      <c r="AF423" s="38">
        <f t="shared" si="1925"/>
        <v>43465</v>
      </c>
      <c r="AG423" s="38">
        <f t="shared" si="1925"/>
        <v>43555</v>
      </c>
      <c r="AH423" s="38">
        <f t="shared" si="1925"/>
        <v>43646</v>
      </c>
      <c r="AI423" s="38">
        <f t="shared" si="1925"/>
        <v>43738</v>
      </c>
      <c r="AJ423" s="38">
        <f t="shared" si="1925"/>
        <v>43830</v>
      </c>
      <c r="AK423" s="38">
        <f t="shared" si="1925"/>
        <v>43921</v>
      </c>
      <c r="AL423" s="38">
        <f t="shared" si="1925"/>
        <v>44012</v>
      </c>
      <c r="AM423" s="38">
        <f t="shared" si="1925"/>
        <v>44104</v>
      </c>
      <c r="AN423" s="38">
        <f t="shared" si="1925"/>
        <v>44196</v>
      </c>
      <c r="AO423" s="38">
        <f t="shared" si="1925"/>
        <v>44286</v>
      </c>
      <c r="AP423" s="38">
        <f t="shared" si="1925"/>
        <v>44377</v>
      </c>
      <c r="AQ423" s="38">
        <f t="shared" si="1925"/>
        <v>44469</v>
      </c>
      <c r="AR423" s="38">
        <f t="shared" si="1925"/>
        <v>44561</v>
      </c>
      <c r="AS423" s="38">
        <f t="shared" si="1925"/>
        <v>44651</v>
      </c>
      <c r="AT423" s="38">
        <f t="shared" si="1925"/>
        <v>44742</v>
      </c>
      <c r="AU423" s="38">
        <f t="shared" si="1925"/>
        <v>44834</v>
      </c>
      <c r="AV423" s="38">
        <f t="shared" si="1925"/>
        <v>44926</v>
      </c>
      <c r="AW423" s="38">
        <f t="shared" si="1925"/>
        <v>45016</v>
      </c>
      <c r="AX423" s="38">
        <f t="shared" si="1925"/>
        <v>45107</v>
      </c>
      <c r="AY423" s="38">
        <f t="shared" si="1925"/>
        <v>45199</v>
      </c>
      <c r="AZ423" s="38">
        <f t="shared" si="1925"/>
        <v>45291</v>
      </c>
      <c r="BA423" s="197">
        <f t="shared" si="1925"/>
        <v>45382</v>
      </c>
      <c r="BB423" s="197">
        <f t="shared" si="1925"/>
        <v>45473</v>
      </c>
      <c r="BC423" s="197">
        <f t="shared" si="1925"/>
        <v>45565</v>
      </c>
      <c r="BD423" s="197">
        <f t="shared" si="1925"/>
        <v>45657</v>
      </c>
      <c r="BE423" s="197">
        <f t="shared" si="1925"/>
        <v>45747</v>
      </c>
      <c r="BF423" s="197">
        <f t="shared" si="1925"/>
        <v>45838</v>
      </c>
      <c r="BG423" s="197">
        <f t="shared" si="1925"/>
        <v>45930</v>
      </c>
      <c r="BH423" s="197">
        <f t="shared" si="1925"/>
        <v>46022</v>
      </c>
      <c r="BI423" s="197">
        <f t="shared" ref="BI423" si="1926">BI3</f>
        <v>46112</v>
      </c>
      <c r="BJ423" s="44"/>
      <c r="BK423" s="197">
        <f t="shared" ref="BK423:BV423" si="1927">BK3</f>
        <v>43166</v>
      </c>
      <c r="BL423" s="197">
        <f t="shared" si="1927"/>
        <v>43281</v>
      </c>
      <c r="BM423" s="197">
        <f t="shared" si="1927"/>
        <v>43373</v>
      </c>
      <c r="BN423" s="197">
        <f t="shared" si="1927"/>
        <v>43465</v>
      </c>
      <c r="BO423" s="197">
        <f t="shared" si="1927"/>
        <v>43646</v>
      </c>
      <c r="BP423" s="197">
        <f t="shared" si="1927"/>
        <v>43738</v>
      </c>
      <c r="BQ423" s="38">
        <f t="shared" si="1927"/>
        <v>43079</v>
      </c>
      <c r="BR423" s="197">
        <f t="shared" si="1927"/>
        <v>43830</v>
      </c>
      <c r="BS423" s="38">
        <f t="shared" si="1927"/>
        <v>43921</v>
      </c>
      <c r="BT423" s="38">
        <f t="shared" si="1927"/>
        <v>44012</v>
      </c>
      <c r="BU423" s="38">
        <f t="shared" si="1927"/>
        <v>44104</v>
      </c>
      <c r="BV423" s="197">
        <f t="shared" si="1927"/>
        <v>44196</v>
      </c>
      <c r="BW423" s="197"/>
      <c r="BX423" s="38">
        <f t="shared" ref="BX423:CI423" si="1928">BX3</f>
        <v>44286</v>
      </c>
      <c r="BY423" s="38">
        <f t="shared" si="1928"/>
        <v>44377</v>
      </c>
      <c r="BZ423" s="38">
        <f t="shared" si="1928"/>
        <v>44469</v>
      </c>
      <c r="CA423" s="197">
        <f t="shared" si="1928"/>
        <v>44561</v>
      </c>
      <c r="CB423" s="38">
        <f t="shared" si="1928"/>
        <v>44651</v>
      </c>
      <c r="CC423" s="38">
        <f t="shared" si="1928"/>
        <v>44742</v>
      </c>
      <c r="CD423" s="38">
        <f t="shared" si="1928"/>
        <v>44834</v>
      </c>
      <c r="CE423" s="197">
        <f t="shared" si="1928"/>
        <v>44926</v>
      </c>
      <c r="CF423" s="38">
        <f t="shared" si="1928"/>
        <v>45016</v>
      </c>
      <c r="CG423" s="38">
        <f t="shared" si="1928"/>
        <v>45107</v>
      </c>
      <c r="CH423" s="38">
        <f t="shared" si="1928"/>
        <v>45199</v>
      </c>
      <c r="CI423" s="197">
        <f t="shared" si="1928"/>
        <v>45291</v>
      </c>
    </row>
    <row r="424" spans="2:87" ht="13.5" customHeight="1">
      <c r="B424" s="1" t="s">
        <v>427</v>
      </c>
      <c r="C424" s="99">
        <f t="shared" ref="C424:G424" si="1929">C413/C379</f>
        <v>4.3374827109266944E-3</v>
      </c>
      <c r="D424" s="99">
        <f t="shared" si="1929"/>
        <v>4.3161882834044964E-2</v>
      </c>
      <c r="E424" s="99">
        <f t="shared" si="1929"/>
        <v>5.295853393384066E-2</v>
      </c>
      <c r="F424" s="99">
        <f t="shared" si="1929"/>
        <v>5.5941363629759849E-2</v>
      </c>
      <c r="G424" s="99">
        <f t="shared" si="1929"/>
        <v>3.5454090428785938E-2</v>
      </c>
      <c r="H424" s="99">
        <f t="shared" ref="H424:N424" si="1930">H413/H379</f>
        <v>3.5424538786396974E-2</v>
      </c>
      <c r="I424" s="99">
        <f t="shared" si="1930"/>
        <v>4.2317975070310057E-2</v>
      </c>
      <c r="J424" s="99">
        <f t="shared" si="1930"/>
        <v>4.2317975070310057E-2</v>
      </c>
      <c r="K424" s="99">
        <f t="shared" si="1930"/>
        <v>6.3465517730094387E-2</v>
      </c>
      <c r="L424" s="99">
        <f t="shared" si="1930"/>
        <v>9.1198411572826543E-2</v>
      </c>
      <c r="M424" s="99">
        <f t="shared" ref="M424" si="1931">M413/M379</f>
        <v>8.6509018127491177E-2</v>
      </c>
      <c r="N424" s="99">
        <f t="shared" si="1930"/>
        <v>0.16172681038925679</v>
      </c>
      <c r="O424" s="99">
        <f t="shared" ref="O424" si="1932">O413/O379</f>
        <v>0.16172681038925679</v>
      </c>
      <c r="P424" s="99">
        <f>P413/P379</f>
        <v>5.8041696531521705E-2</v>
      </c>
      <c r="Q424" s="99">
        <f>Q413/Q379</f>
        <v>3.1268156129509325E-2</v>
      </c>
      <c r="R424" s="99">
        <f>R413/R379</f>
        <v>3.297390792330622E-2</v>
      </c>
      <c r="S424" s="99">
        <f t="shared" ref="S424" si="1933">S413/S379</f>
        <v>3.6098260246302208E-2</v>
      </c>
      <c r="U424" s="99">
        <f t="shared" ref="U424:AA424" si="1934">U413/U379</f>
        <v>3.8534177131307773E-2</v>
      </c>
      <c r="V424" s="99">
        <f t="shared" si="1934"/>
        <v>6.1375063219587661E-2</v>
      </c>
      <c r="W424" s="99">
        <f t="shared" si="1934"/>
        <v>7.0487521764364486E-2</v>
      </c>
      <c r="X424" s="99">
        <f t="shared" si="1934"/>
        <v>4.0741241715135941E-2</v>
      </c>
      <c r="Y424" s="99">
        <f t="shared" si="1934"/>
        <v>4.1350508793600374E-2</v>
      </c>
      <c r="Z424" s="99">
        <f t="shared" si="1934"/>
        <v>6.6424979534557366E-2</v>
      </c>
      <c r="AA424" s="99">
        <f t="shared" si="1934"/>
        <v>6.5770031060583212E-2</v>
      </c>
      <c r="AB424" s="99">
        <f t="shared" ref="AB424:AG424" si="1935">AB413/AB379</f>
        <v>5.0750792120126738E-2</v>
      </c>
      <c r="AC424" s="99">
        <f t="shared" si="1935"/>
        <v>3.7832598567989241E-2</v>
      </c>
      <c r="AD424" s="99">
        <f t="shared" si="1935"/>
        <v>-5.7718884643524915E-3</v>
      </c>
      <c r="AE424" s="99">
        <f t="shared" si="1935"/>
        <v>5.4803956685862285E-2</v>
      </c>
      <c r="AF424" s="99">
        <f t="shared" si="1935"/>
        <v>5.4669114794796865E-2</v>
      </c>
      <c r="AG424" s="99">
        <f t="shared" si="1935"/>
        <v>5.0593968930855923E-2</v>
      </c>
      <c r="AH424" s="99">
        <f t="shared" ref="AH424:AM424" si="1936">AH413/AH379</f>
        <v>3.5214571546846971E-2</v>
      </c>
      <c r="AI424" s="99">
        <f t="shared" si="1936"/>
        <v>4.4824190156778194E-2</v>
      </c>
      <c r="AJ424" s="99">
        <f t="shared" si="1936"/>
        <v>3.9415589628321424E-2</v>
      </c>
      <c r="AK424" s="99">
        <f t="shared" si="1936"/>
        <v>-3.2369910129812496E-2</v>
      </c>
      <c r="AL424" s="99">
        <f t="shared" si="1936"/>
        <v>8.2307941390755285E-2</v>
      </c>
      <c r="AM424" s="99">
        <f t="shared" si="1936"/>
        <v>0.10025867643888769</v>
      </c>
      <c r="AN424" s="99">
        <f t="shared" ref="AN424:AS424" si="1937">AN413/AN379</f>
        <v>8.1812262858938958E-2</v>
      </c>
      <c r="AO424" s="99">
        <f t="shared" si="1937"/>
        <v>0.13243333418884584</v>
      </c>
      <c r="AP424" s="99">
        <f t="shared" si="1937"/>
        <v>6.5833801235261086E-2</v>
      </c>
      <c r="AQ424" s="99">
        <f t="shared" si="1937"/>
        <v>7.688832670762559E-2</v>
      </c>
      <c r="AR424" s="99">
        <f t="shared" si="1937"/>
        <v>7.6796922453938044E-2</v>
      </c>
      <c r="AS424" s="99">
        <f t="shared" si="1937"/>
        <v>9.3027337750669181E-2</v>
      </c>
      <c r="AT424" s="99">
        <f t="shared" ref="AT424:AW424" si="1938">AT413/AT379</f>
        <v>9.7084041090350237E-2</v>
      </c>
      <c r="AU424" s="99">
        <f t="shared" si="1938"/>
        <v>9.7422339722405812E-2</v>
      </c>
      <c r="AV424" s="99">
        <f t="shared" si="1938"/>
        <v>0.33044427880531818</v>
      </c>
      <c r="AW424" s="99">
        <f t="shared" si="1938"/>
        <v>5.862930195148796E-2</v>
      </c>
      <c r="AX424" s="99">
        <f t="shared" ref="AX424:BA424" si="1939">AX413/AX379</f>
        <v>6.8086333305873631E-2</v>
      </c>
      <c r="AY424" s="99">
        <f t="shared" si="1939"/>
        <v>6.6116227373769446E-2</v>
      </c>
      <c r="AZ424" s="99">
        <f t="shared" si="1939"/>
        <v>3.9921611410792576E-2</v>
      </c>
      <c r="BA424" s="99">
        <f t="shared" si="1939"/>
        <v>3.3986736883167543E-2</v>
      </c>
      <c r="BB424" s="99">
        <f t="shared" ref="BB424:BE424" si="1940">BB413/BB379</f>
        <v>3.9210068105177319E-2</v>
      </c>
      <c r="BC424" s="99">
        <f t="shared" si="1940"/>
        <v>3.5529741638293609E-2</v>
      </c>
      <c r="BD424" s="99">
        <f t="shared" si="1940"/>
        <v>1.8353988644294796E-2</v>
      </c>
      <c r="BE424" s="99">
        <f t="shared" si="1940"/>
        <v>1.721768999570631E-2</v>
      </c>
      <c r="BF424" s="99">
        <f t="shared" ref="BF424:BG424" si="1941">BF413/BF379</f>
        <v>3.2733490758081588E-2</v>
      </c>
      <c r="BG424" s="99">
        <f t="shared" si="1941"/>
        <v>4.8009269012007583E-2</v>
      </c>
      <c r="BH424" s="99">
        <f t="shared" ref="BH424:BI424" si="1942">BH413/BH379</f>
        <v>3.3654357208155281E-2</v>
      </c>
      <c r="BI424" s="99">
        <f t="shared" si="1942"/>
        <v>2.906273900278785E-2</v>
      </c>
      <c r="BJ424" s="44"/>
      <c r="BK424" s="99">
        <f t="shared" ref="BK424:BP424" si="1943">BK413/BK379</f>
        <v>3.8167462472302842E-2</v>
      </c>
      <c r="BL424" s="99">
        <f t="shared" si="1943"/>
        <v>-5.7692307692307696E-3</v>
      </c>
      <c r="BM424" s="99">
        <f t="shared" si="1943"/>
        <v>5.4752663308283094E-2</v>
      </c>
      <c r="BN424" s="99">
        <f t="shared" si="1943"/>
        <v>5.4320285433579814E-2</v>
      </c>
      <c r="BO424" s="99">
        <f t="shared" si="1943"/>
        <v>3.5214571546846971E-2</v>
      </c>
      <c r="BP424" s="99">
        <f t="shared" si="1943"/>
        <v>4.4824190156778194E-2</v>
      </c>
      <c r="BQ424" s="99"/>
      <c r="BR424" s="99" t="e">
        <f t="shared" ref="BR424:BX424" si="1944">BR413/BR379</f>
        <v>#REF!</v>
      </c>
      <c r="BS424" s="99">
        <f t="shared" si="1944"/>
        <v>-3.2369910129812496E-2</v>
      </c>
      <c r="BT424" s="99">
        <f t="shared" si="1944"/>
        <v>8.2307941390755285E-2</v>
      </c>
      <c r="BU424" s="99">
        <f t="shared" si="1944"/>
        <v>0.10025867643888769</v>
      </c>
      <c r="BV424" s="99">
        <f t="shared" si="1944"/>
        <v>8.1812262858938958E-2</v>
      </c>
      <c r="BW424" s="99"/>
      <c r="BX424" s="99">
        <f t="shared" si="1944"/>
        <v>0.13243333418884584</v>
      </c>
      <c r="BY424" s="99">
        <f t="shared" ref="BY424:CB424" si="1945">BY413/BY379</f>
        <v>6.128637923738775E-2</v>
      </c>
      <c r="BZ424" s="99">
        <f t="shared" si="1945"/>
        <v>7.1817934041973286E-2</v>
      </c>
      <c r="CA424" s="99">
        <f t="shared" si="1945"/>
        <v>8.5112359550561803E-2</v>
      </c>
      <c r="CB424" s="99">
        <f t="shared" si="1945"/>
        <v>8.742107819329771E-2</v>
      </c>
      <c r="CC424" s="99">
        <f t="shared" ref="CC424:CF424" si="1946">CC413/CC379</f>
        <v>9.7084041090350237E-2</v>
      </c>
      <c r="CD424" s="99">
        <f t="shared" si="1946"/>
        <v>9.7422339722405812E-2</v>
      </c>
      <c r="CE424" s="99">
        <f t="shared" si="1946"/>
        <v>0.33367834532249996</v>
      </c>
      <c r="CF424" s="99">
        <f t="shared" si="1946"/>
        <v>5.862930195148796E-2</v>
      </c>
      <c r="CG424" s="99">
        <f t="shared" ref="CG424:CI424" si="1947">CG413/CG379</f>
        <v>6.8086333305873631E-2</v>
      </c>
      <c r="CH424" s="99">
        <f t="shared" si="1947"/>
        <v>0.10921985815602837</v>
      </c>
      <c r="CI424" s="99">
        <f t="shared" si="1947"/>
        <v>-1.2121946784653616E-3</v>
      </c>
    </row>
    <row r="425" spans="2:87" ht="13.5" customHeight="1">
      <c r="B425" s="1" t="s">
        <v>428</v>
      </c>
      <c r="C425" s="99">
        <f t="shared" ref="C425:G425" si="1948">C415/C381</f>
        <v>0.14053289318556944</v>
      </c>
      <c r="D425" s="99">
        <f t="shared" si="1948"/>
        <v>0.14312864538960612</v>
      </c>
      <c r="E425" s="99">
        <f t="shared" si="1948"/>
        <v>0.16132834080166963</v>
      </c>
      <c r="F425" s="99">
        <f t="shared" si="1948"/>
        <v>0.15219051202319431</v>
      </c>
      <c r="G425" s="99">
        <f t="shared" si="1948"/>
        <v>0.15772238856788071</v>
      </c>
      <c r="H425" s="99">
        <f t="shared" ref="H425:N425" si="1949">H415/H381</f>
        <v>0.15698665364258874</v>
      </c>
      <c r="I425" s="99">
        <f t="shared" si="1949"/>
        <v>0.15548067933935805</v>
      </c>
      <c r="J425" s="99">
        <f t="shared" si="1949"/>
        <v>0.15548067933935805</v>
      </c>
      <c r="K425" s="99">
        <f t="shared" si="1949"/>
        <v>0.14318357825093458</v>
      </c>
      <c r="L425" s="99">
        <f t="shared" si="1949"/>
        <v>0.15483604554150057</v>
      </c>
      <c r="M425" s="99">
        <f t="shared" ref="M425" si="1950">M415/M381</f>
        <v>0.15337018397821961</v>
      </c>
      <c r="N425" s="99">
        <f t="shared" si="1949"/>
        <v>0.14435472120612572</v>
      </c>
      <c r="O425" s="99">
        <f t="shared" ref="O425" si="1951">O415/O381</f>
        <v>0.14435472120612572</v>
      </c>
      <c r="P425" s="99">
        <f>P415/P381</f>
        <v>0.15050864245083811</v>
      </c>
      <c r="Q425" s="99">
        <f>Q415/Q381</f>
        <v>0.15695535974173744</v>
      </c>
      <c r="R425" s="99">
        <f>R415/R381</f>
        <v>0.15142530473034513</v>
      </c>
      <c r="S425" s="99">
        <f t="shared" ref="S425" si="1952">S415/S381</f>
        <v>0.15473079601576825</v>
      </c>
      <c r="U425" s="99">
        <f t="shared" ref="U425:AA425" si="1953">U415/U381</f>
        <v>0.13426042983565106</v>
      </c>
      <c r="V425" s="99">
        <f t="shared" si="1953"/>
        <v>0.15310156091627813</v>
      </c>
      <c r="W425" s="99">
        <f t="shared" si="1953"/>
        <v>0.16700710047660733</v>
      </c>
      <c r="X425" s="99">
        <f t="shared" si="1953"/>
        <v>0.18848779575423175</v>
      </c>
      <c r="Y425" s="99">
        <f t="shared" si="1953"/>
        <v>0.12874156591042885</v>
      </c>
      <c r="Z425" s="99">
        <f t="shared" si="1953"/>
        <v>0.14958951331246881</v>
      </c>
      <c r="AA425" s="99">
        <f t="shared" si="1953"/>
        <v>0.16173347778981581</v>
      </c>
      <c r="AB425" s="99">
        <f t="shared" ref="AB425:AG425" si="1954">AB415/AB381</f>
        <v>0.16751575857007167</v>
      </c>
      <c r="AC425" s="99">
        <f t="shared" si="1954"/>
        <v>0.13841000081706023</v>
      </c>
      <c r="AD425" s="99">
        <f t="shared" si="1954"/>
        <v>0.1516380279428296</v>
      </c>
      <c r="AE425" s="99">
        <f t="shared" si="1954"/>
        <v>0.16313097267932908</v>
      </c>
      <c r="AF425" s="99">
        <f t="shared" si="1954"/>
        <v>0.17704126079036983</v>
      </c>
      <c r="AG425" s="99">
        <f t="shared" si="1954"/>
        <v>0.13630508606893321</v>
      </c>
      <c r="AH425" s="99">
        <f t="shared" ref="AH425:AM425" si="1955">AH415/AH381</f>
        <v>0.14102821366938234</v>
      </c>
      <c r="AI425" s="99">
        <f t="shared" si="1955"/>
        <v>0.16484281350295812</v>
      </c>
      <c r="AJ425" s="99">
        <f t="shared" si="1955"/>
        <v>0.17865429234338748</v>
      </c>
      <c r="AK425" s="99">
        <f t="shared" si="1955"/>
        <v>0.13528806584362141</v>
      </c>
      <c r="AL425" s="99">
        <f t="shared" si="1955"/>
        <v>0.12945812007474206</v>
      </c>
      <c r="AM425" s="99">
        <f t="shared" si="1955"/>
        <v>0.14133312866955755</v>
      </c>
      <c r="AN425" s="99">
        <f t="shared" ref="AN425:AS425" si="1956">AN415/AN381</f>
        <v>0.16569288389513109</v>
      </c>
      <c r="AO425" s="99">
        <f t="shared" si="1956"/>
        <v>0.13575069592567152</v>
      </c>
      <c r="AP425" s="99">
        <f t="shared" si="1956"/>
        <v>0.15520844401940992</v>
      </c>
      <c r="AQ425" s="99">
        <f t="shared" si="1956"/>
        <v>0.15383093762363181</v>
      </c>
      <c r="AR425" s="99">
        <f t="shared" si="1956"/>
        <v>0.17180597471897827</v>
      </c>
      <c r="AS425" s="99">
        <f t="shared" si="1956"/>
        <v>0.1337045667766244</v>
      </c>
      <c r="AT425" s="99">
        <f t="shared" ref="AT425:AW425" si="1957">AT415/AT381</f>
        <v>0.15052883404683959</v>
      </c>
      <c r="AU425" s="99">
        <f t="shared" si="1957"/>
        <v>0.15368571598832012</v>
      </c>
      <c r="AV425" s="99">
        <f t="shared" si="1957"/>
        <v>0.13944048957162483</v>
      </c>
      <c r="AW425" s="99">
        <f t="shared" si="1957"/>
        <v>0.13307030129124819</v>
      </c>
      <c r="AX425" s="99">
        <f t="shared" ref="AX425:BA425" si="1958">AX415/AX381</f>
        <v>0.14744431713383449</v>
      </c>
      <c r="AY425" s="99">
        <f t="shared" si="1958"/>
        <v>0.16351890034364261</v>
      </c>
      <c r="AZ425" s="99">
        <f t="shared" si="1958"/>
        <v>0.15776666216033527</v>
      </c>
      <c r="BA425" s="99">
        <f t="shared" si="1958"/>
        <v>0.13561226127427378</v>
      </c>
      <c r="BB425" s="99">
        <f t="shared" ref="BB425:BE425" si="1959">BB415/BB381</f>
        <v>0.15389761567074314</v>
      </c>
      <c r="BC425" s="99">
        <f t="shared" si="1959"/>
        <v>0.17147423504240455</v>
      </c>
      <c r="BD425" s="99">
        <f t="shared" si="1959"/>
        <v>0.1662324542747767</v>
      </c>
      <c r="BE425" s="99">
        <f t="shared" si="1959"/>
        <v>0.13856594244831397</v>
      </c>
      <c r="BF425" s="99">
        <f t="shared" ref="BF425:BG425" si="1960">BF415/BF381</f>
        <v>0.15150097465886939</v>
      </c>
      <c r="BG425" s="99">
        <f t="shared" si="1960"/>
        <v>0.15170835797105175</v>
      </c>
      <c r="BH425" s="99">
        <f t="shared" ref="BH425:BI425" si="1961">BH415/BH381</f>
        <v>0.16347446662776832</v>
      </c>
      <c r="BI425" s="99">
        <f t="shared" si="1961"/>
        <v>0.15214217389115442</v>
      </c>
      <c r="BJ425" s="44"/>
      <c r="BK425" s="99">
        <f t="shared" ref="BK425:BP425" si="1962">BK415/BK381</f>
        <v>0.13770678372556192</v>
      </c>
      <c r="BL425" s="99">
        <f t="shared" si="1962"/>
        <v>0.15094716649348575</v>
      </c>
      <c r="BM425" s="99">
        <f t="shared" si="1962"/>
        <v>0.16244817374136228</v>
      </c>
      <c r="BN425" s="99">
        <f t="shared" si="1962"/>
        <v>0.17618315797769635</v>
      </c>
      <c r="BO425" s="99">
        <f t="shared" si="1962"/>
        <v>0.14102821366938234</v>
      </c>
      <c r="BP425" s="99">
        <f t="shared" si="1962"/>
        <v>0.16484281350295812</v>
      </c>
      <c r="BQ425" s="99"/>
      <c r="BR425" s="99" t="e">
        <f t="shared" ref="BR425:BX425" si="1963">BR415/BR381</f>
        <v>#REF!</v>
      </c>
      <c r="BS425" s="99">
        <f t="shared" si="1963"/>
        <v>0.13528806584362141</v>
      </c>
      <c r="BT425" s="99">
        <f t="shared" si="1963"/>
        <v>0.12945812007474206</v>
      </c>
      <c r="BU425" s="99">
        <f t="shared" si="1963"/>
        <v>0.14133312866955755</v>
      </c>
      <c r="BV425" s="99">
        <f t="shared" si="1963"/>
        <v>0.16569288389513109</v>
      </c>
      <c r="BW425" s="99"/>
      <c r="BX425" s="99">
        <f t="shared" si="1963"/>
        <v>0.13025559451935939</v>
      </c>
      <c r="BY425" s="99">
        <f t="shared" ref="BY425:CB425" si="1964">BY415/BY381</f>
        <v>0.15180519928021746</v>
      </c>
      <c r="BZ425" s="99">
        <f t="shared" si="1964"/>
        <v>0.15405318118204328</v>
      </c>
      <c r="CA425" s="99">
        <f t="shared" si="1964"/>
        <v>0.17746519932949492</v>
      </c>
      <c r="CB425" s="99">
        <f t="shared" si="1964"/>
        <v>0.13496182196806927</v>
      </c>
      <c r="CC425" s="99">
        <f t="shared" ref="CC425:CF425" si="1965">CC415/CC381</f>
        <v>0.15052883404683959</v>
      </c>
      <c r="CD425" s="99">
        <f t="shared" si="1965"/>
        <v>0.15368571598832012</v>
      </c>
      <c r="CE425" s="99">
        <f t="shared" si="1965"/>
        <v>0.13788844850364754</v>
      </c>
      <c r="CF425" s="99">
        <f t="shared" si="1965"/>
        <v>0.13307030129124819</v>
      </c>
      <c r="CG425" s="99">
        <f t="shared" ref="CG425:CI425" si="1966">CG415/CG381</f>
        <v>0.13363887879719419</v>
      </c>
      <c r="CH425" s="99">
        <f t="shared" si="1966"/>
        <v>0.14180068728522338</v>
      </c>
      <c r="CI425" s="99">
        <f t="shared" si="1966"/>
        <v>0.19248343923212113</v>
      </c>
    </row>
    <row r="426" spans="2:87" ht="13.5" customHeight="1">
      <c r="B426" s="1" t="s">
        <v>429</v>
      </c>
      <c r="C426" s="99">
        <f t="shared" ref="C426:G426" si="1967">C417/C383</f>
        <v>3.1918289179699969E-4</v>
      </c>
      <c r="D426" s="99">
        <f t="shared" si="1967"/>
        <v>-5.3971654581410677E-2</v>
      </c>
      <c r="E426" s="99">
        <f t="shared" si="1967"/>
        <v>-8.429553264604811E-2</v>
      </c>
      <c r="F426" s="99">
        <f t="shared" si="1967"/>
        <v>-4.4891965596811412E-2</v>
      </c>
      <c r="G426" s="99">
        <f t="shared" si="1967"/>
        <v>-1.8764188422247446E-2</v>
      </c>
      <c r="H426" s="99">
        <f t="shared" ref="H426:N426" si="1968">H417/H383</f>
        <v>-1.8665537560424827E-2</v>
      </c>
      <c r="I426" s="99">
        <f t="shared" si="1968"/>
        <v>-4.9255820807544946E-2</v>
      </c>
      <c r="J426" s="99">
        <f t="shared" si="1968"/>
        <v>-4.9255820807544946E-2</v>
      </c>
      <c r="K426" s="99">
        <f t="shared" si="1968"/>
        <v>-1.3823458615590936E-2</v>
      </c>
      <c r="L426" s="99">
        <f t="shared" si="1968"/>
        <v>1.0995665476797553E-2</v>
      </c>
      <c r="M426" s="99">
        <f t="shared" ref="M426" si="1969">M417/M383</f>
        <v>2.5073129962390303E-3</v>
      </c>
      <c r="N426" s="99">
        <f t="shared" si="1968"/>
        <v>2.8299185129259847E-2</v>
      </c>
      <c r="O426" s="99">
        <f t="shared" ref="O426" si="1970">O417/O383</f>
        <v>2.8299185129259847E-2</v>
      </c>
      <c r="P426" s="99">
        <f>P417/P383</f>
        <v>3.530984800938685E-2</v>
      </c>
      <c r="Q426" s="99">
        <f>Q417/Q383</f>
        <v>2.9865342661551192E-2</v>
      </c>
      <c r="R426" s="99">
        <f>R417/R383</f>
        <v>1.3757932910244786E-2</v>
      </c>
      <c r="S426" s="99">
        <f t="shared" ref="S426" si="1971">S417/S383</f>
        <v>1.1441030367057025E-2</v>
      </c>
      <c r="U426" s="99">
        <f t="shared" ref="U426:AA426" si="1972">U417/U383</f>
        <v>-8.7840961627369402E-3</v>
      </c>
      <c r="V426" s="99">
        <f t="shared" si="1972"/>
        <v>-4.866676380591578E-2</v>
      </c>
      <c r="W426" s="99">
        <f t="shared" si="1972"/>
        <v>-1.4233954451345756E-2</v>
      </c>
      <c r="X426" s="99">
        <f t="shared" si="1972"/>
        <v>-0.24339152119700749</v>
      </c>
      <c r="Y426" s="99">
        <f t="shared" si="1972"/>
        <v>-3.1546150850318061E-2</v>
      </c>
      <c r="Z426" s="99">
        <f t="shared" si="1972"/>
        <v>-5.7933042212518195E-2</v>
      </c>
      <c r="AA426" s="99">
        <f t="shared" si="1972"/>
        <v>-9.2001780679626059E-3</v>
      </c>
      <c r="AB426" s="99">
        <f t="shared" ref="AB426:AG426" si="1973">AB417/AB383</f>
        <v>-7.9698216735253777E-2</v>
      </c>
      <c r="AC426" s="99">
        <f t="shared" si="1973"/>
        <v>3.5425818336403572E-3</v>
      </c>
      <c r="AD426" s="99">
        <f t="shared" si="1973"/>
        <v>-1.7831463905665805E-2</v>
      </c>
      <c r="AE426" s="99">
        <f t="shared" si="1973"/>
        <v>-1.9319227230910764E-2</v>
      </c>
      <c r="AF426" s="99">
        <f t="shared" si="1973"/>
        <v>-3.9691865778822298E-2</v>
      </c>
      <c r="AG426" s="99">
        <f t="shared" si="1973"/>
        <v>-3.9244834250037164E-2</v>
      </c>
      <c r="AH426" s="99">
        <f t="shared" ref="AH426:AM426" si="1974">AH417/AH383</f>
        <v>-3.7558004640371227E-2</v>
      </c>
      <c r="AI426" s="99">
        <f t="shared" si="1974"/>
        <v>-2.8818852924474732E-2</v>
      </c>
      <c r="AJ426" s="99">
        <f t="shared" si="1974"/>
        <v>-9.4333796510730275E-2</v>
      </c>
      <c r="AK426" s="99">
        <f t="shared" si="1974"/>
        <v>-1.1109508007502525E-2</v>
      </c>
      <c r="AL426" s="99">
        <f t="shared" si="1974"/>
        <v>1.5492584745762712E-2</v>
      </c>
      <c r="AM426" s="99">
        <f t="shared" si="1974"/>
        <v>5.243838489774515E-3</v>
      </c>
      <c r="AN426" s="99">
        <f t="shared" ref="AN426:AS426" si="1975">AN417/AN383</f>
        <v>-6.915351506456241E-2</v>
      </c>
      <c r="AO426" s="99">
        <f t="shared" si="1975"/>
        <v>5.6755260243632338E-3</v>
      </c>
      <c r="AP426" s="99">
        <f t="shared" si="1975"/>
        <v>1.0379677683692979E-2</v>
      </c>
      <c r="AQ426" s="99">
        <f t="shared" si="1975"/>
        <v>3.5791895692189699E-2</v>
      </c>
      <c r="AR426" s="99">
        <f t="shared" si="1975"/>
        <v>-3.6498855835240276E-2</v>
      </c>
      <c r="AS426" s="99">
        <f t="shared" si="1975"/>
        <v>3.4127783372496362E-2</v>
      </c>
      <c r="AT426" s="99">
        <f t="shared" ref="AT426:AW426" si="1976">AT417/AT383</f>
        <v>2.3960170106835391E-2</v>
      </c>
      <c r="AU426" s="99">
        <f t="shared" si="1976"/>
        <v>3.3772981614708236E-2</v>
      </c>
      <c r="AV426" s="99">
        <f t="shared" si="1976"/>
        <v>2.1679389312977099E-2</v>
      </c>
      <c r="AW426" s="99">
        <f t="shared" si="1976"/>
        <v>4.9428868120456902E-2</v>
      </c>
      <c r="AX426" s="99">
        <f t="shared" ref="AX426:BA426" si="1977">AX417/AX383</f>
        <v>3.7649027400125497E-2</v>
      </c>
      <c r="AY426" s="99">
        <f t="shared" si="1977"/>
        <v>4.3228890069038767E-2</v>
      </c>
      <c r="AZ426" s="99">
        <f t="shared" si="1977"/>
        <v>6.3432835820895518E-3</v>
      </c>
      <c r="BA426" s="99">
        <f t="shared" si="1977"/>
        <v>3.7052075931377527E-2</v>
      </c>
      <c r="BB426" s="99">
        <f t="shared" ref="BB426:BE426" si="1978">BB417/BB383</f>
        <v>3.2087330466424084E-2</v>
      </c>
      <c r="BC426" s="99">
        <f t="shared" si="1978"/>
        <v>3.3198699635503891E-2</v>
      </c>
      <c r="BD426" s="99">
        <f t="shared" si="1978"/>
        <v>1.831976313841599E-2</v>
      </c>
      <c r="BE426" s="99">
        <f t="shared" si="1978"/>
        <v>2.9169649248389405E-2</v>
      </c>
      <c r="BF426" s="99">
        <f t="shared" ref="BF426:BG426" si="1979">BF417/BF383</f>
        <v>2.5624481519034011E-2</v>
      </c>
      <c r="BG426" s="99">
        <f t="shared" si="1979"/>
        <v>1.7465209675912953E-2</v>
      </c>
      <c r="BH426" s="99">
        <f t="shared" ref="BH426:BI426" si="1980">BH417/BH383</f>
        <v>-1.6157358623112048E-2</v>
      </c>
      <c r="BI426" s="99">
        <f t="shared" si="1980"/>
        <v>1.974880900822867E-2</v>
      </c>
      <c r="BJ426" s="44"/>
      <c r="BK426" s="99">
        <f t="shared" ref="BK426:BP426" si="1981">BK417/BK383</f>
        <v>4.5368066734962683E-3</v>
      </c>
      <c r="BL426" s="99">
        <f t="shared" si="1981"/>
        <v>-1.7432869394067203E-2</v>
      </c>
      <c r="BM426" s="99">
        <f t="shared" si="1981"/>
        <v>-1.9207317073170731E-2</v>
      </c>
      <c r="BN426" s="99">
        <f t="shared" si="1981"/>
        <v>-3.9566049776643269E-2</v>
      </c>
      <c r="BO426" s="99">
        <f t="shared" si="1981"/>
        <v>-3.3763505402160866E-2</v>
      </c>
      <c r="BP426" s="99">
        <f t="shared" si="1981"/>
        <v>-2.6839826839826841E-2</v>
      </c>
      <c r="BQ426" s="99"/>
      <c r="BR426" s="99" t="e">
        <f t="shared" ref="BR426:BX426" si="1982">BR417/BR383</f>
        <v>#REF!</v>
      </c>
      <c r="BS426" s="99">
        <f t="shared" si="1982"/>
        <v>-9.0023612750885478E-3</v>
      </c>
      <c r="BT426" s="99">
        <f t="shared" si="1982"/>
        <v>1.7185821697099892E-2</v>
      </c>
      <c r="BU426" s="99">
        <f t="shared" si="1982"/>
        <v>7.1599045346062056E-3</v>
      </c>
      <c r="BV426" s="99">
        <f t="shared" si="1982"/>
        <v>-7.1496924128503073E-2</v>
      </c>
      <c r="BW426" s="99"/>
      <c r="BX426" s="99">
        <f t="shared" si="1982"/>
        <v>2.0341741253051262E-3</v>
      </c>
      <c r="BY426" s="99">
        <f t="shared" ref="BY426:CB426" si="1983">BY417/BY383</f>
        <v>-3.6639978287420273E-3</v>
      </c>
      <c r="BZ426" s="99">
        <f t="shared" si="1983"/>
        <v>2.656449553001277E-2</v>
      </c>
      <c r="CA426" s="99">
        <f t="shared" si="1983"/>
        <v>-1.3823805060918463E-2</v>
      </c>
      <c r="CB426" s="99">
        <f t="shared" si="1983"/>
        <v>2.2797018851380975E-2</v>
      </c>
      <c r="CC426" s="99">
        <f t="shared" ref="CC426:CF426" si="1984">CC417/CC383</f>
        <v>2.4113917472196239E-2</v>
      </c>
      <c r="CD426" s="99">
        <f t="shared" si="1984"/>
        <v>3.3794007868455565E-2</v>
      </c>
      <c r="CE426" s="99">
        <f t="shared" si="1984"/>
        <v>3.1990156874807753E-2</v>
      </c>
      <c r="CF426" s="99">
        <f t="shared" si="1984"/>
        <v>5.14483354950281E-2</v>
      </c>
      <c r="CG426" s="99">
        <f t="shared" ref="CG426:CI426" si="1985">CG417/CG383</f>
        <v>3.8949766735380274E-2</v>
      </c>
      <c r="CH426" s="99">
        <f t="shared" si="1985"/>
        <v>3.7185037185037184E-2</v>
      </c>
      <c r="CI426" s="99">
        <f t="shared" si="1985"/>
        <v>1.3523830297742392E-2</v>
      </c>
    </row>
    <row r="427" spans="2:87" ht="13.5" customHeight="1">
      <c r="B427" s="1" t="s">
        <v>430</v>
      </c>
      <c r="C427" s="99">
        <f t="shared" ref="C427:G427" si="1986">C419/C385</f>
        <v>-3.0303030303030304E-2</v>
      </c>
      <c r="D427" s="99">
        <f t="shared" si="1986"/>
        <v>-7.9497354497354497E-2</v>
      </c>
      <c r="E427" s="99">
        <f t="shared" si="1986"/>
        <v>-2.7843883864826273E-2</v>
      </c>
      <c r="F427" s="99">
        <f t="shared" si="1986"/>
        <v>-0.12836316861399935</v>
      </c>
      <c r="G427" s="99">
        <f t="shared" si="1986"/>
        <v>-5.7910377727379371E-2</v>
      </c>
      <c r="H427" s="99">
        <f t="shared" ref="H427:L427" si="1987">H419/H385</f>
        <v>-5.7183675045368546E-2</v>
      </c>
      <c r="I427" s="99">
        <f t="shared" si="1987"/>
        <v>5.102232226599137E-3</v>
      </c>
      <c r="J427" s="99">
        <f t="shared" si="1987"/>
        <v>5.102232226599137E-3</v>
      </c>
      <c r="K427" s="99">
        <f t="shared" si="1987"/>
        <v>5.5945918945019815E-3</v>
      </c>
      <c r="L427" s="99">
        <f t="shared" si="1987"/>
        <v>8.5392601257493778E-3</v>
      </c>
      <c r="M427" s="99">
        <f t="shared" ref="M427" si="1988">M419/M385</f>
        <v>8.5392601257493778E-3</v>
      </c>
      <c r="N427" s="99">
        <f t="shared" ref="N427:O427" si="1989">N419/N385</f>
        <v>-1.2947570332480819E-2</v>
      </c>
      <c r="O427" s="99">
        <f t="shared" si="1989"/>
        <v>-1.2947570332480819E-2</v>
      </c>
      <c r="P427" s="99">
        <f>P419/P385</f>
        <v>8.0404488839560979E-3</v>
      </c>
      <c r="Q427" s="99">
        <f>Q419/Q385</f>
        <v>2.7240031968741675E-2</v>
      </c>
      <c r="R427" s="99">
        <f>R419/R385</f>
        <v>4.60766591655292E-2</v>
      </c>
      <c r="S427" s="99">
        <f t="shared" ref="S427" si="1990">S419/S385</f>
        <v>4.7464369787769849E-2</v>
      </c>
      <c r="U427" s="99">
        <f t="shared" ref="U427:Z427" si="1991">U419/U385</f>
        <v>-4.425182481751825E-2</v>
      </c>
      <c r="V427" s="99">
        <f t="shared" si="1991"/>
        <v>-3.0264279624893437E-2</v>
      </c>
      <c r="W427" s="99">
        <f t="shared" si="1991"/>
        <v>-2.8205128205128206E-2</v>
      </c>
      <c r="X427" s="99">
        <f t="shared" si="1991"/>
        <v>-1.7514395393474089E-2</v>
      </c>
      <c r="Y427" s="99">
        <f t="shared" si="1991"/>
        <v>-8.5585585585585586E-2</v>
      </c>
      <c r="Z427" s="99">
        <f t="shared" si="1991"/>
        <v>-0.13445378151260504</v>
      </c>
      <c r="AA427" s="99">
        <f t="shared" ref="AA427:AF427" si="1992">AA419/AA385</f>
        <v>-0.2016260162601626</v>
      </c>
      <c r="AB427" s="99">
        <f t="shared" si="1992"/>
        <v>-0.10277061855670103</v>
      </c>
      <c r="AC427" s="99">
        <f t="shared" si="1992"/>
        <v>-5.6426332288401257E-2</v>
      </c>
      <c r="AD427" s="99">
        <f t="shared" si="1992"/>
        <v>-7.3453608247422683E-2</v>
      </c>
      <c r="AE427" s="99">
        <f t="shared" si="1992"/>
        <v>-3.9963110974485093E-2</v>
      </c>
      <c r="AF427" s="99">
        <f t="shared" si="1992"/>
        <v>-6.2215031622297398E-2</v>
      </c>
      <c r="AG427" s="99">
        <f t="shared" ref="AG427:AL427" si="1993">AG419/AG385</f>
        <v>-5.7204700061842919E-3</v>
      </c>
      <c r="AH427" s="99">
        <f t="shared" si="1993"/>
        <v>3.9192041000904428E-3</v>
      </c>
      <c r="AI427" s="99">
        <f t="shared" si="1993"/>
        <v>1.9423278051695801E-3</v>
      </c>
      <c r="AJ427" s="99">
        <f t="shared" si="1993"/>
        <v>1.9533527696793004E-2</v>
      </c>
      <c r="AK427" s="99">
        <f t="shared" si="1993"/>
        <v>-2.4290268711097615E-3</v>
      </c>
      <c r="AL427" s="99">
        <f t="shared" si="1993"/>
        <v>-7.5095576187875481E-3</v>
      </c>
      <c r="AM427" s="99">
        <f t="shared" ref="AM427:AR427" si="1994">AM419/AM385</f>
        <v>7.0579494799405647E-3</v>
      </c>
      <c r="AN427" s="99">
        <f t="shared" si="1994"/>
        <v>2.2631186272071623E-2</v>
      </c>
      <c r="AO427" s="99">
        <f t="shared" si="1994"/>
        <v>6.2476093331633306E-3</v>
      </c>
      <c r="AP427" s="99">
        <f t="shared" si="1994"/>
        <v>6.9972252382675838E-3</v>
      </c>
      <c r="AQ427" s="99">
        <f t="shared" si="1994"/>
        <v>3.0875576036866359E-2</v>
      </c>
      <c r="AR427" s="99">
        <f t="shared" si="1994"/>
        <v>-8.8457849301929025E-3</v>
      </c>
      <c r="AS427" s="99">
        <f t="shared" ref="AS427:AV427" si="1995">AS419/AS385</f>
        <v>-2.6304252520824201E-3</v>
      </c>
      <c r="AT427" s="99">
        <f t="shared" si="1995"/>
        <v>1.684257803727824E-2</v>
      </c>
      <c r="AU427" s="99">
        <f t="shared" si="1995"/>
        <v>1.3410162388685176E-2</v>
      </c>
      <c r="AV427" s="99">
        <f t="shared" si="1995"/>
        <v>-7.428972994679249E-2</v>
      </c>
      <c r="AW427" s="99">
        <f t="shared" ref="AW427:AZ427" si="1996">AW419/AW385</f>
        <v>1.2720916682851038E-2</v>
      </c>
      <c r="AX427" s="99">
        <f t="shared" si="1996"/>
        <v>4.2198233562315999E-3</v>
      </c>
      <c r="AY427" s="99">
        <f t="shared" si="1996"/>
        <v>1.8860312657589511E-2</v>
      </c>
      <c r="AZ427" s="99">
        <f t="shared" si="1996"/>
        <v>-3.4509958588049695E-3</v>
      </c>
      <c r="BA427" s="99">
        <f t="shared" ref="BA427:BD427" si="1997">BA419/BA385</f>
        <v>2.5635547959837642E-3</v>
      </c>
      <c r="BB427" s="99">
        <f t="shared" si="1997"/>
        <v>4.7905316550817208E-2</v>
      </c>
      <c r="BC427" s="99">
        <f t="shared" si="1997"/>
        <v>3.9956350205657687E-2</v>
      </c>
      <c r="BD427" s="99">
        <f t="shared" si="1997"/>
        <v>1.6535853082374458E-2</v>
      </c>
      <c r="BE427" s="99">
        <f t="shared" ref="BE427:BG427" si="1998">BE419/BE385</f>
        <v>1.8844429686202889E-2</v>
      </c>
      <c r="BF427" s="99">
        <f t="shared" si="1998"/>
        <v>4.413187467440649E-2</v>
      </c>
      <c r="BG427" s="99">
        <f t="shared" si="1998"/>
        <v>5.3726772913911897E-2</v>
      </c>
      <c r="BH427" s="99">
        <f t="shared" ref="BH427:BI427" si="1999">BH419/BH385</f>
        <v>6.3083136053474445E-2</v>
      </c>
      <c r="BI427" s="99">
        <f t="shared" si="1999"/>
        <v>2.6126197450716492E-2</v>
      </c>
      <c r="BJ427" s="44"/>
      <c r="BK427" s="99">
        <f t="shared" ref="BK427:BP427" si="2000">BK419/BK385</f>
        <v>-5.6111566858080393E-2</v>
      </c>
      <c r="BL427" s="99">
        <f t="shared" si="2000"/>
        <v>-7.2392443244959512E-2</v>
      </c>
      <c r="BM427" s="99">
        <f t="shared" si="2000"/>
        <v>-3.9453717754172987E-2</v>
      </c>
      <c r="BN427" s="99">
        <f t="shared" si="2000"/>
        <v>-6.1171366594360087E-2</v>
      </c>
      <c r="BO427" s="99">
        <f t="shared" si="2000"/>
        <v>3.9192041000904428E-3</v>
      </c>
      <c r="BP427" s="99">
        <f t="shared" si="2000"/>
        <v>1.9423278051695801E-3</v>
      </c>
      <c r="BQ427" s="99"/>
      <c r="BR427" s="99" t="e">
        <f t="shared" ref="BR427:BX427" si="2001">BR419/BR385</f>
        <v>#REF!</v>
      </c>
      <c r="BS427" s="99">
        <f t="shared" si="2001"/>
        <v>-2.4290268711097615E-3</v>
      </c>
      <c r="BT427" s="99">
        <f t="shared" si="2001"/>
        <v>-7.5095576187875481E-3</v>
      </c>
      <c r="BU427" s="99">
        <f t="shared" si="2001"/>
        <v>7.0579494799405647E-3</v>
      </c>
      <c r="BV427" s="99">
        <f t="shared" si="2001"/>
        <v>2.2631186272071623E-2</v>
      </c>
      <c r="BW427" s="99"/>
      <c r="BX427" s="99">
        <f t="shared" si="2001"/>
        <v>6.2476093331633306E-3</v>
      </c>
      <c r="BY427" s="99">
        <f t="shared" ref="BY427:CB427" si="2002">BY419/BY385</f>
        <v>6.9972252382675838E-3</v>
      </c>
      <c r="BZ427" s="99">
        <f t="shared" si="2002"/>
        <v>3.0875576036866359E-2</v>
      </c>
      <c r="CA427" s="99">
        <f t="shared" si="2002"/>
        <v>-8.8457849301929025E-3</v>
      </c>
      <c r="CB427" s="99">
        <f t="shared" si="2002"/>
        <v>-2.7060547976096518E-3</v>
      </c>
      <c r="CC427" s="99">
        <f t="shared" ref="CC427:CF427" si="2003">CC419/CC385</f>
        <v>1.684257803727824E-2</v>
      </c>
      <c r="CD427" s="99">
        <f t="shared" si="2003"/>
        <v>1.3410162388685176E-2</v>
      </c>
      <c r="CE427" s="99">
        <f t="shared" si="2003"/>
        <v>-7.2435395458104929E-2</v>
      </c>
      <c r="CF427" s="99">
        <f t="shared" si="2003"/>
        <v>1.2923914099698766E-2</v>
      </c>
      <c r="CG427" s="99">
        <f t="shared" ref="CG427:CI427" si="2004">CG419/CG385</f>
        <v>3.5276825085742282E-3</v>
      </c>
      <c r="CH427" s="99">
        <f t="shared" si="2004"/>
        <v>1.2904526665994556E-2</v>
      </c>
      <c r="CI427" s="99">
        <f t="shared" si="2004"/>
        <v>2.8627838104639683E-3</v>
      </c>
    </row>
    <row r="428" spans="2:87" ht="13.5" customHeight="1"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44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</row>
    <row r="429" spans="2:87" ht="13.5" customHeight="1"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44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</row>
    <row r="430" spans="2:87" ht="13.5" customHeight="1"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44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</row>
    <row r="431" spans="2:87" ht="13.5" customHeight="1">
      <c r="B431" s="372" t="s">
        <v>438</v>
      </c>
      <c r="C431" s="38">
        <f t="shared" ref="C431:R431" si="2005">C3</f>
        <v>41975</v>
      </c>
      <c r="D431" s="38">
        <f t="shared" si="2005"/>
        <v>42341</v>
      </c>
      <c r="E431" s="38">
        <f t="shared" si="2005"/>
        <v>42708</v>
      </c>
      <c r="F431" s="38">
        <f t="shared" si="2005"/>
        <v>43074</v>
      </c>
      <c r="G431" s="38">
        <f t="shared" si="2005"/>
        <v>43439</v>
      </c>
      <c r="H431" s="38">
        <f t="shared" si="2005"/>
        <v>43439</v>
      </c>
      <c r="I431" s="38">
        <f t="shared" si="2005"/>
        <v>43804</v>
      </c>
      <c r="J431" s="38">
        <f t="shared" si="2005"/>
        <v>43804</v>
      </c>
      <c r="K431" s="38">
        <f t="shared" si="2005"/>
        <v>44170</v>
      </c>
      <c r="L431" s="38">
        <f t="shared" si="2005"/>
        <v>44535</v>
      </c>
      <c r="M431" s="38">
        <f t="shared" si="2005"/>
        <v>44535</v>
      </c>
      <c r="N431" s="38">
        <f t="shared" si="2005"/>
        <v>44900</v>
      </c>
      <c r="O431" s="38">
        <f t="shared" si="2005"/>
        <v>44900</v>
      </c>
      <c r="P431" s="38">
        <f t="shared" si="2005"/>
        <v>45265</v>
      </c>
      <c r="Q431" s="38">
        <f t="shared" si="2005"/>
        <v>45631</v>
      </c>
      <c r="R431" s="38">
        <f t="shared" si="2005"/>
        <v>45996</v>
      </c>
      <c r="S431" s="197" t="s">
        <v>277</v>
      </c>
      <c r="U431" s="38">
        <f t="shared" ref="U431:BH431" si="2006">U3</f>
        <v>42437</v>
      </c>
      <c r="V431" s="38">
        <f t="shared" si="2006"/>
        <v>42527</v>
      </c>
      <c r="W431" s="38">
        <f t="shared" si="2006"/>
        <v>42622</v>
      </c>
      <c r="X431" s="38">
        <f t="shared" si="2006"/>
        <v>42714</v>
      </c>
      <c r="Y431" s="38">
        <f t="shared" si="2006"/>
        <v>42801</v>
      </c>
      <c r="Z431" s="38">
        <f t="shared" si="2006"/>
        <v>42892</v>
      </c>
      <c r="AA431" s="38">
        <f t="shared" si="2006"/>
        <v>42987</v>
      </c>
      <c r="AB431" s="38">
        <f t="shared" si="2006"/>
        <v>43100</v>
      </c>
      <c r="AC431" s="38">
        <f t="shared" si="2006"/>
        <v>43190</v>
      </c>
      <c r="AD431" s="38">
        <f t="shared" si="2006"/>
        <v>43281</v>
      </c>
      <c r="AE431" s="38">
        <f t="shared" si="2006"/>
        <v>43373</v>
      </c>
      <c r="AF431" s="38">
        <f t="shared" si="2006"/>
        <v>43465</v>
      </c>
      <c r="AG431" s="38">
        <f t="shared" si="2006"/>
        <v>43555</v>
      </c>
      <c r="AH431" s="38">
        <f t="shared" si="2006"/>
        <v>43646</v>
      </c>
      <c r="AI431" s="38">
        <f t="shared" si="2006"/>
        <v>43738</v>
      </c>
      <c r="AJ431" s="38">
        <f t="shared" si="2006"/>
        <v>43830</v>
      </c>
      <c r="AK431" s="38">
        <f t="shared" si="2006"/>
        <v>43921</v>
      </c>
      <c r="AL431" s="38">
        <f t="shared" si="2006"/>
        <v>44012</v>
      </c>
      <c r="AM431" s="38">
        <f t="shared" si="2006"/>
        <v>44104</v>
      </c>
      <c r="AN431" s="38">
        <f t="shared" si="2006"/>
        <v>44196</v>
      </c>
      <c r="AO431" s="38">
        <f t="shared" si="2006"/>
        <v>44286</v>
      </c>
      <c r="AP431" s="38">
        <f t="shared" si="2006"/>
        <v>44377</v>
      </c>
      <c r="AQ431" s="38">
        <f t="shared" si="2006"/>
        <v>44469</v>
      </c>
      <c r="AR431" s="38">
        <f t="shared" si="2006"/>
        <v>44561</v>
      </c>
      <c r="AS431" s="38">
        <f t="shared" si="2006"/>
        <v>44651</v>
      </c>
      <c r="AT431" s="38">
        <f t="shared" si="2006"/>
        <v>44742</v>
      </c>
      <c r="AU431" s="38">
        <f t="shared" si="2006"/>
        <v>44834</v>
      </c>
      <c r="AV431" s="38">
        <f t="shared" si="2006"/>
        <v>44926</v>
      </c>
      <c r="AW431" s="38">
        <f t="shared" si="2006"/>
        <v>45016</v>
      </c>
      <c r="AX431" s="38">
        <f t="shared" si="2006"/>
        <v>45107</v>
      </c>
      <c r="AY431" s="38">
        <f t="shared" si="2006"/>
        <v>45199</v>
      </c>
      <c r="AZ431" s="38">
        <f t="shared" si="2006"/>
        <v>45291</v>
      </c>
      <c r="BA431" s="197">
        <f t="shared" si="2006"/>
        <v>45382</v>
      </c>
      <c r="BB431" s="197">
        <f t="shared" si="2006"/>
        <v>45473</v>
      </c>
      <c r="BC431" s="197">
        <f t="shared" si="2006"/>
        <v>45565</v>
      </c>
      <c r="BD431" s="197">
        <f t="shared" si="2006"/>
        <v>45657</v>
      </c>
      <c r="BE431" s="197">
        <f t="shared" si="2006"/>
        <v>45747</v>
      </c>
      <c r="BF431" s="197">
        <f t="shared" si="2006"/>
        <v>45838</v>
      </c>
      <c r="BG431" s="197">
        <f t="shared" si="2006"/>
        <v>45930</v>
      </c>
      <c r="BH431" s="197">
        <f t="shared" si="2006"/>
        <v>46022</v>
      </c>
      <c r="BI431" s="197">
        <f t="shared" ref="BI431" si="2007">BI3</f>
        <v>46112</v>
      </c>
      <c r="BJ431" s="44"/>
      <c r="BK431" s="197">
        <f t="shared" ref="BK431:BV431" si="2008">BK3</f>
        <v>43166</v>
      </c>
      <c r="BL431" s="197">
        <f t="shared" si="2008"/>
        <v>43281</v>
      </c>
      <c r="BM431" s="197">
        <f t="shared" si="2008"/>
        <v>43373</v>
      </c>
      <c r="BN431" s="197">
        <f t="shared" si="2008"/>
        <v>43465</v>
      </c>
      <c r="BO431" s="197">
        <f t="shared" si="2008"/>
        <v>43646</v>
      </c>
      <c r="BP431" s="197">
        <f t="shared" si="2008"/>
        <v>43738</v>
      </c>
      <c r="BQ431" s="38">
        <f t="shared" si="2008"/>
        <v>43079</v>
      </c>
      <c r="BR431" s="197">
        <f t="shared" si="2008"/>
        <v>43830</v>
      </c>
      <c r="BS431" s="38">
        <f t="shared" si="2008"/>
        <v>43921</v>
      </c>
      <c r="BT431" s="38">
        <f t="shared" si="2008"/>
        <v>44012</v>
      </c>
      <c r="BU431" s="38">
        <f t="shared" si="2008"/>
        <v>44104</v>
      </c>
      <c r="BV431" s="197">
        <f t="shared" si="2008"/>
        <v>44196</v>
      </c>
      <c r="BW431" s="197"/>
      <c r="BX431" s="38">
        <f t="shared" ref="BX431:CI431" si="2009">BX3</f>
        <v>44286</v>
      </c>
      <c r="BY431" s="38">
        <f t="shared" si="2009"/>
        <v>44377</v>
      </c>
      <c r="BZ431" s="38">
        <f t="shared" si="2009"/>
        <v>44469</v>
      </c>
      <c r="CA431" s="197">
        <f t="shared" si="2009"/>
        <v>44561</v>
      </c>
      <c r="CB431" s="38">
        <f t="shared" si="2009"/>
        <v>44651</v>
      </c>
      <c r="CC431" s="38">
        <f t="shared" si="2009"/>
        <v>44742</v>
      </c>
      <c r="CD431" s="38">
        <f t="shared" si="2009"/>
        <v>44834</v>
      </c>
      <c r="CE431" s="197">
        <f t="shared" si="2009"/>
        <v>44926</v>
      </c>
      <c r="CF431" s="38">
        <f t="shared" si="2009"/>
        <v>45016</v>
      </c>
      <c r="CG431" s="38">
        <f t="shared" si="2009"/>
        <v>45107</v>
      </c>
      <c r="CH431" s="38">
        <f t="shared" si="2009"/>
        <v>45199</v>
      </c>
      <c r="CI431" s="197">
        <f t="shared" si="2009"/>
        <v>45291</v>
      </c>
    </row>
    <row r="432" spans="2:87" ht="13.5" customHeight="1">
      <c r="B432" s="1" t="s">
        <v>427</v>
      </c>
      <c r="C432" s="4">
        <v>5588</v>
      </c>
      <c r="D432" s="4">
        <v>9665</v>
      </c>
      <c r="E432" s="4">
        <v>12735</v>
      </c>
      <c r="F432" s="4">
        <v>12642</v>
      </c>
      <c r="G432" s="4">
        <v>12993</v>
      </c>
      <c r="H432" s="4">
        <v>12993</v>
      </c>
      <c r="I432" s="4">
        <v>13866</v>
      </c>
      <c r="J432" s="4">
        <v>16216</v>
      </c>
      <c r="K432" s="4">
        <v>22694</v>
      </c>
      <c r="L432" s="4">
        <v>22358</v>
      </c>
      <c r="M432" s="4">
        <v>21452</v>
      </c>
      <c r="N432" s="4">
        <v>22611</v>
      </c>
      <c r="O432" s="4">
        <v>22611</v>
      </c>
      <c r="P432" s="4">
        <v>20217</v>
      </c>
      <c r="Q432" s="4">
        <v>15813</v>
      </c>
      <c r="R432" s="4">
        <v>17117</v>
      </c>
      <c r="S432" s="95">
        <f>SUM(BF432:BI432)</f>
        <v>17160</v>
      </c>
      <c r="U432" s="4">
        <v>2273</v>
      </c>
      <c r="V432" s="4">
        <v>3284</v>
      </c>
      <c r="W432" s="4">
        <f>9213-V432-U432</f>
        <v>3656</v>
      </c>
      <c r="X432" s="6">
        <f>E432-W432-V432-U432</f>
        <v>3522</v>
      </c>
      <c r="Y432" s="4">
        <f>6044-Z432</f>
        <v>2626</v>
      </c>
      <c r="Z432" s="4">
        <v>3418</v>
      </c>
      <c r="AA432" s="4">
        <f>9381-Z432-Y432</f>
        <v>3337</v>
      </c>
      <c r="AB432" s="6">
        <f>+F432-SUM(Y432:AA432)</f>
        <v>3261</v>
      </c>
      <c r="AC432" s="4">
        <v>2345</v>
      </c>
      <c r="AD432" s="4">
        <v>3214</v>
      </c>
      <c r="AE432" s="4">
        <v>3611</v>
      </c>
      <c r="AF432" s="6">
        <f>G432-AE432-AD432-AC432</f>
        <v>3823</v>
      </c>
      <c r="AG432" s="4">
        <v>2849</v>
      </c>
      <c r="AH432" s="4">
        <v>3556</v>
      </c>
      <c r="AI432" s="4">
        <v>4117</v>
      </c>
      <c r="AJ432" s="6">
        <f>I432-AI432-AH432-AG432</f>
        <v>3344</v>
      </c>
      <c r="AK432" s="4">
        <v>3725</v>
      </c>
      <c r="AL432" s="4">
        <v>6384</v>
      </c>
      <c r="AM432" s="4">
        <v>6675</v>
      </c>
      <c r="AN432" s="6">
        <f>K432-AM432-AL432-AK432</f>
        <v>5910</v>
      </c>
      <c r="AO432" s="4">
        <v>4922</v>
      </c>
      <c r="AP432" s="4">
        <v>5673</v>
      </c>
      <c r="AQ432" s="4">
        <v>5903</v>
      </c>
      <c r="AR432" s="6">
        <f>M432-AQ432-AP432-AO432</f>
        <v>4954</v>
      </c>
      <c r="AS432" s="4">
        <v>4928</v>
      </c>
      <c r="AT432" s="4">
        <v>5335</v>
      </c>
      <c r="AU432" s="4">
        <v>6213</v>
      </c>
      <c r="AV432" s="6">
        <f>N432-AU432-AT432-AS432</f>
        <v>6135</v>
      </c>
      <c r="AW432" s="4">
        <v>4870</v>
      </c>
      <c r="AX432" s="4">
        <v>5351</v>
      </c>
      <c r="AY432" s="4">
        <v>5162</v>
      </c>
      <c r="AZ432" s="6">
        <f>P432-AY432-AX432-AW432</f>
        <v>4834</v>
      </c>
      <c r="BA432" s="4">
        <v>3552</v>
      </c>
      <c r="BB432" s="4">
        <v>4386</v>
      </c>
      <c r="BC432" s="4">
        <v>4744</v>
      </c>
      <c r="BD432" s="6">
        <f>Q432-BC432-BB432-BA432</f>
        <v>3131</v>
      </c>
      <c r="BE432" s="4">
        <v>3425</v>
      </c>
      <c r="BF432" s="4">
        <v>4432</v>
      </c>
      <c r="BG432" s="4">
        <v>4932</v>
      </c>
      <c r="BH432" s="6">
        <f>R432-SUM(BE432:BG432)</f>
        <v>4328</v>
      </c>
      <c r="BI432" s="4">
        <v>3468</v>
      </c>
      <c r="BJ432" s="44"/>
      <c r="BK432" s="4">
        <v>2358</v>
      </c>
      <c r="BL432" s="4">
        <v>3203</v>
      </c>
      <c r="BM432" s="4">
        <v>3611</v>
      </c>
      <c r="BN432" s="6">
        <f>H432-BM432-BL432-BK432</f>
        <v>3821</v>
      </c>
      <c r="BO432" s="4">
        <v>4123</v>
      </c>
      <c r="BP432" s="4">
        <v>4712</v>
      </c>
      <c r="BQ432" s="6"/>
      <c r="BR432" s="6">
        <f>J432-AG432-BP432-BO432</f>
        <v>4532</v>
      </c>
      <c r="BS432" s="4">
        <v>3725</v>
      </c>
      <c r="BT432" s="4">
        <v>6384</v>
      </c>
      <c r="BU432" s="4">
        <v>6675</v>
      </c>
      <c r="BV432" s="6">
        <f>K432-BU432-BT432-BS432</f>
        <v>5910</v>
      </c>
      <c r="BW432" s="6"/>
      <c r="BX432" s="4">
        <v>4922</v>
      </c>
      <c r="BY432" s="4">
        <v>5467</v>
      </c>
      <c r="BZ432" s="4">
        <v>5661</v>
      </c>
      <c r="CA432" s="6">
        <f>M432-BZ432-BY432-BX432</f>
        <v>5402</v>
      </c>
      <c r="CB432" s="4">
        <v>4648</v>
      </c>
      <c r="CC432" s="4">
        <v>5335</v>
      </c>
      <c r="CD432" s="4">
        <v>6213</v>
      </c>
      <c r="CE432" s="6">
        <f>O432-CD432-CC432-CB432</f>
        <v>6415</v>
      </c>
      <c r="CF432" s="4">
        <v>4870</v>
      </c>
      <c r="CG432" s="4">
        <v>5351</v>
      </c>
      <c r="CH432" s="4">
        <v>5162</v>
      </c>
      <c r="CI432" s="6">
        <f>P432-CH432-CG432-CF432</f>
        <v>4834</v>
      </c>
    </row>
    <row r="433" spans="2:87" ht="13.5" customHeight="1">
      <c r="B433" s="130"/>
      <c r="C433" s="131">
        <f>C432/(174623*0.07671)-1</f>
        <v>-0.58283970142302577</v>
      </c>
      <c r="D433" s="132">
        <f>+D432/C432-1</f>
        <v>0.72959914101646395</v>
      </c>
      <c r="E433" s="132">
        <f>+E432/D432-1</f>
        <v>0.3176409725814795</v>
      </c>
      <c r="F433" s="132">
        <f>+F432/E432-1</f>
        <v>-7.3027090694934849E-3</v>
      </c>
      <c r="G433" s="132">
        <f>+G432/F432-1</f>
        <v>2.7764594209776838E-2</v>
      </c>
      <c r="H433" s="132">
        <f>+H432/F432-1</f>
        <v>2.7764594209776838E-2</v>
      </c>
      <c r="I433" s="132">
        <f>+I432/H432-1</f>
        <v>6.7190025398291331E-2</v>
      </c>
      <c r="J433" s="137">
        <f>(J432/H432)-1</f>
        <v>0.24805664588624654</v>
      </c>
      <c r="K433" s="132">
        <f>+K432/J432-1</f>
        <v>0.39948199309324117</v>
      </c>
      <c r="L433" s="132">
        <f>+L432/K432-1</f>
        <v>-1.4805675508945071E-2</v>
      </c>
      <c r="M433" s="132">
        <f>+M432/L432-1</f>
        <v>-4.0522408086590911E-2</v>
      </c>
      <c r="N433" s="132">
        <f>+N432/L432-1</f>
        <v>1.1315860094820662E-2</v>
      </c>
      <c r="O433" s="132">
        <f>+O432/M432-1</f>
        <v>5.4027596494499397E-2</v>
      </c>
      <c r="P433" s="132">
        <f>+P432/O432-1</f>
        <v>-0.10587767016054128</v>
      </c>
      <c r="Q433" s="132">
        <f>+Q432/P432-1</f>
        <v>-0.21783647425434038</v>
      </c>
      <c r="R433" s="132">
        <f>+R432/Q432-1</f>
        <v>8.2463795611205981E-2</v>
      </c>
      <c r="S433" s="177"/>
      <c r="U433" s="132"/>
      <c r="V433" s="132"/>
      <c r="W433" s="132"/>
      <c r="X433" s="132"/>
      <c r="Y433" s="132">
        <f t="shared" ref="Y433:AE433" si="2010">Y432/U432-1</f>
        <v>0.15530136383633963</v>
      </c>
      <c r="Z433" s="132">
        <f t="shared" si="2010"/>
        <v>4.0803897685748991E-2</v>
      </c>
      <c r="AA433" s="132">
        <f t="shared" si="2010"/>
        <v>-8.7253829321663035E-2</v>
      </c>
      <c r="AB433" s="132">
        <f t="shared" si="2010"/>
        <v>-7.4105621805792166E-2</v>
      </c>
      <c r="AC433" s="132">
        <f t="shared" si="2010"/>
        <v>-0.10700685453160697</v>
      </c>
      <c r="AD433" s="132">
        <f t="shared" si="2010"/>
        <v>-5.9684025746050362E-2</v>
      </c>
      <c r="AE433" s="132">
        <f t="shared" si="2010"/>
        <v>8.2109679352712073E-2</v>
      </c>
      <c r="AF433" s="132">
        <f>AF432/AB432-1</f>
        <v>0.17233977307574366</v>
      </c>
      <c r="AG433" s="132">
        <f>AG432/BK432-1</f>
        <v>0.20822731128074645</v>
      </c>
      <c r="AH433" s="132">
        <f>AH432/BL432-1</f>
        <v>0.1102091788947861</v>
      </c>
      <c r="AI433" s="132">
        <f>AI432/BM432-1</f>
        <v>0.14012738853503182</v>
      </c>
      <c r="AJ433" s="132">
        <f>AJ432/BN432-1</f>
        <v>-0.12483643025386026</v>
      </c>
      <c r="AK433" s="137">
        <f>AK432/AG432-1</f>
        <v>0.30747630747630739</v>
      </c>
      <c r="AL433" s="137">
        <f>AL432/BO432-1</f>
        <v>0.54838709677419351</v>
      </c>
      <c r="AM433" s="137">
        <f>AM432/BP432-1</f>
        <v>0.41659592529711365</v>
      </c>
      <c r="AN433" s="132">
        <f>AN432/BR432-1</f>
        <v>0.30406001765225077</v>
      </c>
      <c r="AO433" s="137">
        <f>AO432/AK432-1</f>
        <v>0.32134228187919467</v>
      </c>
      <c r="AP433" s="137">
        <f>AP432/BS432-1</f>
        <v>0.52295302013422829</v>
      </c>
      <c r="AQ433" s="137">
        <f>AQ432/BT432-1</f>
        <v>-7.5344611528822103E-2</v>
      </c>
      <c r="AR433" s="132">
        <f>AR432/AN432-1</f>
        <v>-0.16175972927241966</v>
      </c>
      <c r="AS433" s="137">
        <f t="shared" ref="AS433:AZ433" si="2011">AS432/BX432-1</f>
        <v>1.2190166598944341E-3</v>
      </c>
      <c r="AT433" s="137">
        <f t="shared" si="2011"/>
        <v>-2.4144869215291798E-2</v>
      </c>
      <c r="AU433" s="137">
        <f t="shared" si="2011"/>
        <v>9.7509273979862199E-2</v>
      </c>
      <c r="AV433" s="137">
        <f t="shared" si="2011"/>
        <v>0.13569048500555358</v>
      </c>
      <c r="AW433" s="137">
        <f t="shared" si="2011"/>
        <v>4.7762478485370075E-2</v>
      </c>
      <c r="AX433" s="137">
        <f t="shared" si="2011"/>
        <v>2.9990627928773161E-3</v>
      </c>
      <c r="AY433" s="137">
        <f t="shared" si="2011"/>
        <v>-0.16916143569934006</v>
      </c>
      <c r="AZ433" s="137">
        <f t="shared" si="2011"/>
        <v>-0.24645362431800466</v>
      </c>
      <c r="BA433" s="137">
        <f>BA432/AW432-1</f>
        <v>-0.27063655030800826</v>
      </c>
      <c r="BB433" s="137">
        <f>BB432/CG432-1</f>
        <v>-0.18034012334143146</v>
      </c>
      <c r="BC433" s="137">
        <f>BC432/CH432-1</f>
        <v>-8.0976365749709456E-2</v>
      </c>
      <c r="BD433" s="137">
        <f>BD432/CI432-1</f>
        <v>-0.35229623500206864</v>
      </c>
      <c r="BE433" s="137">
        <f>BE432/BA432-1</f>
        <v>-3.5754504504504458E-2</v>
      </c>
      <c r="BF433" s="137">
        <f>BF432/BB432-1</f>
        <v>1.0487916096671324E-2</v>
      </c>
      <c r="BG433" s="137">
        <f>BG432/BC432-1</f>
        <v>3.9629005059022004E-2</v>
      </c>
      <c r="BH433" s="137">
        <f>BH432/BD432-1</f>
        <v>0.38230597253273713</v>
      </c>
      <c r="BI433" s="137">
        <f>BI432/BE432-1</f>
        <v>1.255474452554739E-2</v>
      </c>
      <c r="BJ433" s="44"/>
      <c r="BK433" s="132">
        <f>BK432/Y432-1</f>
        <v>-0.10205635948210201</v>
      </c>
      <c r="BL433" s="132">
        <f>BL432/Z432-1</f>
        <v>-6.2902282036278567E-2</v>
      </c>
      <c r="BM433" s="132">
        <f>BM432/AA432-1</f>
        <v>8.2109679352712073E-2</v>
      </c>
      <c r="BN433" s="132">
        <f>BN432/AB432-1</f>
        <v>0.17172646427476224</v>
      </c>
      <c r="BO433" s="132">
        <f>BO432/AD432-1</f>
        <v>0.28282514001244552</v>
      </c>
      <c r="BP433" s="132">
        <f>BP432/AE432-1</f>
        <v>0.30490168928274719</v>
      </c>
      <c r="BQ433" s="132"/>
      <c r="BR433" s="132">
        <f>BR432/BN432-1</f>
        <v>0.18607694320858403</v>
      </c>
      <c r="BS433" s="137">
        <f>BS432/BO432-1</f>
        <v>-9.6531651709919952E-2</v>
      </c>
      <c r="BT433" s="137">
        <f>BT432/BO432-1</f>
        <v>0.54838709677419351</v>
      </c>
      <c r="BU433" s="137">
        <f>BU432/BP432-1</f>
        <v>0.41659592529711365</v>
      </c>
      <c r="BV433" s="132">
        <f>BV432/BR432-1</f>
        <v>0.30406001765225077</v>
      </c>
      <c r="BW433" s="132"/>
      <c r="BX433" s="137">
        <f>BX432/BS432-1</f>
        <v>0.32134228187919467</v>
      </c>
      <c r="BY433" s="137">
        <f>BY432/BS432-1</f>
        <v>0.46765100671140947</v>
      </c>
      <c r="BZ433" s="137">
        <f>BZ432/BT432-1</f>
        <v>-0.1132518796992481</v>
      </c>
      <c r="CA433" s="132">
        <f>CA432/BV432-1</f>
        <v>-8.5956006768189486E-2</v>
      </c>
      <c r="CB433" s="137">
        <f>CB432/BX432-1</f>
        <v>-5.5668427468508752E-2</v>
      </c>
      <c r="CC433" s="137">
        <f>CC432/BY432-1</f>
        <v>-2.4144869215291798E-2</v>
      </c>
      <c r="CD433" s="137">
        <f>CD432/BY432-1</f>
        <v>0.13645509420157298</v>
      </c>
      <c r="CE433" s="132">
        <f>CE432/BZ432-1</f>
        <v>0.13319201554495663</v>
      </c>
      <c r="CF433" s="132">
        <f>CF432/CA432-1</f>
        <v>-9.8482043687523113E-2</v>
      </c>
      <c r="CG433" s="137">
        <f>CG432/CD432-1</f>
        <v>-0.13874134878480604</v>
      </c>
      <c r="CH433" s="137">
        <f>CH432/CC432-1</f>
        <v>-3.2427366447985051E-2</v>
      </c>
      <c r="CI433" s="132">
        <f>CI432/CD432-1</f>
        <v>-0.22195396748752616</v>
      </c>
    </row>
    <row r="434" spans="2:87" ht="13.5" customHeight="1">
      <c r="B434" s="1" t="s">
        <v>428</v>
      </c>
      <c r="C434" s="4">
        <v>12049</v>
      </c>
      <c r="D434" s="4">
        <v>13431</v>
      </c>
      <c r="E434" s="4">
        <v>15520</v>
      </c>
      <c r="F434" s="4">
        <v>15951</v>
      </c>
      <c r="G434" s="4">
        <v>18200</v>
      </c>
      <c r="H434" s="4">
        <v>18200</v>
      </c>
      <c r="I434" s="4">
        <v>18621</v>
      </c>
      <c r="J434" s="4">
        <v>19839</v>
      </c>
      <c r="K434" s="4">
        <v>19165</v>
      </c>
      <c r="L434" s="4">
        <v>22673</v>
      </c>
      <c r="M434" s="4">
        <v>20771</v>
      </c>
      <c r="N434" s="4">
        <v>23323</v>
      </c>
      <c r="O434" s="4">
        <v>23323</v>
      </c>
      <c r="P434" s="4">
        <v>27484</v>
      </c>
      <c r="Q434" s="4">
        <v>30762</v>
      </c>
      <c r="R434" s="4">
        <v>31630</v>
      </c>
      <c r="S434" s="95">
        <f>SUM(BF434:BI434)</f>
        <v>32569</v>
      </c>
      <c r="U434" s="4">
        <v>3122</v>
      </c>
      <c r="V434" s="4">
        <v>3504</v>
      </c>
      <c r="W434" s="4">
        <f>10618-V434-U434</f>
        <v>3992</v>
      </c>
      <c r="X434" s="6">
        <f>E434-W434-V434-U434</f>
        <v>4902</v>
      </c>
      <c r="Y434" s="4">
        <f>7158-Z434</f>
        <v>3343</v>
      </c>
      <c r="Z434" s="4">
        <v>3815</v>
      </c>
      <c r="AA434" s="4">
        <f>11442-Z434-Y434</f>
        <v>4284</v>
      </c>
      <c r="AB434" s="6">
        <f>+F434-SUM(Y434:AA434)</f>
        <v>4509</v>
      </c>
      <c r="AC434" s="4">
        <v>3922</v>
      </c>
      <c r="AD434" s="4">
        <v>4429</v>
      </c>
      <c r="AE434" s="4">
        <v>4718</v>
      </c>
      <c r="AF434" s="6">
        <f>G434-AE434-AD434-AC434</f>
        <v>5131</v>
      </c>
      <c r="AG434" s="4">
        <v>4009</v>
      </c>
      <c r="AH434" s="4">
        <v>4075</v>
      </c>
      <c r="AI434" s="4">
        <v>4978</v>
      </c>
      <c r="AJ434" s="6">
        <f>I434-AI434-AH434-AG434</f>
        <v>5559</v>
      </c>
      <c r="AK434" s="4">
        <v>4616</v>
      </c>
      <c r="AL434" s="4">
        <v>4198</v>
      </c>
      <c r="AM434" s="4">
        <v>4635</v>
      </c>
      <c r="AN434" s="6">
        <f>K434-AM434-AL434-AK434</f>
        <v>5716</v>
      </c>
      <c r="AO434" s="4">
        <v>4783</v>
      </c>
      <c r="AP434" s="4">
        <v>5411</v>
      </c>
      <c r="AQ434" s="4">
        <v>5719</v>
      </c>
      <c r="AR434" s="6">
        <f>M434-AQ434-AP434-AO434</f>
        <v>4858</v>
      </c>
      <c r="AS434" s="4">
        <v>5483</v>
      </c>
      <c r="AT434" s="4">
        <v>5831</v>
      </c>
      <c r="AU434" s="4">
        <v>6350</v>
      </c>
      <c r="AV434" s="6">
        <f>N434-AU434-AT434-AS434</f>
        <v>5659</v>
      </c>
      <c r="AW434" s="4">
        <v>6128</v>
      </c>
      <c r="AX434" s="4">
        <v>6649</v>
      </c>
      <c r="AY434" s="4">
        <v>7377</v>
      </c>
      <c r="AZ434" s="6">
        <f>P434-AY434-AX434-AW434</f>
        <v>7330</v>
      </c>
      <c r="BA434" s="4">
        <v>6649</v>
      </c>
      <c r="BB434" s="4">
        <v>7482</v>
      </c>
      <c r="BC434" s="4">
        <v>8491</v>
      </c>
      <c r="BD434" s="6">
        <f>Q434-BC434-BB434-BA434</f>
        <v>8140</v>
      </c>
      <c r="BE434" s="4">
        <v>7220</v>
      </c>
      <c r="BF434" s="4">
        <v>7793</v>
      </c>
      <c r="BG434" s="4">
        <v>7941</v>
      </c>
      <c r="BH434" s="6">
        <f>R434-SUM(BE434:BG434)</f>
        <v>8676</v>
      </c>
      <c r="BI434" s="4">
        <v>8159</v>
      </c>
      <c r="BJ434" s="44"/>
      <c r="BK434" s="4">
        <v>3926</v>
      </c>
      <c r="BL434" s="4">
        <v>4429</v>
      </c>
      <c r="BM434" s="4">
        <v>4718</v>
      </c>
      <c r="BN434" s="6">
        <f>H434-BM434-BL434-BK434</f>
        <v>5127</v>
      </c>
      <c r="BO434" s="4">
        <v>4355</v>
      </c>
      <c r="BP434" s="4">
        <v>5284</v>
      </c>
      <c r="BQ434" s="6"/>
      <c r="BR434" s="6">
        <f>J434-AG434-BP434-BO434</f>
        <v>6191</v>
      </c>
      <c r="BS434" s="4">
        <v>4617</v>
      </c>
      <c r="BT434" s="4">
        <v>4198</v>
      </c>
      <c r="BU434" s="4">
        <v>4635</v>
      </c>
      <c r="BV434" s="6">
        <f>K434-BU434-BT434-BS434</f>
        <v>5715</v>
      </c>
      <c r="BW434" s="6"/>
      <c r="BX434" s="4">
        <v>4631</v>
      </c>
      <c r="BY434" s="4">
        <v>4932</v>
      </c>
      <c r="BZ434" s="4">
        <v>5279</v>
      </c>
      <c r="CA434" s="6">
        <f>M434-BZ434-BY434-BX434</f>
        <v>5929</v>
      </c>
      <c r="CB434" s="4">
        <v>5081</v>
      </c>
      <c r="CC434" s="4">
        <v>5831</v>
      </c>
      <c r="CD434" s="4">
        <v>6350</v>
      </c>
      <c r="CE434" s="6">
        <f>O434-CD434-CC434-CB434</f>
        <v>6061</v>
      </c>
      <c r="CF434" s="4">
        <v>6128</v>
      </c>
      <c r="CG434" s="4">
        <v>6649</v>
      </c>
      <c r="CH434" s="4">
        <v>7377</v>
      </c>
      <c r="CI434" s="6">
        <f>P434-CH434-CG434-CF434</f>
        <v>7330</v>
      </c>
    </row>
    <row r="435" spans="2:87" ht="13.5" customHeight="1">
      <c r="B435" s="130"/>
      <c r="C435" s="131">
        <f>C434/(174623*0.07671)-1</f>
        <v>-0.10050743780351412</v>
      </c>
      <c r="D435" s="132">
        <f>+D434/C434-1</f>
        <v>0.11469831521288065</v>
      </c>
      <c r="E435" s="132">
        <f>+E434/D434-1</f>
        <v>0.15553570099024649</v>
      </c>
      <c r="F435" s="132">
        <f>+F434/E434-1</f>
        <v>2.7770618556701043E-2</v>
      </c>
      <c r="G435" s="132">
        <f>+G434/F434-1</f>
        <v>0.14099429502852479</v>
      </c>
      <c r="H435" s="132">
        <f>+H434/F434-1</f>
        <v>0.14099429502852479</v>
      </c>
      <c r="I435" s="132">
        <f>+I434/H434-1</f>
        <v>2.3131868131868183E-2</v>
      </c>
      <c r="J435" s="137">
        <f>(J434/H434)-1</f>
        <v>9.0054945054945046E-2</v>
      </c>
      <c r="K435" s="132">
        <f>+K434/J434-1</f>
        <v>-3.3973486566863276E-2</v>
      </c>
      <c r="L435" s="132">
        <f>+L434/K434-1</f>
        <v>0.18304200365249157</v>
      </c>
      <c r="M435" s="132">
        <f>+M434/L434-1</f>
        <v>-8.3888325320866208E-2</v>
      </c>
      <c r="N435" s="132">
        <f>+N434/L434-1</f>
        <v>2.8668460283156172E-2</v>
      </c>
      <c r="O435" s="132">
        <f>+O434/M434-1</f>
        <v>0.12286360791488127</v>
      </c>
      <c r="P435" s="132">
        <f>+P434/O434-1</f>
        <v>0.17840758049993566</v>
      </c>
      <c r="Q435" s="132">
        <f>+Q434/P434-1</f>
        <v>0.1192693931014408</v>
      </c>
      <c r="R435" s="132">
        <f>+R434/Q434-1</f>
        <v>2.8216630908263429E-2</v>
      </c>
      <c r="S435" s="177"/>
      <c r="U435" s="132"/>
      <c r="V435" s="132"/>
      <c r="W435" s="132"/>
      <c r="X435" s="132"/>
      <c r="Y435" s="132">
        <f t="shared" ref="Y435:AE435" si="2012">Y434/U434-1</f>
        <v>7.0787956438180588E-2</v>
      </c>
      <c r="Z435" s="132">
        <f t="shared" si="2012"/>
        <v>8.8755707762557146E-2</v>
      </c>
      <c r="AA435" s="132">
        <f t="shared" si="2012"/>
        <v>7.3146292585170247E-2</v>
      </c>
      <c r="AB435" s="132">
        <f t="shared" si="2012"/>
        <v>-8.017135862913094E-2</v>
      </c>
      <c r="AC435" s="132">
        <f t="shared" si="2012"/>
        <v>0.17319772659288057</v>
      </c>
      <c r="AD435" s="132">
        <f t="shared" si="2012"/>
        <v>0.16094364351245094</v>
      </c>
      <c r="AE435" s="132">
        <f t="shared" si="2012"/>
        <v>0.10130718954248374</v>
      </c>
      <c r="AF435" s="132">
        <f>AF434/AB434-1</f>
        <v>0.13794632956309605</v>
      </c>
      <c r="AG435" s="132">
        <f>AG434/BK434-1</f>
        <v>2.1141110545084052E-2</v>
      </c>
      <c r="AH435" s="132">
        <f>AH434/BL434-1</f>
        <v>-7.992774892752319E-2</v>
      </c>
      <c r="AI435" s="132">
        <f>AI434/BM434-1</f>
        <v>5.5108096651123262E-2</v>
      </c>
      <c r="AJ435" s="132">
        <f>AJ434/BN434-1</f>
        <v>8.4259801053247596E-2</v>
      </c>
      <c r="AK435" s="137">
        <f>AK434/AG434-1</f>
        <v>0.15140932900972803</v>
      </c>
      <c r="AL435" s="137">
        <f>AL434/BO434-1</f>
        <v>-3.6050516647531561E-2</v>
      </c>
      <c r="AM435" s="137">
        <f>AM434/BP434-1</f>
        <v>-0.12282361847085543</v>
      </c>
      <c r="AN435" s="132">
        <f>AN434/BR434-1</f>
        <v>-7.6724277176546618E-2</v>
      </c>
      <c r="AO435" s="137">
        <f>AO434/AK434-1</f>
        <v>3.6178509532062364E-2</v>
      </c>
      <c r="AP435" s="137">
        <f>AP434/BS434-1</f>
        <v>0.1719731427333766</v>
      </c>
      <c r="AQ435" s="137">
        <f>AQ434/BT434-1</f>
        <v>0.36231538828013332</v>
      </c>
      <c r="AR435" s="132">
        <f>AR434/AN434-1</f>
        <v>-0.15010496850944721</v>
      </c>
      <c r="AS435" s="137">
        <f t="shared" ref="AS435:AZ435" si="2013">AS434/BX434-1</f>
        <v>0.18397754264737642</v>
      </c>
      <c r="AT435" s="137">
        <f t="shared" si="2013"/>
        <v>0.18227899432279004</v>
      </c>
      <c r="AU435" s="137">
        <f t="shared" si="2013"/>
        <v>0.20287933320704687</v>
      </c>
      <c r="AV435" s="137">
        <f t="shared" si="2013"/>
        <v>-4.5538876707707843E-2</v>
      </c>
      <c r="AW435" s="137">
        <f t="shared" si="2013"/>
        <v>0.20606179885849252</v>
      </c>
      <c r="AX435" s="137">
        <f t="shared" si="2013"/>
        <v>0.14028468530269245</v>
      </c>
      <c r="AY435" s="137">
        <f t="shared" si="2013"/>
        <v>0.16173228346456692</v>
      </c>
      <c r="AZ435" s="137">
        <f t="shared" si="2013"/>
        <v>0.20937139085959422</v>
      </c>
      <c r="BA435" s="137">
        <f>BA434/AW434-1</f>
        <v>8.5019582245430714E-2</v>
      </c>
      <c r="BB435" s="137">
        <f>BB434/CG434-1</f>
        <v>0.12528199729282607</v>
      </c>
      <c r="BC435" s="137">
        <f>BC434/CH434-1</f>
        <v>0.15100989562152645</v>
      </c>
      <c r="BD435" s="137">
        <f>BD434/CI434-1</f>
        <v>0.11050477489768085</v>
      </c>
      <c r="BE435" s="137">
        <f>BE434/BA434-1</f>
        <v>8.5877575575274534E-2</v>
      </c>
      <c r="BF435" s="137">
        <f>BF434/BB434-1</f>
        <v>4.1566426089280961E-2</v>
      </c>
      <c r="BG435" s="137">
        <f>BG434/BC434-1</f>
        <v>-6.4774467082793552E-2</v>
      </c>
      <c r="BH435" s="137">
        <f>BH434/BD434-1</f>
        <v>6.5847665847665882E-2</v>
      </c>
      <c r="BI435" s="137">
        <f>BI434/BE434-1</f>
        <v>0.13005540166204987</v>
      </c>
      <c r="BJ435" s="44"/>
      <c r="BK435" s="132">
        <f>BK434/Y434-1</f>
        <v>0.17439425665569841</v>
      </c>
      <c r="BL435" s="132">
        <f>BL434/Z434-1</f>
        <v>0.16094364351245094</v>
      </c>
      <c r="BM435" s="132">
        <f>BM434/AA434-1</f>
        <v>0.10130718954248374</v>
      </c>
      <c r="BN435" s="132">
        <f>BN434/AB434-1</f>
        <v>0.13705921490352635</v>
      </c>
      <c r="BO435" s="132">
        <f>BO434/AD434-1</f>
        <v>-1.6708060510273182E-2</v>
      </c>
      <c r="BP435" s="132">
        <f>BP434/AE434-1</f>
        <v>0.1199660873251378</v>
      </c>
      <c r="BQ435" s="132"/>
      <c r="BR435" s="132">
        <f>BR434/BN434-1</f>
        <v>0.20752876926077635</v>
      </c>
      <c r="BS435" s="137">
        <f>BS434/BO434-1</f>
        <v>6.0160734787600534E-2</v>
      </c>
      <c r="BT435" s="137">
        <f>BT434/BO434-1</f>
        <v>-3.6050516647531561E-2</v>
      </c>
      <c r="BU435" s="137">
        <f>BU434/BP434-1</f>
        <v>-0.12282361847085543</v>
      </c>
      <c r="BV435" s="132">
        <f>BV434/BR434-1</f>
        <v>-7.6885801970602463E-2</v>
      </c>
      <c r="BW435" s="132"/>
      <c r="BX435" s="137">
        <f>BX434/BS434-1</f>
        <v>3.0322720381199542E-3</v>
      </c>
      <c r="BY435" s="137">
        <f>BY434/BS434-1</f>
        <v>6.8226120857699746E-2</v>
      </c>
      <c r="BZ435" s="137">
        <f>BZ434/BT434-1</f>
        <v>0.25750357313006189</v>
      </c>
      <c r="CA435" s="132">
        <f>CA434/BV434-1</f>
        <v>3.7445319335083216E-2</v>
      </c>
      <c r="CB435" s="137">
        <f>CB434/BX434-1</f>
        <v>9.717123731375521E-2</v>
      </c>
      <c r="CC435" s="137">
        <f>CC434/BY434-1</f>
        <v>0.18227899432279004</v>
      </c>
      <c r="CD435" s="137">
        <f>CD434/BY434-1</f>
        <v>0.28751013787510127</v>
      </c>
      <c r="CE435" s="132">
        <f>CE434/BZ434-1</f>
        <v>0.14813411630990725</v>
      </c>
      <c r="CF435" s="132">
        <f>CF434/CA434-1</f>
        <v>3.3563838758643882E-2</v>
      </c>
      <c r="CG435" s="137">
        <f>CG434/CD434-1</f>
        <v>4.7086614173228236E-2</v>
      </c>
      <c r="CH435" s="137">
        <f>CH434/CC434-1</f>
        <v>0.26513462527868281</v>
      </c>
      <c r="CI435" s="132">
        <f>CI434/CD434-1</f>
        <v>0.1543307086614174</v>
      </c>
    </row>
    <row r="436" spans="2:87" ht="13.5" customHeight="1">
      <c r="B436" s="1" t="s">
        <v>429</v>
      </c>
      <c r="C436" s="4">
        <v>856</v>
      </c>
      <c r="D436" s="4">
        <v>519</v>
      </c>
      <c r="E436" s="4">
        <v>279</v>
      </c>
      <c r="F436" s="4">
        <v>551</v>
      </c>
      <c r="G436" s="4">
        <v>732</v>
      </c>
      <c r="H436" s="4">
        <v>732</v>
      </c>
      <c r="I436" s="4">
        <v>-2</v>
      </c>
      <c r="J436" s="4">
        <v>591</v>
      </c>
      <c r="K436" s="4">
        <v>1428</v>
      </c>
      <c r="L436" s="4">
        <v>2193</v>
      </c>
      <c r="M436" s="4">
        <v>1926</v>
      </c>
      <c r="N436" s="4">
        <v>3433</v>
      </c>
      <c r="O436" s="4">
        <v>3433</v>
      </c>
      <c r="P436" s="4">
        <v>3531</v>
      </c>
      <c r="Q436" s="4">
        <v>3603</v>
      </c>
      <c r="R436" s="4">
        <v>3552</v>
      </c>
      <c r="S436" s="95">
        <f>SUM(BF436:BI436)</f>
        <v>3547</v>
      </c>
      <c r="U436" s="4">
        <v>187</v>
      </c>
      <c r="V436" s="4">
        <v>-89</v>
      </c>
      <c r="W436" s="4">
        <f>308-V436-U436</f>
        <v>210</v>
      </c>
      <c r="X436" s="6">
        <f>E436-W436-V436-U436</f>
        <v>-29</v>
      </c>
      <c r="Y436" s="4">
        <f>78-Z436</f>
        <v>87</v>
      </c>
      <c r="Z436" s="4">
        <v>-9</v>
      </c>
      <c r="AA436" s="4">
        <f>320-Z436-Y436</f>
        <v>242</v>
      </c>
      <c r="AB436" s="6">
        <f>+F436-SUM(Y436:AA436)</f>
        <v>231</v>
      </c>
      <c r="AC436" s="4">
        <v>330</v>
      </c>
      <c r="AD436" s="4">
        <v>178</v>
      </c>
      <c r="AE436" s="4">
        <v>141</v>
      </c>
      <c r="AF436" s="6">
        <f>G436-AE436-AD436-AC436</f>
        <v>83</v>
      </c>
      <c r="AG436" s="4">
        <v>17</v>
      </c>
      <c r="AH436" s="4">
        <v>20</v>
      </c>
      <c r="AI436" s="4">
        <v>61</v>
      </c>
      <c r="AJ436" s="6">
        <f>I436-AI436-AH436-AG436</f>
        <v>-100</v>
      </c>
      <c r="AK436" s="4">
        <v>309</v>
      </c>
      <c r="AL436" s="4">
        <v>536</v>
      </c>
      <c r="AM436" s="4">
        <v>485</v>
      </c>
      <c r="AN436" s="6">
        <f>K436-AM436-AL436-AK436</f>
        <v>98</v>
      </c>
      <c r="AO436" s="4">
        <v>452</v>
      </c>
      <c r="AP436" s="4">
        <v>498</v>
      </c>
      <c r="AQ436" s="4">
        <v>708</v>
      </c>
      <c r="AR436" s="6">
        <f>M436-AQ436-AP436-AO436</f>
        <v>268</v>
      </c>
      <c r="AS436" s="4">
        <v>860</v>
      </c>
      <c r="AT436" s="4">
        <v>800</v>
      </c>
      <c r="AU436" s="4">
        <v>970</v>
      </c>
      <c r="AV436" s="6">
        <f>N436-AU436-AT436-AS436</f>
        <v>803</v>
      </c>
      <c r="AW436" s="4">
        <v>1037</v>
      </c>
      <c r="AX436" s="4">
        <v>944</v>
      </c>
      <c r="AY436" s="4">
        <v>988</v>
      </c>
      <c r="AZ436" s="6">
        <f>P436-AY436-AX436-AW436</f>
        <v>562</v>
      </c>
      <c r="BA436" s="4">
        <v>840</v>
      </c>
      <c r="BB436" s="4">
        <v>741</v>
      </c>
      <c r="BC436" s="4">
        <v>980</v>
      </c>
      <c r="BD436" s="6">
        <f>Q436-BC436-BB436-BA436</f>
        <v>1042</v>
      </c>
      <c r="BE436" s="4">
        <v>1062</v>
      </c>
      <c r="BF436" s="4">
        <v>1002</v>
      </c>
      <c r="BG436" s="4">
        <v>921</v>
      </c>
      <c r="BH436" s="6">
        <f>R436-SUM(BE436:BG436)</f>
        <v>567</v>
      </c>
      <c r="BI436" s="4">
        <v>1057</v>
      </c>
      <c r="BJ436" s="44"/>
      <c r="BK436" s="4">
        <v>360</v>
      </c>
      <c r="BL436" s="4">
        <v>178</v>
      </c>
      <c r="BM436" s="4">
        <v>141</v>
      </c>
      <c r="BN436" s="6">
        <f>H436-BM436-BL436-BK436</f>
        <v>53</v>
      </c>
      <c r="BO436" s="4">
        <v>196</v>
      </c>
      <c r="BP436" s="4">
        <v>230</v>
      </c>
      <c r="BQ436" s="6"/>
      <c r="BR436" s="6">
        <f>J436-AG436-BP436-BO436</f>
        <v>148</v>
      </c>
      <c r="BS436" s="4">
        <v>320</v>
      </c>
      <c r="BT436" s="4">
        <v>545</v>
      </c>
      <c r="BU436" s="4">
        <v>496</v>
      </c>
      <c r="BV436" s="6">
        <f>K436-BU436-BT436-BS436</f>
        <v>67</v>
      </c>
      <c r="BW436" s="6"/>
      <c r="BX436" s="4">
        <v>432</v>
      </c>
      <c r="BY436" s="4">
        <v>399</v>
      </c>
      <c r="BZ436" s="4">
        <v>637</v>
      </c>
      <c r="CA436" s="6">
        <f>M436-BZ436-BY436-BX436</f>
        <v>458</v>
      </c>
      <c r="CB436" s="4">
        <v>764</v>
      </c>
      <c r="CC436" s="4">
        <v>800</v>
      </c>
      <c r="CD436" s="4">
        <v>965</v>
      </c>
      <c r="CE436" s="6">
        <f>O436-CD436-CC436-CB436</f>
        <v>904</v>
      </c>
      <c r="CF436" s="4">
        <v>1025</v>
      </c>
      <c r="CG436" s="4">
        <v>930</v>
      </c>
      <c r="CH436" s="4">
        <v>937</v>
      </c>
      <c r="CI436" s="6">
        <f>P436-CH436-CG436-CF436</f>
        <v>639</v>
      </c>
    </row>
    <row r="437" spans="2:87" ht="13.5" customHeight="1">
      <c r="B437" s="130"/>
      <c r="C437" s="131">
        <f>C436/(174623*0.07671)-1</f>
        <v>-0.93609713393309057</v>
      </c>
      <c r="D437" s="132">
        <f>+D436/C436-1</f>
        <v>-0.39369158878504673</v>
      </c>
      <c r="E437" s="132">
        <f>+E436/D436-1</f>
        <v>-0.46242774566473988</v>
      </c>
      <c r="F437" s="132">
        <f>+F436/E436-1</f>
        <v>0.97491039426523307</v>
      </c>
      <c r="G437" s="132">
        <f>+G436/F436-1</f>
        <v>0.32849364791288571</v>
      </c>
      <c r="H437" s="132">
        <f>+H436/F436-1</f>
        <v>0.32849364791288571</v>
      </c>
      <c r="I437" s="132">
        <f>+I436/H436-1</f>
        <v>-1.0027322404371584</v>
      </c>
      <c r="J437" s="137">
        <f>(J436/H436)-1</f>
        <v>-0.19262295081967218</v>
      </c>
      <c r="K437" s="132">
        <f>+K436/J436-1</f>
        <v>1.4162436548223352</v>
      </c>
      <c r="L437" s="132">
        <f>+L436/K436-1</f>
        <v>0.53571428571428581</v>
      </c>
      <c r="M437" s="132">
        <f>+M436/L436-1</f>
        <v>-0.12175102599179211</v>
      </c>
      <c r="N437" s="132">
        <f>+N436/L436-1</f>
        <v>0.56543547651618797</v>
      </c>
      <c r="O437" s="132">
        <f>+O436/M436-1</f>
        <v>0.78245067497403942</v>
      </c>
      <c r="P437" s="132">
        <f>+P436/O436-1</f>
        <v>2.8546460821438968E-2</v>
      </c>
      <c r="Q437" s="132">
        <f>+Q436/P436-1</f>
        <v>2.0390824129141949E-2</v>
      </c>
      <c r="R437" s="132">
        <f>+R436/Q436-1</f>
        <v>-1.4154870940882636E-2</v>
      </c>
      <c r="S437" s="177"/>
      <c r="U437" s="132"/>
      <c r="V437" s="132"/>
      <c r="W437" s="132"/>
      <c r="X437" s="132"/>
      <c r="Y437" s="132">
        <f t="shared" ref="Y437:AE437" si="2014">Y436/U436-1</f>
        <v>-0.53475935828876997</v>
      </c>
      <c r="Z437" s="132">
        <f t="shared" si="2014"/>
        <v>-0.898876404494382</v>
      </c>
      <c r="AA437" s="132">
        <f t="shared" si="2014"/>
        <v>0.15238095238095228</v>
      </c>
      <c r="AB437" s="132">
        <f t="shared" si="2014"/>
        <v>-8.9655172413793096</v>
      </c>
      <c r="AC437" s="132">
        <f t="shared" si="2014"/>
        <v>2.7931034482758621</v>
      </c>
      <c r="AD437" s="132">
        <f t="shared" si="2014"/>
        <v>-20.777777777777779</v>
      </c>
      <c r="AE437" s="132">
        <f t="shared" si="2014"/>
        <v>-0.4173553719008265</v>
      </c>
      <c r="AF437" s="132">
        <f>AF436/AB436-1</f>
        <v>-0.64069264069264076</v>
      </c>
      <c r="AG437" s="132">
        <f>AG436/BK436-1</f>
        <v>-0.95277777777777772</v>
      </c>
      <c r="AH437" s="132">
        <f>AH436/BL436-1</f>
        <v>-0.88764044943820219</v>
      </c>
      <c r="AI437" s="132">
        <f>AI436/BM436-1</f>
        <v>-0.56737588652482263</v>
      </c>
      <c r="AJ437" s="132">
        <f>AJ436/BN436-1</f>
        <v>-2.8867924528301887</v>
      </c>
      <c r="AK437" s="137">
        <f>AK436/AG436-1</f>
        <v>17.176470588235293</v>
      </c>
      <c r="AL437" s="137">
        <f>AL436/BO436-1</f>
        <v>1.7346938775510203</v>
      </c>
      <c r="AM437" s="137">
        <f>AM436/BP436-1</f>
        <v>1.1086956521739131</v>
      </c>
      <c r="AN437" s="132">
        <f>AN436/BR436-1</f>
        <v>-0.33783783783783783</v>
      </c>
      <c r="AO437" s="137">
        <f>AO436/AK436-1</f>
        <v>0.46278317152103554</v>
      </c>
      <c r="AP437" s="137">
        <f>AP436/BS436-1</f>
        <v>0.55624999999999991</v>
      </c>
      <c r="AQ437" s="137">
        <f>AQ436/BT436-1</f>
        <v>0.29908256880733952</v>
      </c>
      <c r="AR437" s="132">
        <f>AR436/AN436-1</f>
        <v>1.7346938775510203</v>
      </c>
      <c r="AS437" s="137">
        <f t="shared" ref="AS437:AZ437" si="2015">AS436/BX436-1</f>
        <v>0.9907407407407407</v>
      </c>
      <c r="AT437" s="137">
        <f t="shared" si="2015"/>
        <v>1.0050125313283207</v>
      </c>
      <c r="AU437" s="137">
        <f t="shared" si="2015"/>
        <v>0.52276295133437989</v>
      </c>
      <c r="AV437" s="137">
        <f t="shared" si="2015"/>
        <v>0.7532751091703056</v>
      </c>
      <c r="AW437" s="137">
        <f t="shared" si="2015"/>
        <v>0.35732984293193715</v>
      </c>
      <c r="AX437" s="137">
        <f t="shared" si="2015"/>
        <v>0.17999999999999994</v>
      </c>
      <c r="AY437" s="137">
        <f t="shared" si="2015"/>
        <v>2.3834196891191706E-2</v>
      </c>
      <c r="AZ437" s="137">
        <f t="shared" si="2015"/>
        <v>-0.37831858407079644</v>
      </c>
      <c r="BA437" s="137">
        <f>BA436/AW436-1</f>
        <v>-0.18997107039537131</v>
      </c>
      <c r="BB437" s="137">
        <f>BB436/CG436-1</f>
        <v>-0.20322580645161292</v>
      </c>
      <c r="BC437" s="137">
        <f>BC436/CH436-1</f>
        <v>4.5891141942369318E-2</v>
      </c>
      <c r="BD437" s="137">
        <f>BD436/CI436-1</f>
        <v>0.63067292644757433</v>
      </c>
      <c r="BE437" s="137">
        <f>BE436/BA436-1</f>
        <v>0.26428571428571423</v>
      </c>
      <c r="BF437" s="137">
        <f>BF436/BB436-1</f>
        <v>0.35222672064777338</v>
      </c>
      <c r="BG437" s="137">
        <f>BG436/BC436-1</f>
        <v>-6.0204081632653006E-2</v>
      </c>
      <c r="BH437" s="137">
        <f>BH436/BD436-1</f>
        <v>-0.45585412667946257</v>
      </c>
      <c r="BI437" s="137">
        <f>BI436/BE436-1</f>
        <v>-4.7080979284369606E-3</v>
      </c>
      <c r="BJ437" s="44"/>
      <c r="BK437" s="132">
        <f>BK436/Y436-1</f>
        <v>3.1379310344827589</v>
      </c>
      <c r="BL437" s="132">
        <f>BL436/Z436-1</f>
        <v>-20.777777777777779</v>
      </c>
      <c r="BM437" s="132">
        <f>BM436/AA436-1</f>
        <v>-0.4173553719008265</v>
      </c>
      <c r="BN437" s="132">
        <f>BN436/AB436-1</f>
        <v>-0.77056277056277056</v>
      </c>
      <c r="BO437" s="132">
        <f>BO436/AD436-1</f>
        <v>0.101123595505618</v>
      </c>
      <c r="BP437" s="132">
        <f>BP436/AE436-1</f>
        <v>0.63120567375886516</v>
      </c>
      <c r="BQ437" s="132"/>
      <c r="BR437" s="132">
        <f>BR436/BN436-1</f>
        <v>1.7924528301886791</v>
      </c>
      <c r="BS437" s="137">
        <f>BS436/BO436-1</f>
        <v>0.63265306122448983</v>
      </c>
      <c r="BT437" s="137">
        <f>BT436/BO436-1</f>
        <v>1.7806122448979593</v>
      </c>
      <c r="BU437" s="137">
        <f>BU436/BP436-1</f>
        <v>1.1565217391304348</v>
      </c>
      <c r="BV437" s="132">
        <f>BV436/BR436-1</f>
        <v>-0.54729729729729737</v>
      </c>
      <c r="BW437" s="132"/>
      <c r="BX437" s="137">
        <f>BX436/BS436-1</f>
        <v>0.35000000000000009</v>
      </c>
      <c r="BY437" s="137">
        <f>BY436/BS436-1</f>
        <v>0.24687499999999996</v>
      </c>
      <c r="BZ437" s="137">
        <f>BZ436/BT436-1</f>
        <v>0.16880733944954129</v>
      </c>
      <c r="CA437" s="132">
        <f>CA436/BV436-1</f>
        <v>5.8358208955223878</v>
      </c>
      <c r="CB437" s="137">
        <f>CB436/BX436-1</f>
        <v>0.7685185185185186</v>
      </c>
      <c r="CC437" s="137">
        <f>CC436/BY436-1</f>
        <v>1.0050125313283207</v>
      </c>
      <c r="CD437" s="137">
        <f>CD436/BY436-1</f>
        <v>1.418546365914787</v>
      </c>
      <c r="CE437" s="132">
        <f>CE436/BZ436-1</f>
        <v>0.41915227629513341</v>
      </c>
      <c r="CF437" s="132">
        <f>CF436/CA436-1</f>
        <v>1.2379912663755457</v>
      </c>
      <c r="CG437" s="137">
        <f>CG436/CD436-1</f>
        <v>-3.6269430051813489E-2</v>
      </c>
      <c r="CH437" s="137">
        <f>CH436/CC436-1</f>
        <v>0.1712499999999999</v>
      </c>
      <c r="CI437" s="132">
        <f>CI436/CD436-1</f>
        <v>-0.33782383419689122</v>
      </c>
    </row>
    <row r="438" spans="2:87" ht="13.5" customHeight="1">
      <c r="B438" s="1" t="s">
        <v>430</v>
      </c>
      <c r="C438" s="4">
        <v>-63</v>
      </c>
      <c r="D438" s="4">
        <v>-334</v>
      </c>
      <c r="E438" s="4">
        <v>180</v>
      </c>
      <c r="F438" s="4">
        <v>-1572</v>
      </c>
      <c r="G438" s="4">
        <v>105</v>
      </c>
      <c r="H438" s="4">
        <v>105</v>
      </c>
      <c r="I438" s="4">
        <v>1382</v>
      </c>
      <c r="J438" s="4">
        <v>1667</v>
      </c>
      <c r="K438" s="4">
        <v>2295</v>
      </c>
      <c r="L438" s="4">
        <v>2704</v>
      </c>
      <c r="M438" s="4">
        <v>2704</v>
      </c>
      <c r="N438" s="4">
        <v>2626</v>
      </c>
      <c r="O438" s="4">
        <v>2626</v>
      </c>
      <c r="P438" s="4">
        <v>2932</v>
      </c>
      <c r="Q438" s="4">
        <v>4212</v>
      </c>
      <c r="R438" s="4">
        <v>5830</v>
      </c>
      <c r="S438" s="95">
        <f>SUM(BF438:BI438)</f>
        <v>6083</v>
      </c>
      <c r="U438" s="4">
        <v>-25</v>
      </c>
      <c r="V438" s="4">
        <v>13</v>
      </c>
      <c r="W438" s="4">
        <f>-45-V438-U438</f>
        <v>-33</v>
      </c>
      <c r="X438" s="6">
        <f>E438-W438-V438-U438</f>
        <v>225</v>
      </c>
      <c r="Y438" s="4">
        <f>-497-Z438</f>
        <v>-219</v>
      </c>
      <c r="Z438" s="4">
        <v>-278</v>
      </c>
      <c r="AA438" s="4">
        <f>-1150-Z438-Y438</f>
        <v>-653</v>
      </c>
      <c r="AB438" s="6">
        <f>+F438-SUM(Y438:AA438)</f>
        <v>-422</v>
      </c>
      <c r="AC438" s="4">
        <v>-1</v>
      </c>
      <c r="AD438" s="4">
        <v>-4.5</v>
      </c>
      <c r="AE438" s="4">
        <v>74</v>
      </c>
      <c r="AF438" s="6">
        <f>G438-AE438-AD438-AC438</f>
        <v>36.5</v>
      </c>
      <c r="AG438" s="4">
        <v>288</v>
      </c>
      <c r="AH438" s="4">
        <v>337</v>
      </c>
      <c r="AI438" s="4">
        <v>346</v>
      </c>
      <c r="AJ438" s="6">
        <f>I438-AI438-AH438-AG438</f>
        <v>411</v>
      </c>
      <c r="AK438" s="4">
        <v>406</v>
      </c>
      <c r="AL438" s="4">
        <v>415</v>
      </c>
      <c r="AM438" s="4">
        <v>536</v>
      </c>
      <c r="AN438" s="6">
        <f>K438-AM438-AL438-AK438</f>
        <v>938</v>
      </c>
      <c r="AO438" s="4">
        <v>528</v>
      </c>
      <c r="AP438" s="4">
        <v>566</v>
      </c>
      <c r="AQ438" s="4">
        <v>770</v>
      </c>
      <c r="AR438" s="6">
        <f>M438-AQ438-AP438-AO438</f>
        <v>840</v>
      </c>
      <c r="AS438" s="4">
        <v>500</v>
      </c>
      <c r="AT438" s="4">
        <v>664</v>
      </c>
      <c r="AU438" s="4">
        <v>628</v>
      </c>
      <c r="AV438" s="6">
        <f>N438-AU438-AT438-AS438</f>
        <v>834</v>
      </c>
      <c r="AW438" s="4">
        <v>708</v>
      </c>
      <c r="AX438" s="4">
        <v>780</v>
      </c>
      <c r="AY438" s="4">
        <v>754</v>
      </c>
      <c r="AZ438" s="6">
        <f>P438-AY438-AX438-AW438</f>
        <v>690</v>
      </c>
      <c r="BA438" s="4">
        <v>706</v>
      </c>
      <c r="BB438" s="4">
        <v>1109</v>
      </c>
      <c r="BC438" s="4">
        <v>1192</v>
      </c>
      <c r="BD438" s="6">
        <f>Q438-BC438-BB438-BA438</f>
        <v>1205</v>
      </c>
      <c r="BE438" s="4">
        <v>863</v>
      </c>
      <c r="BF438" s="4">
        <v>1381</v>
      </c>
      <c r="BG438" s="4">
        <v>1607</v>
      </c>
      <c r="BH438" s="6">
        <f>R438-SUM(BE438:BG438)</f>
        <v>1979</v>
      </c>
      <c r="BI438" s="4">
        <v>1116</v>
      </c>
      <c r="BJ438" s="44"/>
      <c r="BK438" s="4">
        <v>-6</v>
      </c>
      <c r="BL438" s="4">
        <v>-50</v>
      </c>
      <c r="BM438" s="4">
        <v>74</v>
      </c>
      <c r="BN438" s="6">
        <f>H438-BM438-BL438-BK438</f>
        <v>87</v>
      </c>
      <c r="BO438" s="4">
        <v>410</v>
      </c>
      <c r="BP438" s="4">
        <v>411</v>
      </c>
      <c r="BQ438" s="6"/>
      <c r="BR438" s="6">
        <f>J438-AG438-BP438-BO438</f>
        <v>558</v>
      </c>
      <c r="BS438" s="4">
        <v>406</v>
      </c>
      <c r="BT438" s="4">
        <v>415</v>
      </c>
      <c r="BU438" s="4">
        <v>536</v>
      </c>
      <c r="BV438" s="6">
        <f>K438-BU438-BT438-BS438</f>
        <v>938</v>
      </c>
      <c r="BW438" s="6"/>
      <c r="BX438" s="4">
        <v>528</v>
      </c>
      <c r="BY438" s="4">
        <v>566</v>
      </c>
      <c r="BZ438" s="4">
        <v>770</v>
      </c>
      <c r="CA438" s="6">
        <f>M438-BZ438-BY438-BX438</f>
        <v>840</v>
      </c>
      <c r="CB438" s="4">
        <v>500</v>
      </c>
      <c r="CC438" s="4">
        <v>664</v>
      </c>
      <c r="CD438" s="4">
        <v>628</v>
      </c>
      <c r="CE438" s="6">
        <f>O438-CD438-CC438-CB438</f>
        <v>834</v>
      </c>
      <c r="CF438" s="4">
        <v>709</v>
      </c>
      <c r="CG438" s="4">
        <v>773</v>
      </c>
      <c r="CH438" s="4">
        <v>754</v>
      </c>
      <c r="CI438" s="6">
        <f>P438-CH438-CG438-CF438</f>
        <v>696</v>
      </c>
    </row>
    <row r="439" spans="2:87" ht="13.5" customHeight="1">
      <c r="B439" s="130"/>
      <c r="C439" s="131">
        <f>C438/(174623*0.07671)-1</f>
        <v>-1.0047031314979151</v>
      </c>
      <c r="D439" s="132">
        <f>+D438/C438-1</f>
        <v>4.3015873015873014</v>
      </c>
      <c r="E439" s="132">
        <f>+E438/D438-1</f>
        <v>-1.5389221556886228</v>
      </c>
      <c r="F439" s="132">
        <f>+F438/E438-1</f>
        <v>-9.7333333333333325</v>
      </c>
      <c r="G439" s="132">
        <f>+G438/F438-1</f>
        <v>-1.0667938931297709</v>
      </c>
      <c r="H439" s="132">
        <f>+H438/F438-1</f>
        <v>-1.0667938931297709</v>
      </c>
      <c r="I439" s="132">
        <f>+I438/H438-1</f>
        <v>12.161904761904761</v>
      </c>
      <c r="J439" s="137">
        <f>(J438/H438)-1</f>
        <v>14.876190476190477</v>
      </c>
      <c r="K439" s="132">
        <f>+K438/J438-1</f>
        <v>0.37672465506898623</v>
      </c>
      <c r="L439" s="132">
        <f>+L438/K438-1</f>
        <v>0.17821350762527244</v>
      </c>
      <c r="M439" s="132">
        <f>+M438/L438-1</f>
        <v>0</v>
      </c>
      <c r="N439" s="132">
        <f>+N438/L438-1</f>
        <v>-2.8846153846153855E-2</v>
      </c>
      <c r="O439" s="132">
        <f>+O438/M438-1</f>
        <v>-2.8846153846153855E-2</v>
      </c>
      <c r="P439" s="132">
        <f>+P438/O438-1</f>
        <v>0.11652703731911651</v>
      </c>
      <c r="Q439" s="132">
        <f>+Q438/P438-1</f>
        <v>0.43656207366984989</v>
      </c>
      <c r="R439" s="132">
        <f>+R438/Q438-1</f>
        <v>0.38414055080721754</v>
      </c>
      <c r="S439" s="177"/>
      <c r="U439" s="132"/>
      <c r="V439" s="132"/>
      <c r="W439" s="132"/>
      <c r="X439" s="132"/>
      <c r="Y439" s="132">
        <f t="shared" ref="Y439:AE439" si="2016">Y438/U438-1</f>
        <v>7.76</v>
      </c>
      <c r="Z439" s="132">
        <f t="shared" si="2016"/>
        <v>-22.384615384615383</v>
      </c>
      <c r="AA439" s="132">
        <f t="shared" si="2016"/>
        <v>18.787878787878789</v>
      </c>
      <c r="AB439" s="132">
        <f t="shared" si="2016"/>
        <v>-2.8755555555555556</v>
      </c>
      <c r="AC439" s="132">
        <f t="shared" si="2016"/>
        <v>-0.99543378995433796</v>
      </c>
      <c r="AD439" s="132">
        <f t="shared" si="2016"/>
        <v>-0.98381294964028776</v>
      </c>
      <c r="AE439" s="132">
        <f t="shared" si="2016"/>
        <v>-1.1133231240428789</v>
      </c>
      <c r="AF439" s="132">
        <f>AF438/AB438-1</f>
        <v>-1.0864928909952607</v>
      </c>
      <c r="AG439" s="132">
        <f>AG438/BK438-1</f>
        <v>-49</v>
      </c>
      <c r="AH439" s="132">
        <f>AH438/BL438-1</f>
        <v>-7.74</v>
      </c>
      <c r="AI439" s="132">
        <f>AI438/BM438-1</f>
        <v>3.6756756756756754</v>
      </c>
      <c r="AJ439" s="132">
        <f>AJ438/BN438-1</f>
        <v>3.7241379310344831</v>
      </c>
      <c r="AK439" s="137">
        <f>AK438/AG438-1</f>
        <v>0.40972222222222232</v>
      </c>
      <c r="AL439" s="137">
        <f>AL438/BO438-1</f>
        <v>1.2195121951219523E-2</v>
      </c>
      <c r="AM439" s="137">
        <f>AM438/BP438-1</f>
        <v>0.30413625304136249</v>
      </c>
      <c r="AN439" s="132">
        <f>AN438/BR438-1</f>
        <v>0.68100358422939067</v>
      </c>
      <c r="AO439" s="137">
        <f>AO438/AK438-1</f>
        <v>0.30049261083743839</v>
      </c>
      <c r="AP439" s="137">
        <f>AP438/BS438-1</f>
        <v>0.39408866995073888</v>
      </c>
      <c r="AQ439" s="137">
        <f>AQ438/BT438-1</f>
        <v>0.85542168674698793</v>
      </c>
      <c r="AR439" s="132">
        <f>AR438/AN438-1</f>
        <v>-0.10447761194029848</v>
      </c>
      <c r="AS439" s="137">
        <f t="shared" ref="AS439:AZ439" si="2017">AS438/BX438-1</f>
        <v>-5.3030303030302983E-2</v>
      </c>
      <c r="AT439" s="137">
        <f t="shared" si="2017"/>
        <v>0.17314487632508824</v>
      </c>
      <c r="AU439" s="137">
        <f t="shared" si="2017"/>
        <v>-0.18441558441558437</v>
      </c>
      <c r="AV439" s="137">
        <f t="shared" si="2017"/>
        <v>-7.1428571428571175E-3</v>
      </c>
      <c r="AW439" s="137">
        <f t="shared" si="2017"/>
        <v>0.41599999999999993</v>
      </c>
      <c r="AX439" s="137">
        <f t="shared" si="2017"/>
        <v>0.17469879518072284</v>
      </c>
      <c r="AY439" s="137">
        <f t="shared" si="2017"/>
        <v>0.2006369426751593</v>
      </c>
      <c r="AZ439" s="137">
        <f t="shared" si="2017"/>
        <v>-0.17266187050359716</v>
      </c>
      <c r="BA439" s="137">
        <f>BA438/AW438-1</f>
        <v>-2.8248587570621764E-3</v>
      </c>
      <c r="BB439" s="137">
        <f>BB438/CG438-1</f>
        <v>0.43467011642949549</v>
      </c>
      <c r="BC439" s="137">
        <f>BC438/CH438-1</f>
        <v>0.58090185676392569</v>
      </c>
      <c r="BD439" s="137">
        <f>BD438/CI438-1</f>
        <v>0.73132183908045967</v>
      </c>
      <c r="BE439" s="137">
        <f>BE438/BA438-1</f>
        <v>0.22237960339943341</v>
      </c>
      <c r="BF439" s="137">
        <f>BF438/BB438-1</f>
        <v>0.24526600541027954</v>
      </c>
      <c r="BG439" s="137">
        <f>BG438/BC438-1</f>
        <v>0.34815436241610742</v>
      </c>
      <c r="BH439" s="137">
        <f>BH438/BD438-1</f>
        <v>0.6423236514522821</v>
      </c>
      <c r="BI439" s="137">
        <f>BI438/BE438-1</f>
        <v>0.29316338354577054</v>
      </c>
      <c r="BJ439" s="44"/>
      <c r="BK439" s="132">
        <f>BK438/Y438-1</f>
        <v>-0.9726027397260274</v>
      </c>
      <c r="BL439" s="132">
        <f>BL438/Z438-1</f>
        <v>-0.82014388489208634</v>
      </c>
      <c r="BM439" s="132">
        <f>BM438/AA438-1</f>
        <v>-1.1133231240428789</v>
      </c>
      <c r="BN439" s="132">
        <f>BN438/AB438-1</f>
        <v>-1.2061611374407584</v>
      </c>
      <c r="BO439" s="132">
        <f>BO438/AD438-1</f>
        <v>-92.111111111111114</v>
      </c>
      <c r="BP439" s="132">
        <f>BP438/AE438-1</f>
        <v>4.5540540540540544</v>
      </c>
      <c r="BQ439" s="132"/>
      <c r="BR439" s="132">
        <f>BR438/BN438-1</f>
        <v>5.4137931034482758</v>
      </c>
      <c r="BS439" s="137">
        <f>BS438/BO438-1</f>
        <v>-9.7560975609756184E-3</v>
      </c>
      <c r="BT439" s="137">
        <f>BT438/BO438-1</f>
        <v>1.2195121951219523E-2</v>
      </c>
      <c r="BU439" s="137">
        <f>BU438/BP438-1</f>
        <v>0.30413625304136249</v>
      </c>
      <c r="BV439" s="132">
        <f>BV438/BR438-1</f>
        <v>0.68100358422939067</v>
      </c>
      <c r="BW439" s="132"/>
      <c r="BX439" s="137">
        <f>BX438/BS438-1</f>
        <v>0.30049261083743839</v>
      </c>
      <c r="BY439" s="137">
        <f>BY438/BS438-1</f>
        <v>0.39408866995073888</v>
      </c>
      <c r="BZ439" s="137">
        <f>BZ438/BT438-1</f>
        <v>0.85542168674698793</v>
      </c>
      <c r="CA439" s="132">
        <f>CA438/BV438-1</f>
        <v>-0.10447761194029848</v>
      </c>
      <c r="CB439" s="137">
        <f>CB438/BX438-1</f>
        <v>-5.3030303030302983E-2</v>
      </c>
      <c r="CC439" s="137">
        <f>CC438/BY438-1</f>
        <v>0.17314487632508824</v>
      </c>
      <c r="CD439" s="137">
        <f>CD438/BY438-1</f>
        <v>0.10954063604240272</v>
      </c>
      <c r="CE439" s="132">
        <f>CE438/BZ438-1</f>
        <v>8.3116883116883145E-2</v>
      </c>
      <c r="CF439" s="132">
        <f>CF438/CA438-1</f>
        <v>-0.15595238095238095</v>
      </c>
      <c r="CG439" s="137">
        <f>CG438/CD438-1</f>
        <v>0.23089171974522293</v>
      </c>
      <c r="CH439" s="137">
        <f>CH438/CC438-1</f>
        <v>0.1355421686746987</v>
      </c>
      <c r="CI439" s="132">
        <f>CI438/CD438-1</f>
        <v>0.10828025477707004</v>
      </c>
    </row>
    <row r="440" spans="2:87" ht="13.5" customHeight="1">
      <c r="B440" s="1" t="s">
        <v>431</v>
      </c>
      <c r="C440" s="4">
        <v>-10</v>
      </c>
      <c r="D440" s="4">
        <v>88</v>
      </c>
      <c r="E440" s="4">
        <f>29297-E432-E434-E436-E438</f>
        <v>583</v>
      </c>
      <c r="F440" s="4">
        <f>27288-F432-F434-F436-F438</f>
        <v>-284</v>
      </c>
      <c r="G440" s="4">
        <f>31705-G438-G436-G434-G432</f>
        <v>-325</v>
      </c>
      <c r="H440" s="4">
        <f>31700-H438-H436-H434-H432</f>
        <v>-330</v>
      </c>
      <c r="I440" s="4">
        <f>33426-I438-I436-I434-I432</f>
        <v>-441</v>
      </c>
      <c r="J440" s="4">
        <f>37873-J438-J436-J434-J432</f>
        <v>-440</v>
      </c>
      <c r="K440" s="4">
        <f>45193-K438-K436-K434-K432</f>
        <v>-389</v>
      </c>
      <c r="L440" s="4">
        <f>49178-L438-L436-L434-L432</f>
        <v>-750</v>
      </c>
      <c r="M440" s="4">
        <f>47372-M438-M436-M434-M432</f>
        <v>519</v>
      </c>
      <c r="N440" s="4">
        <f>53445-N438-N436-N434-N432</f>
        <v>1452</v>
      </c>
      <c r="O440" s="4">
        <f>53445-O438-O436-O434-O432</f>
        <v>1452</v>
      </c>
      <c r="P440" s="4">
        <f>54942-P438-P436-P434-P432</f>
        <v>778</v>
      </c>
      <c r="Q440" s="4">
        <f>55474-Q438-Q436-Q434-Q432</f>
        <v>1084</v>
      </c>
      <c r="R440" s="4">
        <f>59456-R438-R436-R434-R432</f>
        <v>1327</v>
      </c>
      <c r="S440" s="95">
        <f>SUM(BF440:BI440)</f>
        <v>1316</v>
      </c>
      <c r="U440" s="4">
        <v>218</v>
      </c>
      <c r="V440" s="4">
        <v>172</v>
      </c>
      <c r="W440" s="4">
        <v>195</v>
      </c>
      <c r="X440" s="6">
        <f>E440-W440-V440-U440</f>
        <v>-2</v>
      </c>
      <c r="Y440" s="4">
        <v>-51</v>
      </c>
      <c r="Z440" s="4">
        <v>-54</v>
      </c>
      <c r="AA440" s="4">
        <v>-108</v>
      </c>
      <c r="AB440" s="6">
        <f>+F440-SUM(Y440:AA440)</f>
        <v>-71</v>
      </c>
      <c r="AC440" s="4">
        <f>6494-AC432-AC434-AC436-AC438</f>
        <v>-102</v>
      </c>
      <c r="AD440" s="4">
        <f>7476-AD432-AD434-AD436-AD438</f>
        <v>-340.5</v>
      </c>
      <c r="AE440" s="4">
        <f>8301-AE432-AE434-AE436-AE438</f>
        <v>-243</v>
      </c>
      <c r="AF440" s="6">
        <f>G440-AE440-AD440-AC440</f>
        <v>360.5</v>
      </c>
      <c r="AG440" s="4">
        <f>6933-AG432-AG434-AG436-AG438</f>
        <v>-230</v>
      </c>
      <c r="AH440" s="4">
        <f>7707-AH432-AH434-AH436-AH438</f>
        <v>-281</v>
      </c>
      <c r="AI440" s="4">
        <f>9135-AI432-AI434-AI436-AI438</f>
        <v>-367</v>
      </c>
      <c r="AJ440" s="6">
        <f>I440-AI440-AH440-AG440</f>
        <v>437</v>
      </c>
      <c r="AK440" s="4">
        <f>8899-AK432-AK434-AK436-AK438</f>
        <v>-157</v>
      </c>
      <c r="AL440" s="4">
        <f>11375-AL432-AL434-AL436-AL438</f>
        <v>-158</v>
      </c>
      <c r="AM440" s="4">
        <f>12110-AM432-AM434-AM436-AM438</f>
        <v>-221</v>
      </c>
      <c r="AN440" s="6">
        <f>K440-AM440-AL440-AK440</f>
        <v>147</v>
      </c>
      <c r="AO440" s="4">
        <f>10653-AO432-AO434-AO436-AO438</f>
        <v>-32</v>
      </c>
      <c r="AP440" s="4">
        <f>12056-AP432-AP434-AP436-AP438</f>
        <v>-92</v>
      </c>
      <c r="AQ440" s="4">
        <f>12963-AQ432-AQ434-AQ436-AQ438</f>
        <v>-137</v>
      </c>
      <c r="AR440" s="6">
        <f>M440-AQ440-AP440-AO440</f>
        <v>780</v>
      </c>
      <c r="AS440" s="4">
        <f>11897-AS432-AS434-AS436-AS438</f>
        <v>126</v>
      </c>
      <c r="AT440" s="4">
        <f>12992-AT432-AT434-AT436-AT438</f>
        <v>362</v>
      </c>
      <c r="AU440" s="4">
        <f>14505-AU432-AU434-AU436-AU438</f>
        <v>344</v>
      </c>
      <c r="AV440" s="6">
        <f>N440-AU440-AT440-AS440</f>
        <v>620</v>
      </c>
      <c r="AW440" s="4">
        <f>12857-AW432-AW434-AW436-AW438</f>
        <v>114</v>
      </c>
      <c r="AX440" s="4">
        <f>14002-AX432-AX434-AX436-AX438</f>
        <v>278</v>
      </c>
      <c r="AY440" s="4">
        <f>14467-AY432-AY434-AY436-AY438</f>
        <v>186</v>
      </c>
      <c r="AZ440" s="6">
        <f>P440-AY440-AX440-AW440</f>
        <v>200</v>
      </c>
      <c r="BA440" s="4">
        <f>11872-BA432-BA434-BA436-BA438</f>
        <v>125</v>
      </c>
      <c r="BB440" s="4">
        <f>13953-BB432-BB434-BB436-BB438</f>
        <v>235</v>
      </c>
      <c r="BC440" s="4">
        <f>15640-BC432-BC434-BC436-BC438</f>
        <v>233</v>
      </c>
      <c r="BD440" s="6">
        <f>Q440-BC440-BB440-BA440</f>
        <v>491</v>
      </c>
      <c r="BE440" s="4">
        <f>12817-BE432-BE434-BE436-BE438</f>
        <v>247</v>
      </c>
      <c r="BF440" s="4">
        <f>14897-BF432-BF434-BF436-BF438</f>
        <v>289</v>
      </c>
      <c r="BG440" s="4">
        <f>15776-BG432-BG434-BG436-BG438</f>
        <v>375</v>
      </c>
      <c r="BH440" s="6">
        <f>R440-SUM(BE440:BG440)</f>
        <v>416</v>
      </c>
      <c r="BI440" s="4">
        <f>14036-BI432-BI434-BI436-BI438</f>
        <v>236</v>
      </c>
      <c r="BJ440" s="44"/>
      <c r="BK440" s="4">
        <f>6505-BK432-BK434-BK436-BK438</f>
        <v>-133</v>
      </c>
      <c r="BL440" s="4">
        <f>7461-BL432-BL434-BL436-BL438</f>
        <v>-299</v>
      </c>
      <c r="BM440" s="4">
        <f>8301-BM432-BM434-BM436-BM438</f>
        <v>-243</v>
      </c>
      <c r="BN440" s="6">
        <f>H440-BM440-BL440-BK440</f>
        <v>345</v>
      </c>
      <c r="BO440" s="4">
        <f>8805-BO432-BO434-BO436-BO438</f>
        <v>-279</v>
      </c>
      <c r="BP440" s="4">
        <f>10270-BP432-BP434-BP436-BP438</f>
        <v>-367</v>
      </c>
      <c r="BQ440" s="6"/>
      <c r="BR440" s="6">
        <f>J440-AG440-BP440-BO440</f>
        <v>436</v>
      </c>
      <c r="BS440" s="4">
        <f>8911-BS432-BS434-BS436-BS438</f>
        <v>-157</v>
      </c>
      <c r="BT440" s="4">
        <f>11384-BT432-BT434-BT436-BT438</f>
        <v>-158</v>
      </c>
      <c r="BU440" s="4">
        <f>12122-BU432-BU434-BU436-BU438</f>
        <v>-220</v>
      </c>
      <c r="BV440" s="6">
        <f>K440-BU440-BT440-BS440</f>
        <v>146</v>
      </c>
      <c r="BW440" s="6"/>
      <c r="BX440" s="4">
        <f>10633-BX432-BX434-BX436-BX438</f>
        <v>120</v>
      </c>
      <c r="BY440" s="4">
        <f>11549-BY432-BY434-BY436-BY438</f>
        <v>185</v>
      </c>
      <c r="BZ440" s="4">
        <f>12594-BZ432-BZ434-BZ436-BZ438</f>
        <v>247</v>
      </c>
      <c r="CA440" s="6">
        <f>M440-BZ440-BY440-BX440</f>
        <v>-33</v>
      </c>
      <c r="CB440" s="4">
        <f>11312-CB432-CB434-CB436-CB438</f>
        <v>319</v>
      </c>
      <c r="CC440" s="4">
        <f>12992-CC432-CC434-CC436-CC438</f>
        <v>362</v>
      </c>
      <c r="CD440" s="4">
        <f>14501-CD432-CD434-CD436-CD438</f>
        <v>345</v>
      </c>
      <c r="CE440" s="6">
        <f>O440-CD440-CC440-CB440</f>
        <v>426</v>
      </c>
      <c r="CF440" s="4">
        <f>12852-CF432-CF434-CF436-CF438</f>
        <v>120</v>
      </c>
      <c r="CG440" s="4">
        <f>13988-CG432-CG434-CG436-CG438</f>
        <v>285</v>
      </c>
      <c r="CH440" s="4">
        <f>14423-CH432-CH434-CH436-CH438</f>
        <v>193</v>
      </c>
      <c r="CI440" s="6">
        <f>P440-CH440-CG440-CF440</f>
        <v>180</v>
      </c>
    </row>
    <row r="441" spans="2:87" ht="13.5" customHeight="1">
      <c r="B441" s="5" t="s">
        <v>432</v>
      </c>
      <c r="C441" s="8">
        <f t="shared" ref="C441:I441" si="2018">+C432+C434+C436+C438+C440</f>
        <v>18420</v>
      </c>
      <c r="D441" s="8">
        <f t="shared" si="2018"/>
        <v>23369</v>
      </c>
      <c r="E441" s="8">
        <f t="shared" si="2018"/>
        <v>29297</v>
      </c>
      <c r="F441" s="8">
        <f t="shared" si="2018"/>
        <v>27288</v>
      </c>
      <c r="G441" s="8">
        <f t="shared" si="2018"/>
        <v>31705</v>
      </c>
      <c r="H441" s="8">
        <f t="shared" si="2018"/>
        <v>31700</v>
      </c>
      <c r="I441" s="8">
        <f t="shared" si="2018"/>
        <v>33426</v>
      </c>
      <c r="J441" s="8">
        <f t="shared" ref="J441:N441" si="2019">+J432+J434+J436+J438+J440</f>
        <v>37873</v>
      </c>
      <c r="K441" s="8">
        <f t="shared" si="2019"/>
        <v>45193</v>
      </c>
      <c r="L441" s="8">
        <f t="shared" si="2019"/>
        <v>49178</v>
      </c>
      <c r="M441" s="8">
        <f t="shared" si="2019"/>
        <v>47372</v>
      </c>
      <c r="N441" s="8">
        <f t="shared" si="2019"/>
        <v>53445</v>
      </c>
      <c r="O441" s="8">
        <f t="shared" ref="O441" si="2020">+O432+O434+O436+O438+O440</f>
        <v>53445</v>
      </c>
      <c r="P441" s="8">
        <f>+P432+P434+P436+P438+P440</f>
        <v>54942</v>
      </c>
      <c r="Q441" s="8">
        <f>+Q432+Q434+Q436+Q438+Q440</f>
        <v>55474</v>
      </c>
      <c r="R441" s="8">
        <f>+R432+R434+R436+R438+R440</f>
        <v>59456</v>
      </c>
      <c r="S441" s="8">
        <f t="shared" ref="S441" si="2021">+S432+S434+S436+S438+S440</f>
        <v>60675</v>
      </c>
      <c r="U441" s="8">
        <f t="shared" ref="U441:AB441" si="2022">+U432+U434+U436+U438+U440</f>
        <v>5775</v>
      </c>
      <c r="V441" s="8">
        <f t="shared" si="2022"/>
        <v>6884</v>
      </c>
      <c r="W441" s="8">
        <f t="shared" si="2022"/>
        <v>8020</v>
      </c>
      <c r="X441" s="8">
        <f t="shared" si="2022"/>
        <v>8618</v>
      </c>
      <c r="Y441" s="8">
        <f t="shared" si="2022"/>
        <v>5786</v>
      </c>
      <c r="Z441" s="8">
        <f t="shared" si="2022"/>
        <v>6892</v>
      </c>
      <c r="AA441" s="8">
        <f t="shared" si="2022"/>
        <v>7102</v>
      </c>
      <c r="AB441" s="8">
        <f t="shared" si="2022"/>
        <v>7508</v>
      </c>
      <c r="AC441" s="8">
        <f t="shared" ref="AC441:AH441" si="2023">+AC432+AC434+AC436+AC438+AC440</f>
        <v>6494</v>
      </c>
      <c r="AD441" s="8">
        <f t="shared" si="2023"/>
        <v>7476</v>
      </c>
      <c r="AE441" s="8">
        <f t="shared" si="2023"/>
        <v>8301</v>
      </c>
      <c r="AF441" s="8">
        <f t="shared" si="2023"/>
        <v>9434</v>
      </c>
      <c r="AG441" s="8">
        <f t="shared" si="2023"/>
        <v>6933</v>
      </c>
      <c r="AH441" s="8">
        <f t="shared" si="2023"/>
        <v>7707</v>
      </c>
      <c r="AI441" s="8">
        <f t="shared" ref="AI441:AN441" si="2024">+AI432+AI434+AI436+AI438+AI440</f>
        <v>9135</v>
      </c>
      <c r="AJ441" s="8">
        <f t="shared" si="2024"/>
        <v>9651</v>
      </c>
      <c r="AK441" s="8">
        <f t="shared" si="2024"/>
        <v>8899</v>
      </c>
      <c r="AL441" s="8">
        <f t="shared" si="2024"/>
        <v>11375</v>
      </c>
      <c r="AM441" s="8">
        <f t="shared" si="2024"/>
        <v>12110</v>
      </c>
      <c r="AN441" s="8">
        <f t="shared" si="2024"/>
        <v>12809</v>
      </c>
      <c r="AO441" s="8">
        <f>+AO432+AO434+AO436+AO438+AO440</f>
        <v>10653</v>
      </c>
      <c r="AP441" s="8">
        <f>+AP432+AP434+AP436+AP438+AP440</f>
        <v>12056</v>
      </c>
      <c r="AQ441" s="8">
        <f>+AQ432+AQ434+AQ436+AQ438+AQ440</f>
        <v>12963</v>
      </c>
      <c r="AR441" s="8">
        <f t="shared" ref="AR441" si="2025">+AR432+AR434+AR436+AR438+AR440</f>
        <v>11700</v>
      </c>
      <c r="AS441" s="8">
        <f>+AS432+AS434+AS436+AS438+AS440</f>
        <v>11897</v>
      </c>
      <c r="AT441" s="8">
        <f>+AT432+AT434+AT436+AT438+AT440</f>
        <v>12992</v>
      </c>
      <c r="AU441" s="8">
        <f>+AU432+AU434+AU436+AU438+AU440</f>
        <v>14505</v>
      </c>
      <c r="AV441" s="8">
        <f t="shared" ref="AV441" si="2026">+AV432+AV434+AV436+AV438+AV440</f>
        <v>14051</v>
      </c>
      <c r="AW441" s="8">
        <f>+AW432+AW434+AW436+AW438+AW440</f>
        <v>12857</v>
      </c>
      <c r="AX441" s="8">
        <f>+AX432+AX434+AX436+AX438+AX440</f>
        <v>14002</v>
      </c>
      <c r="AY441" s="8">
        <f>+AY432+AY434+AY436+AY438+AY440</f>
        <v>14467</v>
      </c>
      <c r="AZ441" s="8">
        <f t="shared" ref="AZ441" si="2027">+AZ432+AZ434+AZ436+AZ438+AZ440</f>
        <v>13616</v>
      </c>
      <c r="BA441" s="8">
        <f>+BA432+BA434+BA436+BA438+BA440</f>
        <v>11872</v>
      </c>
      <c r="BB441" s="8">
        <f>+BB432+BB434+BB436+BB438+BB440</f>
        <v>13953</v>
      </c>
      <c r="BC441" s="8">
        <f>+BC432+BC434+BC436+BC438+BC440</f>
        <v>15640</v>
      </c>
      <c r="BD441" s="8">
        <f t="shared" ref="BD441" si="2028">+BD432+BD434+BD436+BD438+BD440</f>
        <v>14009</v>
      </c>
      <c r="BE441" s="8">
        <f>+BE432+BE434+BE436+BE438+BE440</f>
        <v>12817</v>
      </c>
      <c r="BF441" s="8">
        <f>+BF432+BF434+BF436+BF438+BF440</f>
        <v>14897</v>
      </c>
      <c r="BG441" s="8">
        <f>+BG432+BG434+BG436+BG438+BG440</f>
        <v>15776</v>
      </c>
      <c r="BH441" s="8">
        <f>+BH432+BH434+BH436+BH438+BH440</f>
        <v>15966</v>
      </c>
      <c r="BI441" s="8">
        <f>+BI432+BI434+BI436+BI438+BI440</f>
        <v>14036</v>
      </c>
      <c r="BJ441" s="44"/>
      <c r="BK441" s="8">
        <f t="shared" ref="BK441:BP441" si="2029">+BK432+BK434+BK436+BK438+BK440</f>
        <v>6505</v>
      </c>
      <c r="BL441" s="8">
        <f t="shared" si="2029"/>
        <v>7461</v>
      </c>
      <c r="BM441" s="8">
        <f t="shared" si="2029"/>
        <v>8301</v>
      </c>
      <c r="BN441" s="8">
        <f t="shared" si="2029"/>
        <v>9433</v>
      </c>
      <c r="BO441" s="8">
        <f t="shared" si="2029"/>
        <v>8805</v>
      </c>
      <c r="BP441" s="8">
        <f t="shared" si="2029"/>
        <v>10270</v>
      </c>
      <c r="BQ441" s="8">
        <f>SUM(BQ432:BQ440)</f>
        <v>0</v>
      </c>
      <c r="BR441" s="8">
        <f t="shared" ref="BR441:BY441" si="2030">+BR432+BR434+BR436+BR438+BR440</f>
        <v>11865</v>
      </c>
      <c r="BS441" s="8">
        <f t="shared" si="2030"/>
        <v>8911</v>
      </c>
      <c r="BT441" s="8">
        <f t="shared" si="2030"/>
        <v>11384</v>
      </c>
      <c r="BU441" s="8">
        <f t="shared" si="2030"/>
        <v>12122</v>
      </c>
      <c r="BV441" s="8">
        <f t="shared" si="2030"/>
        <v>12776</v>
      </c>
      <c r="BW441" s="8"/>
      <c r="BX441" s="8">
        <f t="shared" si="2030"/>
        <v>10633</v>
      </c>
      <c r="BY441" s="8">
        <f t="shared" si="2030"/>
        <v>11549</v>
      </c>
      <c r="BZ441" s="8">
        <f t="shared" ref="BZ441:CC441" si="2031">+BZ432+BZ434+BZ436+BZ438+BZ440</f>
        <v>12594</v>
      </c>
      <c r="CA441" s="8">
        <f t="shared" si="2031"/>
        <v>12596</v>
      </c>
      <c r="CB441" s="8">
        <f t="shared" si="2031"/>
        <v>11312</v>
      </c>
      <c r="CC441" s="8">
        <f t="shared" si="2031"/>
        <v>12992</v>
      </c>
      <c r="CD441" s="8">
        <f t="shared" ref="CD441:CE441" si="2032">+CD432+CD434+CD436+CD438+CD440</f>
        <v>14501</v>
      </c>
      <c r="CE441" s="8">
        <f t="shared" si="2032"/>
        <v>14640</v>
      </c>
      <c r="CF441" s="8">
        <f>+CF432+CF434+CF436+CF438+CF440</f>
        <v>12852</v>
      </c>
      <c r="CG441" s="8">
        <f t="shared" ref="CG441:CI441" si="2033">+CG432+CG434+CG436+CG438+CG440</f>
        <v>13988</v>
      </c>
      <c r="CH441" s="8">
        <f t="shared" si="2033"/>
        <v>14423</v>
      </c>
      <c r="CI441" s="8">
        <f t="shared" si="2033"/>
        <v>13679</v>
      </c>
    </row>
    <row r="442" spans="2:87" ht="13.5" customHeight="1">
      <c r="B442" s="136" t="s">
        <v>317</v>
      </c>
      <c r="C442" s="120">
        <f>C51</f>
        <v>6.7764187583328583E-2</v>
      </c>
      <c r="D442" s="137">
        <f>(D441/C441)-1</f>
        <v>0.26867535287730737</v>
      </c>
      <c r="E442" s="137">
        <f>(E441/D441)-1</f>
        <v>0.2536693910736445</v>
      </c>
      <c r="F442" s="137">
        <f>(F441/E441)-1</f>
        <v>-6.8573574086083888E-2</v>
      </c>
      <c r="G442" s="137">
        <f>(G441/F441)-1</f>
        <v>0.1618660216945178</v>
      </c>
      <c r="H442" s="137">
        <f>(H441/F441)-1</f>
        <v>0.16168279097038996</v>
      </c>
      <c r="I442" s="137">
        <f>(I441/H441)-1</f>
        <v>5.4447949526813977E-2</v>
      </c>
      <c r="J442" s="137">
        <f>(J441/H441)-1</f>
        <v>0.19473186119873809</v>
      </c>
      <c r="K442" s="132">
        <f>+K441/J441-1</f>
        <v>0.19327753280701288</v>
      </c>
      <c r="L442" s="132">
        <f>+L441/K441-1</f>
        <v>8.8177372601951687E-2</v>
      </c>
      <c r="M442" s="132">
        <f>+M441/L441-1</f>
        <v>-3.6723738256944194E-2</v>
      </c>
      <c r="N442" s="132">
        <f>+N441/L441-1</f>
        <v>8.6766440278173151E-2</v>
      </c>
      <c r="O442" s="132">
        <f>+O441/M441-1</f>
        <v>0.12819809169973828</v>
      </c>
      <c r="P442" s="132">
        <f>+P441/O441-1</f>
        <v>2.8010103845074408E-2</v>
      </c>
      <c r="Q442" s="132">
        <f>+Q441/P441-1</f>
        <v>9.6829383713734618E-3</v>
      </c>
      <c r="R442" s="132">
        <f>+R441/Q441-1</f>
        <v>7.1781375058586061E-2</v>
      </c>
      <c r="S442" s="137"/>
      <c r="U442" s="120">
        <f>U51</f>
        <v>0.35563380281690149</v>
      </c>
      <c r="V442" s="120">
        <f>V51</f>
        <v>0.21797593772116075</v>
      </c>
      <c r="W442" s="120">
        <f>W51</f>
        <v>0.22855392156862742</v>
      </c>
      <c r="X442" s="120">
        <f>X51</f>
        <v>0.25112498185513132</v>
      </c>
      <c r="Y442" s="137">
        <f t="shared" ref="Y442:AE442" si="2034">Y441/U441-1</f>
        <v>1.9047619047618536E-3</v>
      </c>
      <c r="Z442" s="137">
        <f t="shared" si="2034"/>
        <v>1.1621150493899002E-3</v>
      </c>
      <c r="AA442" s="137">
        <f t="shared" si="2034"/>
        <v>-0.11446384039900248</v>
      </c>
      <c r="AB442" s="137">
        <f t="shared" si="2034"/>
        <v>-0.12880018565792528</v>
      </c>
      <c r="AC442" s="137">
        <f t="shared" si="2034"/>
        <v>0.1223643276875217</v>
      </c>
      <c r="AD442" s="137">
        <f t="shared" si="2034"/>
        <v>8.4735925710969218E-2</v>
      </c>
      <c r="AE442" s="137">
        <f t="shared" si="2034"/>
        <v>0.16882568290622357</v>
      </c>
      <c r="AF442" s="137">
        <f>AF441/AB441-1</f>
        <v>0.25652637187000527</v>
      </c>
      <c r="AG442" s="132">
        <f>AG441/BK441-1</f>
        <v>6.5795541890853126E-2</v>
      </c>
      <c r="AH442" s="132">
        <f>AH441/BL441-1</f>
        <v>3.2971451548049924E-2</v>
      </c>
      <c r="AI442" s="132">
        <f>AI441/BM441-1</f>
        <v>0.10046982291290196</v>
      </c>
      <c r="AJ442" s="132">
        <f>AJ441/BN441-1</f>
        <v>2.3110357256440173E-2</v>
      </c>
      <c r="AK442" s="137">
        <f>AK441/AG441-1</f>
        <v>0.28357132554449738</v>
      </c>
      <c r="AL442" s="137">
        <f>AL441/BO441-1</f>
        <v>0.29187961385576378</v>
      </c>
      <c r="AM442" s="137">
        <f>AM441/BP441-1</f>
        <v>0.17916260954235641</v>
      </c>
      <c r="AN442" s="132">
        <f>AN441/BR441-1</f>
        <v>7.9561736198904276E-2</v>
      </c>
      <c r="AO442" s="137">
        <f>AO441/AK441-1</f>
        <v>0.19710079784245416</v>
      </c>
      <c r="AP442" s="137">
        <f>AP441/BS441-1</f>
        <v>0.35293457524408045</v>
      </c>
      <c r="AQ442" s="137">
        <f>AQ441/BT441-1</f>
        <v>0.13870344342937457</v>
      </c>
      <c r="AR442" s="132">
        <f>AR441/AN441-1</f>
        <v>-8.6579748614255547E-2</v>
      </c>
      <c r="AS442" s="137">
        <f t="shared" ref="AS442:AZ442" si="2035">AS441/BX441-1</f>
        <v>0.11887519984952499</v>
      </c>
      <c r="AT442" s="137">
        <f t="shared" si="2035"/>
        <v>0.12494588276041219</v>
      </c>
      <c r="AU442" s="137">
        <f t="shared" si="2035"/>
        <v>0.15173892329680805</v>
      </c>
      <c r="AV442" s="137">
        <f t="shared" si="2035"/>
        <v>0.11551286122578586</v>
      </c>
      <c r="AW442" s="137">
        <f t="shared" si="2035"/>
        <v>0.1365806223479491</v>
      </c>
      <c r="AX442" s="137">
        <f t="shared" si="2035"/>
        <v>7.7740147783251334E-2</v>
      </c>
      <c r="AY442" s="137">
        <f t="shared" si="2035"/>
        <v>-2.3446658851113966E-3</v>
      </c>
      <c r="AZ442" s="137">
        <f t="shared" si="2035"/>
        <v>-6.9945355191256886E-2</v>
      </c>
      <c r="BA442" s="137">
        <f>BA441/AW441-1</f>
        <v>-7.6611962355137231E-2</v>
      </c>
      <c r="BB442" s="137">
        <f>BB441/CG441-1</f>
        <v>-2.50214469545329E-3</v>
      </c>
      <c r="BC442" s="137">
        <f>BC441/CH441-1</f>
        <v>8.4379116688622302E-2</v>
      </c>
      <c r="BD442" s="137">
        <f>BD441/CI441-1</f>
        <v>2.4124570509540089E-2</v>
      </c>
      <c r="BE442" s="137">
        <f>BE441/BA441-1</f>
        <v>7.9599056603773644E-2</v>
      </c>
      <c r="BF442" s="137">
        <f>BF441/BB441-1</f>
        <v>6.7655701282878233E-2</v>
      </c>
      <c r="BG442" s="137">
        <f>BG441/BC441-1</f>
        <v>8.6956521739129933E-3</v>
      </c>
      <c r="BH442" s="137">
        <f>BH441/BD441-1</f>
        <v>0.13969590977228918</v>
      </c>
      <c r="BI442" s="137">
        <f>BI441/BE441-1</f>
        <v>9.5108059608332685E-2</v>
      </c>
      <c r="BJ442" s="44"/>
      <c r="BK442" s="132">
        <f>BK441/Y441-1</f>
        <v>0.1242654683719322</v>
      </c>
      <c r="BL442" s="132">
        <f>BL441/Z441-1</f>
        <v>8.2559489262913566E-2</v>
      </c>
      <c r="BM442" s="132">
        <f>BM441/AA441-1</f>
        <v>0.16882568290622357</v>
      </c>
      <c r="BN442" s="132">
        <f>BN441/AB441-1</f>
        <v>0.25639318060735206</v>
      </c>
      <c r="BO442" s="132">
        <f>BO441/AD441-1</f>
        <v>0.17776886035313</v>
      </c>
      <c r="BP442" s="132">
        <f>BP441/AE441-1</f>
        <v>0.23720033730875789</v>
      </c>
      <c r="BQ442" s="137">
        <f>BQ441/X441-1</f>
        <v>-1</v>
      </c>
      <c r="BR442" s="132">
        <f>BR441/AF441-1</f>
        <v>0.25768496926012285</v>
      </c>
      <c r="BS442" s="137">
        <f>BS441/BO441-1</f>
        <v>1.2038614423622862E-2</v>
      </c>
      <c r="BT442" s="137">
        <f>BT441/BO441-1</f>
        <v>0.29290176036342985</v>
      </c>
      <c r="BU442" s="137">
        <f>BU441/BP441-1</f>
        <v>0.18033106134371968</v>
      </c>
      <c r="BV442" s="132">
        <f>BV441/AJ441-1</f>
        <v>0.32380064242047446</v>
      </c>
      <c r="BW442" s="132"/>
      <c r="BX442" s="137">
        <f>BX441/BS441-1</f>
        <v>0.19324430479183041</v>
      </c>
      <c r="BY442" s="137">
        <f>BY441/BS441-1</f>
        <v>0.29603860397261816</v>
      </c>
      <c r="BZ442" s="137">
        <f>BZ441/BT441-1</f>
        <v>0.10628952916373868</v>
      </c>
      <c r="CA442" s="132">
        <f>CA441/BV441-1</f>
        <v>-1.4088916718847821E-2</v>
      </c>
      <c r="CB442" s="137">
        <f>CB441/BX441-1</f>
        <v>6.3857801184990182E-2</v>
      </c>
      <c r="CC442" s="137">
        <f>CC441/BY441-1</f>
        <v>0.12494588276041219</v>
      </c>
      <c r="CD442" s="137">
        <f>CD441/BY441-1</f>
        <v>0.25560654602130062</v>
      </c>
      <c r="CE442" s="132">
        <f>CE441/BZ441-1</f>
        <v>0.16245831348261075</v>
      </c>
      <c r="CF442" s="132">
        <f>CF441/CA441-1</f>
        <v>2.0323912353128026E-2</v>
      </c>
      <c r="CG442" s="137">
        <f>CG441/CD441-1</f>
        <v>-3.5376870560650975E-2</v>
      </c>
      <c r="CH442" s="137">
        <f>CH441/CC441-1</f>
        <v>0.11014470443349755</v>
      </c>
      <c r="CI442" s="132">
        <f>CI441/CD441-1</f>
        <v>-5.6685745810633792E-2</v>
      </c>
    </row>
    <row r="443" spans="2:87" s="138" customFormat="1" ht="13.5" customHeight="1">
      <c r="B443" s="139" t="s">
        <v>433</v>
      </c>
      <c r="C443" s="140">
        <f t="shared" ref="C443:R443" si="2036">+C441-C50</f>
        <v>0</v>
      </c>
      <c r="D443" s="140">
        <f t="shared" si="2036"/>
        <v>0</v>
      </c>
      <c r="E443" s="140">
        <f t="shared" si="2036"/>
        <v>-1</v>
      </c>
      <c r="F443" s="140">
        <f t="shared" si="2036"/>
        <v>0</v>
      </c>
      <c r="G443" s="140">
        <f t="shared" si="2036"/>
        <v>0</v>
      </c>
      <c r="H443" s="140">
        <f t="shared" si="2036"/>
        <v>0</v>
      </c>
      <c r="I443" s="140">
        <f t="shared" si="2036"/>
        <v>0</v>
      </c>
      <c r="J443" s="140">
        <f t="shared" si="2036"/>
        <v>0</v>
      </c>
      <c r="K443" s="140">
        <f t="shared" si="2036"/>
        <v>0</v>
      </c>
      <c r="L443" s="140">
        <f t="shared" si="2036"/>
        <v>0</v>
      </c>
      <c r="M443" s="140">
        <f t="shared" si="2036"/>
        <v>0</v>
      </c>
      <c r="N443" s="140">
        <f t="shared" si="2036"/>
        <v>0</v>
      </c>
      <c r="O443" s="140">
        <f t="shared" si="2036"/>
        <v>0</v>
      </c>
      <c r="P443" s="140">
        <f t="shared" si="2036"/>
        <v>0</v>
      </c>
      <c r="Q443" s="140">
        <f t="shared" si="2036"/>
        <v>0</v>
      </c>
      <c r="R443" s="140">
        <f t="shared" si="2036"/>
        <v>0</v>
      </c>
      <c r="S443" s="140"/>
      <c r="U443" s="140">
        <f t="shared" ref="U443:AJ443" si="2037">+U441-U50</f>
        <v>0</v>
      </c>
      <c r="V443" s="140">
        <f t="shared" si="2037"/>
        <v>0</v>
      </c>
      <c r="W443" s="140">
        <f t="shared" si="2037"/>
        <v>0</v>
      </c>
      <c r="X443" s="140">
        <f t="shared" si="2037"/>
        <v>-1</v>
      </c>
      <c r="Y443" s="140">
        <f t="shared" si="2037"/>
        <v>0</v>
      </c>
      <c r="Z443" s="140">
        <f t="shared" si="2037"/>
        <v>0</v>
      </c>
      <c r="AA443" s="140">
        <f t="shared" si="2037"/>
        <v>0</v>
      </c>
      <c r="AB443" s="140">
        <f t="shared" si="2037"/>
        <v>0</v>
      </c>
      <c r="AC443" s="140">
        <f t="shared" si="2037"/>
        <v>0</v>
      </c>
      <c r="AD443" s="140">
        <f t="shared" si="2037"/>
        <v>0</v>
      </c>
      <c r="AE443" s="140">
        <f t="shared" si="2037"/>
        <v>0</v>
      </c>
      <c r="AF443" s="140">
        <f t="shared" si="2037"/>
        <v>0</v>
      </c>
      <c r="AG443" s="140">
        <f t="shared" si="2037"/>
        <v>0</v>
      </c>
      <c r="AH443" s="140">
        <f t="shared" si="2037"/>
        <v>0</v>
      </c>
      <c r="AI443" s="140">
        <f t="shared" si="2037"/>
        <v>0</v>
      </c>
      <c r="AJ443" s="140">
        <f t="shared" si="2037"/>
        <v>0</v>
      </c>
      <c r="AK443" s="140">
        <f>+AK441-AK54</f>
        <v>0</v>
      </c>
      <c r="AL443" s="140">
        <f>+AL441-AL54</f>
        <v>0</v>
      </c>
      <c r="AN443" s="140">
        <f t="shared" ref="AN443:BH443" si="2038">+AN441-AN54</f>
        <v>0</v>
      </c>
      <c r="AO443" s="140">
        <f t="shared" si="2038"/>
        <v>0</v>
      </c>
      <c r="AP443" s="140">
        <f t="shared" si="2038"/>
        <v>0</v>
      </c>
      <c r="AQ443" s="140">
        <f t="shared" si="2038"/>
        <v>0</v>
      </c>
      <c r="AR443" s="140">
        <f t="shared" si="2038"/>
        <v>0</v>
      </c>
      <c r="AS443" s="140">
        <f t="shared" si="2038"/>
        <v>0</v>
      </c>
      <c r="AT443" s="140">
        <f t="shared" si="2038"/>
        <v>0</v>
      </c>
      <c r="AU443" s="140">
        <f t="shared" si="2038"/>
        <v>0</v>
      </c>
      <c r="AV443" s="140">
        <f t="shared" si="2038"/>
        <v>0</v>
      </c>
      <c r="AW443" s="140">
        <f t="shared" si="2038"/>
        <v>0</v>
      </c>
      <c r="AX443" s="140">
        <f t="shared" si="2038"/>
        <v>0</v>
      </c>
      <c r="AY443" s="140">
        <f t="shared" si="2038"/>
        <v>0</v>
      </c>
      <c r="AZ443" s="140">
        <f t="shared" si="2038"/>
        <v>0</v>
      </c>
      <c r="BA443" s="140">
        <f t="shared" si="2038"/>
        <v>0</v>
      </c>
      <c r="BB443" s="140">
        <f t="shared" si="2038"/>
        <v>0</v>
      </c>
      <c r="BC443" s="140">
        <f t="shared" si="2038"/>
        <v>0</v>
      </c>
      <c r="BD443" s="140">
        <f t="shared" si="2038"/>
        <v>0</v>
      </c>
      <c r="BE443" s="140">
        <f t="shared" si="2038"/>
        <v>0</v>
      </c>
      <c r="BF443" s="140">
        <f t="shared" si="2038"/>
        <v>0</v>
      </c>
      <c r="BG443" s="140">
        <f t="shared" si="2038"/>
        <v>0</v>
      </c>
      <c r="BH443" s="140">
        <f t="shared" si="2038"/>
        <v>0</v>
      </c>
      <c r="BI443" s="140">
        <f t="shared" ref="BI443" si="2039">+BI441-BI54</f>
        <v>0</v>
      </c>
      <c r="BJ443" s="44"/>
      <c r="BK443" s="140">
        <f>+BK441-BK50</f>
        <v>0</v>
      </c>
      <c r="BL443" s="140">
        <f>+BL441-BL50</f>
        <v>0</v>
      </c>
      <c r="BM443" s="140">
        <f>+BM441-BM50</f>
        <v>0</v>
      </c>
      <c r="BN443" s="140">
        <f>+BN441-BN50</f>
        <v>0</v>
      </c>
      <c r="BO443" s="140">
        <f>+BO441-BO54</f>
        <v>0</v>
      </c>
      <c r="BP443" s="140"/>
      <c r="BQ443" s="140" t="e">
        <f>+BQ441-BQ50</f>
        <v>#REF!</v>
      </c>
      <c r="BR443" s="140">
        <f>+BR441-BR50</f>
        <v>-2233</v>
      </c>
      <c r="BS443" s="140">
        <f>+BS441-BS54</f>
        <v>0</v>
      </c>
      <c r="BT443" s="140">
        <f>+BT441-BT54</f>
        <v>0</v>
      </c>
      <c r="BU443" s="140">
        <f>+BU441-BU54</f>
        <v>0</v>
      </c>
      <c r="BV443" s="140">
        <f>+BV441-BV54</f>
        <v>0</v>
      </c>
      <c r="BW443" s="140"/>
      <c r="BX443" s="140">
        <f t="shared" ref="BX443:CI443" si="2040">+BX441-BX54</f>
        <v>0</v>
      </c>
      <c r="BY443" s="140">
        <f t="shared" si="2040"/>
        <v>0</v>
      </c>
      <c r="BZ443" s="140">
        <f t="shared" si="2040"/>
        <v>0</v>
      </c>
      <c r="CA443" s="140">
        <f t="shared" si="2040"/>
        <v>0</v>
      </c>
      <c r="CB443" s="140">
        <f t="shared" si="2040"/>
        <v>0</v>
      </c>
      <c r="CC443" s="140">
        <f t="shared" si="2040"/>
        <v>0</v>
      </c>
      <c r="CD443" s="140">
        <f t="shared" si="2040"/>
        <v>0</v>
      </c>
      <c r="CE443" s="140">
        <f t="shared" si="2040"/>
        <v>0</v>
      </c>
      <c r="CF443" s="140">
        <f t="shared" si="2040"/>
        <v>0</v>
      </c>
      <c r="CG443" s="140">
        <f t="shared" si="2040"/>
        <v>0</v>
      </c>
      <c r="CH443" s="140">
        <f t="shared" si="2040"/>
        <v>0</v>
      </c>
      <c r="CI443" s="140">
        <f t="shared" si="2040"/>
        <v>0</v>
      </c>
    </row>
    <row r="444" spans="2:87" ht="13.5" customHeight="1"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44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</row>
    <row r="445" spans="2:87" ht="13.5" customHeight="1">
      <c r="B445" s="372" t="s">
        <v>439</v>
      </c>
      <c r="C445" s="38">
        <f t="shared" ref="C445:R445" si="2041">C3</f>
        <v>41975</v>
      </c>
      <c r="D445" s="38">
        <f t="shared" si="2041"/>
        <v>42341</v>
      </c>
      <c r="E445" s="38">
        <f t="shared" si="2041"/>
        <v>42708</v>
      </c>
      <c r="F445" s="38">
        <f t="shared" si="2041"/>
        <v>43074</v>
      </c>
      <c r="G445" s="38">
        <f t="shared" si="2041"/>
        <v>43439</v>
      </c>
      <c r="H445" s="38">
        <f t="shared" si="2041"/>
        <v>43439</v>
      </c>
      <c r="I445" s="38">
        <f t="shared" si="2041"/>
        <v>43804</v>
      </c>
      <c r="J445" s="38">
        <f t="shared" si="2041"/>
        <v>43804</v>
      </c>
      <c r="K445" s="38">
        <f t="shared" si="2041"/>
        <v>44170</v>
      </c>
      <c r="L445" s="38">
        <f t="shared" si="2041"/>
        <v>44535</v>
      </c>
      <c r="M445" s="38">
        <f t="shared" si="2041"/>
        <v>44535</v>
      </c>
      <c r="N445" s="38">
        <f t="shared" si="2041"/>
        <v>44900</v>
      </c>
      <c r="O445" s="38">
        <f t="shared" si="2041"/>
        <v>44900</v>
      </c>
      <c r="P445" s="38">
        <f t="shared" si="2041"/>
        <v>45265</v>
      </c>
      <c r="Q445" s="38">
        <f t="shared" si="2041"/>
        <v>45631</v>
      </c>
      <c r="R445" s="38">
        <f t="shared" si="2041"/>
        <v>45996</v>
      </c>
      <c r="S445" s="197" t="s">
        <v>277</v>
      </c>
      <c r="U445" s="38">
        <f t="shared" ref="U445:BH445" si="2042">U3</f>
        <v>42437</v>
      </c>
      <c r="V445" s="38">
        <f t="shared" si="2042"/>
        <v>42527</v>
      </c>
      <c r="W445" s="38">
        <f t="shared" si="2042"/>
        <v>42622</v>
      </c>
      <c r="X445" s="38">
        <f t="shared" si="2042"/>
        <v>42714</v>
      </c>
      <c r="Y445" s="38">
        <f t="shared" si="2042"/>
        <v>42801</v>
      </c>
      <c r="Z445" s="38">
        <f t="shared" si="2042"/>
        <v>42892</v>
      </c>
      <c r="AA445" s="38">
        <f t="shared" si="2042"/>
        <v>42987</v>
      </c>
      <c r="AB445" s="38">
        <f t="shared" si="2042"/>
        <v>43100</v>
      </c>
      <c r="AC445" s="38">
        <f t="shared" si="2042"/>
        <v>43190</v>
      </c>
      <c r="AD445" s="38">
        <f t="shared" si="2042"/>
        <v>43281</v>
      </c>
      <c r="AE445" s="38">
        <f t="shared" si="2042"/>
        <v>43373</v>
      </c>
      <c r="AF445" s="38">
        <f t="shared" si="2042"/>
        <v>43465</v>
      </c>
      <c r="AG445" s="38">
        <f t="shared" si="2042"/>
        <v>43555</v>
      </c>
      <c r="AH445" s="38">
        <f t="shared" si="2042"/>
        <v>43646</v>
      </c>
      <c r="AI445" s="38">
        <f t="shared" si="2042"/>
        <v>43738</v>
      </c>
      <c r="AJ445" s="38">
        <f t="shared" si="2042"/>
        <v>43830</v>
      </c>
      <c r="AK445" s="38">
        <f t="shared" si="2042"/>
        <v>43921</v>
      </c>
      <c r="AL445" s="38">
        <f t="shared" si="2042"/>
        <v>44012</v>
      </c>
      <c r="AM445" s="38">
        <f t="shared" si="2042"/>
        <v>44104</v>
      </c>
      <c r="AN445" s="38">
        <f t="shared" si="2042"/>
        <v>44196</v>
      </c>
      <c r="AO445" s="38">
        <f t="shared" si="2042"/>
        <v>44286</v>
      </c>
      <c r="AP445" s="38">
        <f t="shared" si="2042"/>
        <v>44377</v>
      </c>
      <c r="AQ445" s="38">
        <f t="shared" si="2042"/>
        <v>44469</v>
      </c>
      <c r="AR445" s="38">
        <f t="shared" si="2042"/>
        <v>44561</v>
      </c>
      <c r="AS445" s="38">
        <f t="shared" si="2042"/>
        <v>44651</v>
      </c>
      <c r="AT445" s="38">
        <f t="shared" si="2042"/>
        <v>44742</v>
      </c>
      <c r="AU445" s="38">
        <f t="shared" si="2042"/>
        <v>44834</v>
      </c>
      <c r="AV445" s="38">
        <f t="shared" si="2042"/>
        <v>44926</v>
      </c>
      <c r="AW445" s="38">
        <f t="shared" si="2042"/>
        <v>45016</v>
      </c>
      <c r="AX445" s="38">
        <f t="shared" si="2042"/>
        <v>45107</v>
      </c>
      <c r="AY445" s="38">
        <f t="shared" si="2042"/>
        <v>45199</v>
      </c>
      <c r="AZ445" s="38">
        <f t="shared" si="2042"/>
        <v>45291</v>
      </c>
      <c r="BA445" s="38">
        <f t="shared" si="2042"/>
        <v>45382</v>
      </c>
      <c r="BB445" s="277">
        <f t="shared" si="2042"/>
        <v>45473</v>
      </c>
      <c r="BC445" s="38">
        <f t="shared" si="2042"/>
        <v>45565</v>
      </c>
      <c r="BD445" s="38">
        <f t="shared" si="2042"/>
        <v>45657</v>
      </c>
      <c r="BE445" s="38">
        <f t="shared" si="2042"/>
        <v>45747</v>
      </c>
      <c r="BF445" s="277">
        <f t="shared" si="2042"/>
        <v>45838</v>
      </c>
      <c r="BG445" s="38">
        <f t="shared" si="2042"/>
        <v>45930</v>
      </c>
      <c r="BH445" s="38">
        <f t="shared" si="2042"/>
        <v>46022</v>
      </c>
      <c r="BI445" s="38">
        <f t="shared" ref="BI445" si="2043">BI3</f>
        <v>46112</v>
      </c>
      <c r="BJ445" s="44"/>
      <c r="BK445" s="197">
        <f t="shared" ref="BK445:BV445" si="2044">BK3</f>
        <v>43166</v>
      </c>
      <c r="BL445" s="197">
        <f t="shared" si="2044"/>
        <v>43281</v>
      </c>
      <c r="BM445" s="197">
        <f t="shared" si="2044"/>
        <v>43373</v>
      </c>
      <c r="BN445" s="197">
        <f t="shared" si="2044"/>
        <v>43465</v>
      </c>
      <c r="BO445" s="197">
        <f t="shared" si="2044"/>
        <v>43646</v>
      </c>
      <c r="BP445" s="197">
        <f t="shared" si="2044"/>
        <v>43738</v>
      </c>
      <c r="BQ445" s="38">
        <f t="shared" si="2044"/>
        <v>43079</v>
      </c>
      <c r="BR445" s="197">
        <f t="shared" si="2044"/>
        <v>43830</v>
      </c>
      <c r="BS445" s="38">
        <f t="shared" si="2044"/>
        <v>43921</v>
      </c>
      <c r="BT445" s="38">
        <f t="shared" si="2044"/>
        <v>44012</v>
      </c>
      <c r="BU445" s="38">
        <f t="shared" si="2044"/>
        <v>44104</v>
      </c>
      <c r="BV445" s="197">
        <f t="shared" si="2044"/>
        <v>44196</v>
      </c>
      <c r="BW445" s="197"/>
      <c r="BX445" s="38">
        <f t="shared" ref="BX445:CI445" si="2045">BX3</f>
        <v>44286</v>
      </c>
      <c r="BY445" s="38">
        <f t="shared" si="2045"/>
        <v>44377</v>
      </c>
      <c r="BZ445" s="38">
        <f t="shared" si="2045"/>
        <v>44469</v>
      </c>
      <c r="CA445" s="197">
        <f t="shared" si="2045"/>
        <v>44561</v>
      </c>
      <c r="CB445" s="38">
        <f t="shared" si="2045"/>
        <v>44651</v>
      </c>
      <c r="CC445" s="38">
        <f t="shared" si="2045"/>
        <v>44742</v>
      </c>
      <c r="CD445" s="38">
        <f t="shared" si="2045"/>
        <v>44834</v>
      </c>
      <c r="CE445" s="197">
        <f t="shared" si="2045"/>
        <v>44926</v>
      </c>
      <c r="CF445" s="38">
        <f t="shared" si="2045"/>
        <v>45016</v>
      </c>
      <c r="CG445" s="38">
        <f t="shared" si="2045"/>
        <v>45107</v>
      </c>
      <c r="CH445" s="38">
        <f t="shared" si="2045"/>
        <v>45199</v>
      </c>
      <c r="CI445" s="197">
        <f t="shared" si="2045"/>
        <v>45291</v>
      </c>
    </row>
    <row r="446" spans="2:87" ht="13.5" customHeight="1">
      <c r="B446" s="1" t="s">
        <v>427</v>
      </c>
      <c r="C446" s="99">
        <f t="shared" ref="C446:I446" si="2046">C432/C379</f>
        <v>6.1831258644536653E-2</v>
      </c>
      <c r="D446" s="99">
        <f t="shared" si="2046"/>
        <v>8.3033359393121939E-2</v>
      </c>
      <c r="E446" s="99">
        <f t="shared" si="2046"/>
        <v>9.4180551549708252E-2</v>
      </c>
      <c r="F446" s="99">
        <f t="shared" si="2046"/>
        <v>9.18336214786942E-2</v>
      </c>
      <c r="G446" s="99">
        <f t="shared" si="2046"/>
        <v>9.032450920415995E-2</v>
      </c>
      <c r="H446" s="99">
        <f t="shared" si="2046"/>
        <v>9.0249222049344296E-2</v>
      </c>
      <c r="I446" s="99">
        <f t="shared" si="2046"/>
        <v>9.6288323322106878E-2</v>
      </c>
      <c r="J446" s="99">
        <f t="shared" ref="J446:N446" si="2047">J432/J379</f>
        <v>0.11260720113884934</v>
      </c>
      <c r="K446" s="99">
        <f t="shared" si="2047"/>
        <v>0.12865444031860312</v>
      </c>
      <c r="L446" s="99">
        <f t="shared" si="2047"/>
        <v>0.12683590980002837</v>
      </c>
      <c r="M446" s="99">
        <f t="shared" si="2047"/>
        <v>0.12232492629826253</v>
      </c>
      <c r="N446" s="99">
        <f t="shared" si="2047"/>
        <v>0.1099361124886957</v>
      </c>
      <c r="O446" s="99">
        <f t="shared" ref="O446" si="2048">O432/O379</f>
        <v>0.1099361124886957</v>
      </c>
      <c r="P446" s="99">
        <f>P432/P379</f>
        <v>0.1050048303156845</v>
      </c>
      <c r="Q446" s="99">
        <f>Q432/Q379</f>
        <v>8.3520836634447787E-2</v>
      </c>
      <c r="R446" s="99">
        <f>R432/R379</f>
        <v>8.9989537934188873E-2</v>
      </c>
      <c r="S446" s="99">
        <f t="shared" ref="S446" si="2049">S432/S379</f>
        <v>9.3177819769336021E-2</v>
      </c>
      <c r="U446" s="99">
        <f t="shared" ref="U446:Z446" si="2050">U432/U379</f>
        <v>7.5312282561876678E-2</v>
      </c>
      <c r="V446" s="99">
        <f t="shared" si="2050"/>
        <v>9.7700294528902512E-2</v>
      </c>
      <c r="W446" s="99">
        <f t="shared" si="2050"/>
        <v>0.10609402205455601</v>
      </c>
      <c r="X446" s="99">
        <f t="shared" si="2050"/>
        <v>9.5279318274043012E-2</v>
      </c>
      <c r="Y446" s="99">
        <f t="shared" si="2050"/>
        <v>7.7230751132286335E-2</v>
      </c>
      <c r="Z446" s="99">
        <f t="shared" si="2050"/>
        <v>9.9929832768097304E-2</v>
      </c>
      <c r="AA446" s="99">
        <f t="shared" ref="AA446:AF446" si="2051">AA432/AA379</f>
        <v>0.10063025843611471</v>
      </c>
      <c r="AB446" s="99">
        <f t="shared" si="2051"/>
        <v>8.9847086375533819E-2</v>
      </c>
      <c r="AC446" s="99">
        <f t="shared" si="2051"/>
        <v>7.3320201356970885E-2</v>
      </c>
      <c r="AD446" s="99">
        <f t="shared" si="2051"/>
        <v>8.7093190255534775E-2</v>
      </c>
      <c r="AE446" s="99">
        <f t="shared" si="2051"/>
        <v>9.9495770534262812E-2</v>
      </c>
      <c r="AF446" s="99">
        <f t="shared" si="2051"/>
        <v>9.8864723680467559E-2</v>
      </c>
      <c r="AG446" s="99">
        <f t="shared" ref="AG446:AL446" si="2052">AG432/AG379</f>
        <v>8.6780383795309168E-2</v>
      </c>
      <c r="AH446" s="99">
        <f t="shared" si="2052"/>
        <v>9.8137160204222432E-2</v>
      </c>
      <c r="AI446" s="99">
        <f t="shared" si="2052"/>
        <v>0.10958503021107828</v>
      </c>
      <c r="AJ446" s="99">
        <f t="shared" si="2052"/>
        <v>8.94811484841187E-2</v>
      </c>
      <c r="AK446" s="99">
        <f t="shared" si="2052"/>
        <v>0.1033229779207811</v>
      </c>
      <c r="AL446" s="99">
        <f t="shared" si="2052"/>
        <v>0.12919938476483445</v>
      </c>
      <c r="AM446" s="99">
        <f t="shared" ref="AM446:AR446" si="2053">AM432/AM379</f>
        <v>0.14388876913127829</v>
      </c>
      <c r="AN446" s="99">
        <f t="shared" si="2053"/>
        <v>0.13268673806156125</v>
      </c>
      <c r="AO446" s="99">
        <f t="shared" si="2053"/>
        <v>0.12632497497625952</v>
      </c>
      <c r="AP446" s="99">
        <f t="shared" si="2053"/>
        <v>0.13272038180797305</v>
      </c>
      <c r="AQ446" s="99">
        <f t="shared" si="2053"/>
        <v>0.13333483917600289</v>
      </c>
      <c r="AR446" s="99">
        <f t="shared" si="2053"/>
        <v>0.10030370520348249</v>
      </c>
      <c r="AS446" s="99">
        <f t="shared" ref="AS446:AV446" si="2054">AS432/AS379</f>
        <v>0.10812233972530606</v>
      </c>
      <c r="AT446" s="99">
        <f t="shared" si="2054"/>
        <v>0.1078823910054194</v>
      </c>
      <c r="AU446" s="99">
        <f t="shared" si="2054"/>
        <v>0.11732603153620999</v>
      </c>
      <c r="AV446" s="99">
        <f t="shared" si="2054"/>
        <v>0.10634609717623811</v>
      </c>
      <c r="AW446" s="99">
        <f t="shared" ref="AW446:AZ446" si="2055">AW432/AW379</f>
        <v>0.10307750920712865</v>
      </c>
      <c r="AX446" s="99">
        <f t="shared" si="2055"/>
        <v>0.11020265260729879</v>
      </c>
      <c r="AY446" s="99">
        <f t="shared" si="2055"/>
        <v>0.1092833703821319</v>
      </c>
      <c r="AZ446" s="99">
        <f t="shared" si="2055"/>
        <v>9.7662484595025967E-2</v>
      </c>
      <c r="BA446" s="99">
        <f t="shared" ref="BA446:BD446" si="2056">BA432/BA379</f>
        <v>8.6600351082504384E-2</v>
      </c>
      <c r="BB446" s="99">
        <f t="shared" si="2056"/>
        <v>9.6669678869762618E-2</v>
      </c>
      <c r="BC446" s="99">
        <f t="shared" si="2056"/>
        <v>9.5013018225515722E-2</v>
      </c>
      <c r="BD446" s="99">
        <f t="shared" si="2056"/>
        <v>5.9060985041404938E-2</v>
      </c>
      <c r="BE446" s="99">
        <f t="shared" ref="BE446:BG446" si="2057">BE432/BE379</f>
        <v>7.3529411764705885E-2</v>
      </c>
      <c r="BF446" s="99">
        <f t="shared" si="2057"/>
        <v>9.0220666069538311E-2</v>
      </c>
      <c r="BG446" s="99">
        <f t="shared" si="2057"/>
        <v>0.10389719823046134</v>
      </c>
      <c r="BH446" s="99">
        <f t="shared" ref="BH446:BI446" si="2058">BH432/BH379</f>
        <v>9.2012670876118793E-2</v>
      </c>
      <c r="BI446" s="99">
        <f t="shared" si="2058"/>
        <v>8.5559914144030788E-2</v>
      </c>
      <c r="BJ446" s="44"/>
      <c r="BK446" s="99">
        <f t="shared" ref="BK446:BP446" si="2059">BK432/BK379</f>
        <v>7.358861529819305E-2</v>
      </c>
      <c r="BL446" s="99">
        <f t="shared" si="2059"/>
        <v>8.6755146262188512E-2</v>
      </c>
      <c r="BM446" s="99">
        <f t="shared" si="2059"/>
        <v>9.9402648168029295E-2</v>
      </c>
      <c r="BN446" s="99">
        <f t="shared" si="2059"/>
        <v>9.8790009824706551E-2</v>
      </c>
      <c r="BO446" s="99">
        <f t="shared" si="2059"/>
        <v>0.11378501448875397</v>
      </c>
      <c r="BP446" s="99">
        <f t="shared" si="2059"/>
        <v>0.12542255583060502</v>
      </c>
      <c r="BQ446" s="99"/>
      <c r="BR446" s="99" t="e">
        <f t="shared" ref="BR446:BX446" si="2060">BR432/BR379</f>
        <v>#REF!</v>
      </c>
      <c r="BS446" s="99">
        <f t="shared" si="2060"/>
        <v>0.1033229779207811</v>
      </c>
      <c r="BT446" s="99">
        <f t="shared" si="2060"/>
        <v>0.12919938476483445</v>
      </c>
      <c r="BU446" s="99">
        <f t="shared" si="2060"/>
        <v>0.14388876913127829</v>
      </c>
      <c r="BV446" s="99">
        <f t="shared" si="2060"/>
        <v>0.13268673806156125</v>
      </c>
      <c r="BW446" s="99"/>
      <c r="BX446" s="99">
        <f t="shared" si="2060"/>
        <v>0.12632497497625952</v>
      </c>
      <c r="BY446" s="99">
        <f t="shared" ref="BY446:CB446" si="2061">BY432/BY379</f>
        <v>0.12852038177629413</v>
      </c>
      <c r="BZ446" s="99">
        <f t="shared" si="2061"/>
        <v>0.1285772690106296</v>
      </c>
      <c r="CA446" s="99">
        <f t="shared" si="2061"/>
        <v>0.1083868378812199</v>
      </c>
      <c r="CB446" s="99">
        <f t="shared" si="2061"/>
        <v>0.10260938672789086</v>
      </c>
      <c r="CC446" s="99">
        <f t="shared" ref="CC446:CF446" si="2062">CC432/CC379</f>
        <v>0.1078823910054194</v>
      </c>
      <c r="CD446" s="99">
        <f t="shared" si="2062"/>
        <v>0.11732603153620999</v>
      </c>
      <c r="CE446" s="99">
        <f t="shared" si="2062"/>
        <v>0.1106625955251945</v>
      </c>
      <c r="CF446" s="99">
        <f t="shared" si="2062"/>
        <v>0.10307750920712865</v>
      </c>
      <c r="CG446" s="99">
        <f t="shared" ref="CG446:CI446" si="2063">CG432/CG379</f>
        <v>0.11020265260729879</v>
      </c>
      <c r="CH446" s="99">
        <f t="shared" si="2063"/>
        <v>0.1092833703821319</v>
      </c>
      <c r="CI446" s="99">
        <f t="shared" si="2063"/>
        <v>9.7662484595025967E-2</v>
      </c>
    </row>
    <row r="447" spans="2:87" ht="13.5" customHeight="1">
      <c r="B447" s="1" t="s">
        <v>428</v>
      </c>
      <c r="C447" s="99">
        <f t="shared" ref="C447:I447" si="2064">C434/C381</f>
        <v>0.16712207165346685</v>
      </c>
      <c r="D447" s="99">
        <f t="shared" si="2064"/>
        <v>0.1760403696179304</v>
      </c>
      <c r="E447" s="99">
        <f t="shared" si="2064"/>
        <v>0.19053465103431341</v>
      </c>
      <c r="F447" s="99">
        <f t="shared" si="2064"/>
        <v>0.17651355030044152</v>
      </c>
      <c r="G447" s="99">
        <f t="shared" si="2064"/>
        <v>0.18225698234510659</v>
      </c>
      <c r="H447" s="99">
        <f t="shared" si="2064"/>
        <v>0.1814067997647692</v>
      </c>
      <c r="I447" s="99">
        <f t="shared" si="2064"/>
        <v>0.18133569647865377</v>
      </c>
      <c r="J447" s="99">
        <f t="shared" ref="J447:N447" si="2065">J434/J381</f>
        <v>0.19319686818323464</v>
      </c>
      <c r="K447" s="99">
        <f t="shared" si="2065"/>
        <v>0.18323405964070252</v>
      </c>
      <c r="L447" s="99">
        <f t="shared" si="2065"/>
        <v>0.19107373104895459</v>
      </c>
      <c r="M447" s="99">
        <f t="shared" si="2065"/>
        <v>0.19040416540622795</v>
      </c>
      <c r="N447" s="99">
        <f t="shared" si="2065"/>
        <v>0.17885599036817201</v>
      </c>
      <c r="O447" s="99">
        <f t="shared" ref="O447" si="2066">O434/O381</f>
        <v>0.17885599036817201</v>
      </c>
      <c r="P447" s="99">
        <f>P434/P381</f>
        <v>0.18904028558261743</v>
      </c>
      <c r="Q447" s="99">
        <f>Q434/Q381</f>
        <v>0.2035008335317933</v>
      </c>
      <c r="R447" s="99">
        <f>R434/R381</f>
        <v>0.20431628652080952</v>
      </c>
      <c r="S447" s="99">
        <f t="shared" ref="S447" si="2067">S434/S381</f>
        <v>0.20808602260457332</v>
      </c>
      <c r="U447" s="99">
        <f t="shared" ref="U447:AA447" si="2068">U434/U381</f>
        <v>0.15787610619469025</v>
      </c>
      <c r="V447" s="99">
        <f t="shared" si="2068"/>
        <v>0.17757956618690451</v>
      </c>
      <c r="W447" s="99">
        <f t="shared" si="2068"/>
        <v>0.19414453846902052</v>
      </c>
      <c r="X447" s="99">
        <f t="shared" si="2068"/>
        <v>0.22921537454409427</v>
      </c>
      <c r="Y447" s="99">
        <f t="shared" si="2068"/>
        <v>0.15138341710818276</v>
      </c>
      <c r="Z447" s="99">
        <f t="shared" si="2068"/>
        <v>0.17303941579353199</v>
      </c>
      <c r="AA447" s="99">
        <f t="shared" si="2068"/>
        <v>0.18565547128927409</v>
      </c>
      <c r="AB447" s="99">
        <f t="shared" ref="AB447:AG447" si="2069">AB434/AB381</f>
        <v>0.19467230809083844</v>
      </c>
      <c r="AC447" s="99">
        <f t="shared" si="2069"/>
        <v>0.1602255086199853</v>
      </c>
      <c r="AD447" s="99">
        <f t="shared" si="2069"/>
        <v>0.17781435683314598</v>
      </c>
      <c r="AE447" s="99">
        <f t="shared" si="2069"/>
        <v>0.18708116895991117</v>
      </c>
      <c r="AF447" s="99">
        <f t="shared" si="2069"/>
        <v>0.20317573453710303</v>
      </c>
      <c r="AG447" s="99">
        <f t="shared" si="2069"/>
        <v>0.15648542097661891</v>
      </c>
      <c r="AH447" s="99">
        <f t="shared" ref="AH447:AM447" si="2070">AH434/AH381</f>
        <v>0.16354296263595136</v>
      </c>
      <c r="AI447" s="99">
        <f t="shared" si="2070"/>
        <v>0.19249062294574842</v>
      </c>
      <c r="AJ447" s="99">
        <f t="shared" si="2070"/>
        <v>0.2114411775892891</v>
      </c>
      <c r="AK447" s="99">
        <f t="shared" si="2070"/>
        <v>0.1696061140505585</v>
      </c>
      <c r="AL447" s="99">
        <f t="shared" si="2070"/>
        <v>0.17052563165163701</v>
      </c>
      <c r="AM447" s="99">
        <f t="shared" si="2070"/>
        <v>0.17786561264822134</v>
      </c>
      <c r="AN447" s="99">
        <f t="shared" ref="AN447:AS447" si="2071">AN434/AN381</f>
        <v>0.21408239700374532</v>
      </c>
      <c r="AO447" s="99">
        <f t="shared" si="2071"/>
        <v>0.17291493438415098</v>
      </c>
      <c r="AP447" s="99">
        <f t="shared" si="2071"/>
        <v>0.19165515531470265</v>
      </c>
      <c r="AQ447" s="99">
        <f t="shared" si="2071"/>
        <v>0.18854674930766188</v>
      </c>
      <c r="AR447" s="99">
        <f t="shared" si="2071"/>
        <v>0.21248305121812536</v>
      </c>
      <c r="AS447" s="99">
        <f t="shared" si="2071"/>
        <v>0.16593529643192204</v>
      </c>
      <c r="AT447" s="99">
        <f t="shared" ref="AT447:AW447" si="2072">AT434/AT381</f>
        <v>0.18354948375723998</v>
      </c>
      <c r="AU447" s="99">
        <f t="shared" si="2072"/>
        <v>0.18920207377391096</v>
      </c>
      <c r="AV447" s="99">
        <f t="shared" si="2072"/>
        <v>0.17668914699637817</v>
      </c>
      <c r="AW447" s="99">
        <f t="shared" si="2072"/>
        <v>0.16907626089835559</v>
      </c>
      <c r="AX447" s="99">
        <f t="shared" ref="AX447:BA447" si="2073">AX434/AX381</f>
        <v>0.18581449291563032</v>
      </c>
      <c r="AY447" s="99">
        <f t="shared" si="2073"/>
        <v>0.20280412371134021</v>
      </c>
      <c r="AZ447" s="99">
        <f t="shared" si="2073"/>
        <v>0.19818845477896443</v>
      </c>
      <c r="BA447" s="99">
        <f t="shared" si="2073"/>
        <v>0.17784732252714919</v>
      </c>
      <c r="BB447" s="99">
        <f t="shared" ref="BB447:BE447" si="2074">BB434/BB381</f>
        <v>0.2002194332200487</v>
      </c>
      <c r="BC447" s="99">
        <f t="shared" si="2074"/>
        <v>0.21887969479029723</v>
      </c>
      <c r="BD447" s="99">
        <f t="shared" si="2074"/>
        <v>0.21639727775414716</v>
      </c>
      <c r="BE447" s="99">
        <f t="shared" si="2074"/>
        <v>0.1899100426113946</v>
      </c>
      <c r="BF447" s="99">
        <f t="shared" ref="BF447:BG447" si="2075">BF434/BF381</f>
        <v>0.20254710851202079</v>
      </c>
      <c r="BG447" s="99">
        <f t="shared" si="2075"/>
        <v>0.20415456204848703</v>
      </c>
      <c r="BH447" s="99">
        <f t="shared" ref="BH447:BI447" si="2076">BH434/BH381</f>
        <v>0.22009690758263781</v>
      </c>
      <c r="BI447" s="99">
        <f t="shared" si="2076"/>
        <v>0.20538186578059708</v>
      </c>
      <c r="BJ447" s="44"/>
      <c r="BK447" s="99">
        <f t="shared" ref="BK447:BP447" si="2077">BK434/BK381</f>
        <v>0.15957403568670486</v>
      </c>
      <c r="BL447" s="99">
        <f t="shared" si="2077"/>
        <v>0.17700423627208056</v>
      </c>
      <c r="BM447" s="99">
        <f t="shared" si="2077"/>
        <v>0.18629812438302074</v>
      </c>
      <c r="BN447" s="99">
        <f t="shared" si="2077"/>
        <v>0.20203333727390946</v>
      </c>
      <c r="BO447" s="99">
        <f t="shared" si="2077"/>
        <v>0.17478027049805353</v>
      </c>
      <c r="BP447" s="99">
        <f t="shared" si="2077"/>
        <v>0.20432311202196357</v>
      </c>
      <c r="BQ447" s="99"/>
      <c r="BR447" s="99" t="e">
        <f t="shared" ref="BR447:BX447" si="2078">BR434/BR381</f>
        <v>#REF!</v>
      </c>
      <c r="BS447" s="99">
        <f t="shared" si="2078"/>
        <v>0.16964285714285715</v>
      </c>
      <c r="BT447" s="99">
        <f t="shared" si="2078"/>
        <v>0.17052563165163701</v>
      </c>
      <c r="BU447" s="99">
        <f t="shared" si="2078"/>
        <v>0.17786561264822134</v>
      </c>
      <c r="BV447" s="99">
        <f t="shared" si="2078"/>
        <v>0.21404494382022471</v>
      </c>
      <c r="BW447" s="99"/>
      <c r="BX447" s="99">
        <f t="shared" si="2078"/>
        <v>0.16741983297783883</v>
      </c>
      <c r="BY447" s="99">
        <f t="shared" ref="BY447:CB447" si="2079">BY434/BY381</f>
        <v>0.18882805620429571</v>
      </c>
      <c r="BZ447" s="99">
        <f t="shared" si="2079"/>
        <v>0.18943553306778627</v>
      </c>
      <c r="CA447" s="99">
        <f t="shared" si="2079"/>
        <v>0.21605568107280809</v>
      </c>
      <c r="CB447" s="99">
        <f t="shared" si="2079"/>
        <v>0.16795028592205732</v>
      </c>
      <c r="CC447" s="99">
        <f t="shared" ref="CC447:CF447" si="2080">CC434/CC381</f>
        <v>0.18354948375723998</v>
      </c>
      <c r="CD447" s="99">
        <f t="shared" si="2080"/>
        <v>0.18920207377391096</v>
      </c>
      <c r="CE447" s="99">
        <f t="shared" si="2080"/>
        <v>0.17407662703199495</v>
      </c>
      <c r="CF447" s="99">
        <f t="shared" si="2080"/>
        <v>0.16907626089835559</v>
      </c>
      <c r="CG447" s="99">
        <f t="shared" ref="CG447:CI447" si="2081">CG434/CG381</f>
        <v>0.18581449291563032</v>
      </c>
      <c r="CH447" s="99">
        <f t="shared" si="2081"/>
        <v>0.20280412371134021</v>
      </c>
      <c r="CI447" s="99">
        <f t="shared" si="2081"/>
        <v>0.19818845477896443</v>
      </c>
    </row>
    <row r="448" spans="2:87" ht="13.5" customHeight="1">
      <c r="B448" s="1" t="s">
        <v>429</v>
      </c>
      <c r="C448" s="99">
        <f t="shared" ref="C448:I448" si="2082">C436/C383</f>
        <v>3.9031507911175961E-2</v>
      </c>
      <c r="D448" s="99">
        <f t="shared" si="2082"/>
        <v>2.1382663150955834E-2</v>
      </c>
      <c r="E448" s="99">
        <f t="shared" si="2082"/>
        <v>9.587628865979381E-3</v>
      </c>
      <c r="F448" s="99">
        <f t="shared" si="2082"/>
        <v>1.9264387105796796E-2</v>
      </c>
      <c r="G448" s="99">
        <f t="shared" si="2082"/>
        <v>2.5964812712826333E-2</v>
      </c>
      <c r="H448" s="99">
        <f t="shared" si="2082"/>
        <v>2.5828305282100138E-2</v>
      </c>
      <c r="I448" s="99">
        <f t="shared" si="2082"/>
        <v>-7.3681108163866781E-5</v>
      </c>
      <c r="J448" s="99">
        <f t="shared" ref="J448:N448" si="2083">J436/J383</f>
        <v>2.1772767462422633E-2</v>
      </c>
      <c r="K448" s="99">
        <f t="shared" si="2083"/>
        <v>4.9104226127024517E-2</v>
      </c>
      <c r="L448" s="99">
        <f t="shared" si="2083"/>
        <v>6.9894186639469655E-2</v>
      </c>
      <c r="M448" s="99">
        <f t="shared" si="2083"/>
        <v>6.1911343984056059E-2</v>
      </c>
      <c r="N448" s="99">
        <f t="shared" si="2083"/>
        <v>8.9375439327276041E-2</v>
      </c>
      <c r="O448" s="99">
        <f t="shared" ref="O448" si="2084">O436/O383</f>
        <v>8.9375439327276041E-2</v>
      </c>
      <c r="P448" s="99">
        <f>P436/P383</f>
        <v>9.6351679537206317E-2</v>
      </c>
      <c r="Q448" s="99">
        <f>Q436/Q383</f>
        <v>9.0348303618445799E-2</v>
      </c>
      <c r="R448" s="99">
        <f>R436/R383</f>
        <v>8.0507706255666361E-2</v>
      </c>
      <c r="S448" s="99">
        <f t="shared" ref="S448" si="2085">S436/S383</f>
        <v>7.9727573107959276E-2</v>
      </c>
      <c r="U448" s="99">
        <f t="shared" ref="U448:AA448" si="2086">U436/U383</f>
        <v>2.8817999691786101E-2</v>
      </c>
      <c r="V448" s="99">
        <f t="shared" si="2086"/>
        <v>-1.2968089756666181E-2</v>
      </c>
      <c r="W448" s="99">
        <f t="shared" si="2086"/>
        <v>2.717391304347826E-2</v>
      </c>
      <c r="X448" s="99">
        <f t="shared" si="2086"/>
        <v>-3.6159600997506237E-3</v>
      </c>
      <c r="Y448" s="99">
        <f t="shared" si="2086"/>
        <v>1.1294300921718811E-2</v>
      </c>
      <c r="Z448" s="99">
        <f t="shared" si="2086"/>
        <v>-1.3100436681222707E-3</v>
      </c>
      <c r="AA448" s="99">
        <f t="shared" si="2086"/>
        <v>3.5910372458821782E-2</v>
      </c>
      <c r="AB448" s="99">
        <f t="shared" ref="AB448:AG448" si="2087">AB436/AB383</f>
        <v>3.1687242798353908E-2</v>
      </c>
      <c r="AC448" s="99">
        <f t="shared" si="2087"/>
        <v>4.6762080204052717E-2</v>
      </c>
      <c r="AD448" s="99">
        <f t="shared" si="2087"/>
        <v>2.5596778832326719E-2</v>
      </c>
      <c r="AE448" s="99">
        <f t="shared" si="2087"/>
        <v>2.1619135234590615E-2</v>
      </c>
      <c r="AF448" s="99">
        <f t="shared" si="2087"/>
        <v>1.0836923880402142E-2</v>
      </c>
      <c r="AG448" s="99">
        <f t="shared" si="2087"/>
        <v>2.5271294782220899E-3</v>
      </c>
      <c r="AH448" s="99">
        <f t="shared" ref="AH448:AM448" si="2088">AH436/AH383</f>
        <v>2.9002320185614848E-3</v>
      </c>
      <c r="AI448" s="99">
        <f t="shared" si="2088"/>
        <v>8.6598523566155591E-3</v>
      </c>
      <c r="AJ448" s="99">
        <f t="shared" si="2088"/>
        <v>-1.5439246564767639E-2</v>
      </c>
      <c r="AK448" s="99">
        <f t="shared" si="2088"/>
        <v>4.4582311354782862E-2</v>
      </c>
      <c r="AL448" s="99">
        <f t="shared" si="2088"/>
        <v>7.0974576271186446E-2</v>
      </c>
      <c r="AM448" s="99">
        <f t="shared" si="2088"/>
        <v>6.3581541688516E-2</v>
      </c>
      <c r="AN448" s="99">
        <f t="shared" ref="AN448:AS448" si="2089">AN436/AN383</f>
        <v>1.4060258249641321E-2</v>
      </c>
      <c r="AO448" s="99">
        <f t="shared" si="2089"/>
        <v>6.2569213732004428E-2</v>
      </c>
      <c r="AP448" s="99">
        <f t="shared" si="2089"/>
        <v>6.8014203769461892E-2</v>
      </c>
      <c r="AQ448" s="99">
        <f t="shared" si="2089"/>
        <v>9.0502364821679657E-2</v>
      </c>
      <c r="AR448" s="99">
        <f t="shared" si="2089"/>
        <v>3.0663615560640733E-2</v>
      </c>
      <c r="AS448" s="99">
        <f t="shared" si="2089"/>
        <v>9.6229159673268436E-2</v>
      </c>
      <c r="AT448" s="99">
        <f t="shared" ref="AT448:AW448" si="2090">AT436/AT383</f>
        <v>8.2978944092936421E-2</v>
      </c>
      <c r="AU448" s="99">
        <f t="shared" si="2090"/>
        <v>9.6922462030375703E-2</v>
      </c>
      <c r="AV448" s="99">
        <f t="shared" si="2090"/>
        <v>8.1730279898218836E-2</v>
      </c>
      <c r="AW448" s="99">
        <f t="shared" si="2090"/>
        <v>0.10768431983385254</v>
      </c>
      <c r="AX448" s="99">
        <f t="shared" ref="AX448:BA448" si="2091">AX436/AX383</f>
        <v>9.8724116293662414E-2</v>
      </c>
      <c r="AY448" s="99">
        <f t="shared" si="2091"/>
        <v>0.10493892724375996</v>
      </c>
      <c r="AZ448" s="99">
        <f t="shared" si="2091"/>
        <v>6.9900497512437806E-2</v>
      </c>
      <c r="BA448" s="99">
        <f t="shared" si="2091"/>
        <v>8.5270530910567452E-2</v>
      </c>
      <c r="BB448" s="99">
        <f t="shared" ref="BB448:BE448" si="2092">BB436/BB383</f>
        <v>8.1706913661925243E-2</v>
      </c>
      <c r="BC448" s="99">
        <f t="shared" si="2092"/>
        <v>9.6542212589892623E-2</v>
      </c>
      <c r="BD448" s="99">
        <f t="shared" si="2092"/>
        <v>9.6410066617320503E-2</v>
      </c>
      <c r="BE448" s="99">
        <f t="shared" si="2092"/>
        <v>9.5025053686471003E-2</v>
      </c>
      <c r="BF448" s="99">
        <f t="shared" ref="BF448:BG448" si="2093">BF436/BF383</f>
        <v>9.2358742741266472E-2</v>
      </c>
      <c r="BG448" s="99">
        <f t="shared" si="2093"/>
        <v>8.6018492574950964E-2</v>
      </c>
      <c r="BH448" s="99">
        <f t="shared" ref="BH448:BI448" si="2094">BH436/BH383</f>
        <v>4.9789251844046367E-2</v>
      </c>
      <c r="BI448" s="99">
        <f t="shared" si="2094"/>
        <v>9.1554785621481158E-2</v>
      </c>
      <c r="BJ448" s="44"/>
      <c r="BK448" s="99">
        <f t="shared" ref="BK448:BP448" si="2095">BK436/BK383</f>
        <v>5.268549685350505E-2</v>
      </c>
      <c r="BL448" s="99">
        <f t="shared" si="2095"/>
        <v>2.5024602839870659E-2</v>
      </c>
      <c r="BM448" s="99">
        <f t="shared" si="2095"/>
        <v>2.1493902439024389E-2</v>
      </c>
      <c r="BN448" s="99">
        <f t="shared" si="2095"/>
        <v>6.7645181876196557E-3</v>
      </c>
      <c r="BO448" s="99">
        <f t="shared" si="2095"/>
        <v>2.9411764705882353E-2</v>
      </c>
      <c r="BP448" s="99">
        <f t="shared" si="2095"/>
        <v>3.3189033189033192E-2</v>
      </c>
      <c r="BQ448" s="99"/>
      <c r="BR448" s="99" t="e">
        <f t="shared" ref="BR448:BX448" si="2096">BR436/BR383</f>
        <v>#REF!</v>
      </c>
      <c r="BS448" s="99">
        <f t="shared" si="2096"/>
        <v>4.7225501770956316E-2</v>
      </c>
      <c r="BT448" s="99">
        <f t="shared" si="2096"/>
        <v>7.3174006444683137E-2</v>
      </c>
      <c r="BU448" s="99">
        <f t="shared" si="2096"/>
        <v>6.5765049058605141E-2</v>
      </c>
      <c r="BV448" s="99">
        <f t="shared" si="2096"/>
        <v>9.1592617908407385E-3</v>
      </c>
      <c r="BW448" s="99"/>
      <c r="BX448" s="99">
        <f t="shared" si="2096"/>
        <v>5.858421480878763E-2</v>
      </c>
      <c r="BY448" s="99">
        <f t="shared" ref="BY448:CB448" si="2097">BY436/BY383</f>
        <v>5.4145745691409959E-2</v>
      </c>
      <c r="BZ448" s="99">
        <f t="shared" si="2097"/>
        <v>8.1353767560664106E-2</v>
      </c>
      <c r="CA448" s="99">
        <f t="shared" si="2097"/>
        <v>5.3655107778819121E-2</v>
      </c>
      <c r="CB448" s="99">
        <f t="shared" si="2097"/>
        <v>8.3735203857957033E-2</v>
      </c>
      <c r="CC448" s="99">
        <f t="shared" ref="CC448:CF448" si="2098">CC436/CC383</f>
        <v>8.3151439559297366E-2</v>
      </c>
      <c r="CD448" s="99">
        <f t="shared" si="2098"/>
        <v>9.7346918188237666E-2</v>
      </c>
      <c r="CE448" s="99">
        <f t="shared" si="2098"/>
        <v>9.2689428893673736E-2</v>
      </c>
      <c r="CF448" s="99">
        <f t="shared" si="2098"/>
        <v>0.11078685689580631</v>
      </c>
      <c r="CG448" s="99">
        <f t="shared" ref="CG448:CI448" si="2099">CG436/CG383</f>
        <v>0.10090050992730823</v>
      </c>
      <c r="CH448" s="99">
        <f t="shared" si="2099"/>
        <v>0.104007104007104</v>
      </c>
      <c r="CI448" s="99">
        <f t="shared" si="2099"/>
        <v>6.9691351292398299E-2</v>
      </c>
    </row>
    <row r="449" spans="2:87" ht="13.5" customHeight="1">
      <c r="B449" s="1" t="s">
        <v>430</v>
      </c>
      <c r="C449" s="99">
        <f t="shared" ref="C449:I449" si="2100">C438/C385</f>
        <v>-9.1344062635928657E-3</v>
      </c>
      <c r="D449" s="99">
        <f t="shared" si="2100"/>
        <v>-4.417989417989418E-2</v>
      </c>
      <c r="E449" s="99">
        <f t="shared" si="2100"/>
        <v>1.4278914802475012E-2</v>
      </c>
      <c r="F449" s="99">
        <f t="shared" si="2100"/>
        <v>-8.4253403365848425E-2</v>
      </c>
      <c r="G449" s="99">
        <f t="shared" si="2100"/>
        <v>4.1057323844529599E-3</v>
      </c>
      <c r="H449" s="99">
        <f t="shared" si="2100"/>
        <v>4.0542105872813624E-3</v>
      </c>
      <c r="I449" s="99">
        <f t="shared" si="2100"/>
        <v>5.1847683361470644E-2</v>
      </c>
      <c r="J449" s="99">
        <f t="shared" ref="J449:N449" si="2101">J438/J385</f>
        <v>6.253986118927031E-2</v>
      </c>
      <c r="K449" s="99">
        <f t="shared" si="2101"/>
        <v>7.6426121415964568E-2</v>
      </c>
      <c r="L449" s="99">
        <f t="shared" si="2101"/>
        <v>7.9075888287761367E-2</v>
      </c>
      <c r="M449" s="99">
        <f t="shared" si="2101"/>
        <v>7.9075888287761367E-2</v>
      </c>
      <c r="N449" s="99">
        <f t="shared" si="2101"/>
        <v>6.9959505541346972E-2</v>
      </c>
      <c r="O449" s="99">
        <f t="shared" ref="O449" si="2102">O438/O385</f>
        <v>6.9959505541346972E-2</v>
      </c>
      <c r="P449" s="99">
        <f>P438/P385</f>
        <v>7.2314712048341348E-2</v>
      </c>
      <c r="Q449" s="99">
        <f>Q438/Q385</f>
        <v>9.3508569398810054E-2</v>
      </c>
      <c r="R449" s="99">
        <f>R438/R385</f>
        <v>0.10753679861290441</v>
      </c>
      <c r="S449" s="99">
        <f t="shared" ref="S449" si="2103">S438/S385</f>
        <v>0.11100567528604537</v>
      </c>
      <c r="U449" s="99">
        <f t="shared" ref="U449:AA449" si="2104">U438/U385</f>
        <v>-1.1405109489051095E-2</v>
      </c>
      <c r="V449" s="99">
        <f t="shared" si="2104"/>
        <v>5.5413469735720372E-3</v>
      </c>
      <c r="W449" s="99">
        <f t="shared" si="2104"/>
        <v>-8.4615384615384613E-3</v>
      </c>
      <c r="X449" s="99">
        <f t="shared" si="2104"/>
        <v>5.3982725527831094E-2</v>
      </c>
      <c r="Y449" s="99">
        <f t="shared" si="2104"/>
        <v>-5.1920341394025606E-2</v>
      </c>
      <c r="Z449" s="99">
        <f t="shared" si="2104"/>
        <v>-7.0791953144894323E-2</v>
      </c>
      <c r="AA449" s="99">
        <f t="shared" si="2104"/>
        <v>-0.15168408826945412</v>
      </c>
      <c r="AB449" s="99">
        <f t="shared" ref="AB449:AG449" si="2105">AB438/AB385</f>
        <v>-6.7976804123711335E-2</v>
      </c>
      <c r="AC449" s="99">
        <f t="shared" si="2105"/>
        <v>-1.6498927569707968E-4</v>
      </c>
      <c r="AD449" s="99">
        <f t="shared" si="2105"/>
        <v>-7.2487113402061858E-4</v>
      </c>
      <c r="AE449" s="99">
        <f t="shared" si="2105"/>
        <v>1.1374116200430372E-2</v>
      </c>
      <c r="AF449" s="99">
        <f t="shared" si="2105"/>
        <v>5.3684365347845273E-3</v>
      </c>
      <c r="AG449" s="99">
        <f t="shared" si="2105"/>
        <v>4.4526901669758812E-2</v>
      </c>
      <c r="AH449" s="99">
        <f t="shared" ref="AH449:AM449" si="2106">AH438/AH385</f>
        <v>5.0798914681941511E-2</v>
      </c>
      <c r="AI449" s="99">
        <f t="shared" si="2106"/>
        <v>5.1695801583744212E-2</v>
      </c>
      <c r="AJ449" s="99">
        <f t="shared" si="2106"/>
        <v>5.9912536443148687E-2</v>
      </c>
      <c r="AK449" s="99">
        <f t="shared" si="2106"/>
        <v>6.1636556854410204E-2</v>
      </c>
      <c r="AL449" s="99">
        <f t="shared" si="2106"/>
        <v>5.6663025669033314E-2</v>
      </c>
      <c r="AM449" s="99">
        <f t="shared" si="2106"/>
        <v>6.6369489846458643E-2</v>
      </c>
      <c r="AN449" s="99">
        <f t="shared" ref="AN449:AS449" si="2107">AN438/AN385</f>
        <v>0.11663765232529222</v>
      </c>
      <c r="AO449" s="99">
        <f t="shared" si="2107"/>
        <v>6.7321178120617109E-2</v>
      </c>
      <c r="AP449" s="99">
        <f t="shared" si="2107"/>
        <v>6.8283266980335378E-2</v>
      </c>
      <c r="AQ449" s="99">
        <f t="shared" si="2107"/>
        <v>8.8709677419354843E-2</v>
      </c>
      <c r="AR449" s="99">
        <f t="shared" si="2107"/>
        <v>8.9523606522434185E-2</v>
      </c>
      <c r="AS449" s="99">
        <f t="shared" si="2107"/>
        <v>5.4800526085050413E-2</v>
      </c>
      <c r="AT449" s="99">
        <f t="shared" ref="AT449:AW449" si="2108">AT438/AT385</f>
        <v>7.455647877835167E-2</v>
      </c>
      <c r="AU449" s="99">
        <f t="shared" si="2108"/>
        <v>6.579360921948664E-2</v>
      </c>
      <c r="AV449" s="99">
        <f t="shared" si="2108"/>
        <v>8.3726533480574239E-2</v>
      </c>
      <c r="AW449" s="99">
        <f t="shared" si="2108"/>
        <v>6.875121382792776E-2</v>
      </c>
      <c r="AX449" s="99">
        <f t="shared" ref="AX449:BA449" si="2109">AX438/AX385</f>
        <v>7.6545632973503433E-2</v>
      </c>
      <c r="AY449" s="99">
        <f t="shared" si="2109"/>
        <v>7.6046394351991925E-2</v>
      </c>
      <c r="AZ449" s="99">
        <f t="shared" si="2109"/>
        <v>6.8033918359297965E-2</v>
      </c>
      <c r="BA449" s="99">
        <f t="shared" si="2109"/>
        <v>7.5411236915189056E-2</v>
      </c>
      <c r="BB449" s="99">
        <f t="shared" ref="BB449:BE449" si="2110">BB438/BB385</f>
        <v>0.10417058049971821</v>
      </c>
      <c r="BC449" s="99">
        <f t="shared" si="2110"/>
        <v>0.10005875933853774</v>
      </c>
      <c r="BD449" s="99">
        <f t="shared" si="2110"/>
        <v>9.1823515964337424E-2</v>
      </c>
      <c r="BE449" s="99">
        <f t="shared" si="2110"/>
        <v>7.1642038851070899E-2</v>
      </c>
      <c r="BF449" s="99">
        <f t="shared" ref="BF449:BG449" si="2111">BF438/BF385</f>
        <v>0.10277591724343231</v>
      </c>
      <c r="BG449" s="99">
        <f t="shared" si="2111"/>
        <v>0.11183798455007307</v>
      </c>
      <c r="BH449" s="99">
        <f t="shared" ref="BH449:BI449" si="2112">BH438/BH385</f>
        <v>0.13779417908369307</v>
      </c>
      <c r="BI449" s="99">
        <f t="shared" si="2112"/>
        <v>8.8354049560604858E-2</v>
      </c>
      <c r="BJ449" s="44"/>
      <c r="BK449" s="99">
        <f t="shared" ref="BK449:BP449" si="2113">BK438/BK385</f>
        <v>-9.8441345365053333E-4</v>
      </c>
      <c r="BL449" s="99">
        <f t="shared" si="2113"/>
        <v>-7.9377678996666139E-3</v>
      </c>
      <c r="BM449" s="99">
        <f t="shared" si="2113"/>
        <v>1.1229135053110774E-2</v>
      </c>
      <c r="BN449" s="99">
        <f t="shared" si="2113"/>
        <v>1.2581344902386117E-2</v>
      </c>
      <c r="BO449" s="99">
        <f t="shared" si="2113"/>
        <v>6.1802833886041603E-2</v>
      </c>
      <c r="BP449" s="99">
        <f t="shared" si="2113"/>
        <v>6.1407440609592114E-2</v>
      </c>
      <c r="BQ449" s="99"/>
      <c r="BR449" s="99" t="e">
        <f t="shared" ref="BR449:BX449" si="2114">BR438/BR385</f>
        <v>#REF!</v>
      </c>
      <c r="BS449" s="99">
        <f t="shared" si="2114"/>
        <v>6.1636556854410204E-2</v>
      </c>
      <c r="BT449" s="99">
        <f t="shared" si="2114"/>
        <v>5.6663025669033314E-2</v>
      </c>
      <c r="BU449" s="99">
        <f t="shared" si="2114"/>
        <v>6.6369489846458643E-2</v>
      </c>
      <c r="BV449" s="99">
        <f t="shared" si="2114"/>
        <v>0.11663765232529222</v>
      </c>
      <c r="BW449" s="99"/>
      <c r="BX449" s="99">
        <f t="shared" si="2114"/>
        <v>6.7321178120617109E-2</v>
      </c>
      <c r="BY449" s="99">
        <f t="shared" ref="BY449:CB449" si="2115">BY438/BY385</f>
        <v>6.8283266980335378E-2</v>
      </c>
      <c r="BZ449" s="99">
        <f t="shared" si="2115"/>
        <v>8.8709677419354843E-2</v>
      </c>
      <c r="CA449" s="99">
        <f t="shared" si="2115"/>
        <v>8.9523606522434185E-2</v>
      </c>
      <c r="CB449" s="99">
        <f t="shared" si="2115"/>
        <v>5.6376141616867742E-2</v>
      </c>
      <c r="CC449" s="99">
        <f t="shared" ref="CC449:CF449" si="2116">CC438/CC385</f>
        <v>7.455647877835167E-2</v>
      </c>
      <c r="CD449" s="99">
        <f t="shared" si="2116"/>
        <v>6.579360921948664E-2</v>
      </c>
      <c r="CE449" s="99">
        <f t="shared" si="2116"/>
        <v>8.1636648394675021E-2</v>
      </c>
      <c r="CF449" s="99">
        <f t="shared" si="2116"/>
        <v>6.889515110290545E-2</v>
      </c>
      <c r="CG449" s="99">
        <f t="shared" ref="CG449:CI449" si="2117">CG438/CG385</f>
        <v>7.5747182753552175E-2</v>
      </c>
      <c r="CH449" s="99">
        <f t="shared" si="2117"/>
        <v>7.6015727391874177E-2</v>
      </c>
      <c r="CI449" s="99">
        <f t="shared" si="2117"/>
        <v>6.8706811451135247E-2</v>
      </c>
    </row>
    <row r="450" spans="2:87" ht="13.5" customHeight="1"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</row>
    <row r="451" spans="2:87" ht="13.5" customHeight="1">
      <c r="B451" s="5" t="s">
        <v>432</v>
      </c>
      <c r="C451" s="65">
        <f t="shared" ref="C451:S451" si="2118">C52</f>
        <v>9.8474948096164375E-2</v>
      </c>
      <c r="D451" s="65">
        <f t="shared" si="2118"/>
        <v>0.10661704800164663</v>
      </c>
      <c r="E451" s="65">
        <f t="shared" si="2118"/>
        <v>0.11619688522704022</v>
      </c>
      <c r="F451" s="65">
        <f t="shared" si="2118"/>
        <v>0.10200534058963819</v>
      </c>
      <c r="G451" s="65">
        <f t="shared" si="2118"/>
        <v>0.10998523190253458</v>
      </c>
      <c r="H451" s="65">
        <f t="shared" si="2118"/>
        <v>0.1095674406711146</v>
      </c>
      <c r="I451" s="65">
        <f t="shared" si="2118"/>
        <v>0.11450168969807102</v>
      </c>
      <c r="J451" s="65">
        <f t="shared" si="2118"/>
        <v>0.12973501148611991</v>
      </c>
      <c r="K451" s="65">
        <f t="shared" si="2118"/>
        <v>0.13651389699418862</v>
      </c>
      <c r="L451" s="65">
        <f t="shared" si="2118"/>
        <v>0.14095663632947061</v>
      </c>
      <c r="M451" s="65">
        <f t="shared" si="2118"/>
        <v>0.1398261218549173</v>
      </c>
      <c r="N451" s="65">
        <f t="shared" si="2118"/>
        <v>0.13404604075311147</v>
      </c>
      <c r="O451" s="65">
        <f t="shared" si="2118"/>
        <v>0.13404604075311147</v>
      </c>
      <c r="P451" s="65">
        <f t="shared" si="2118"/>
        <v>0.13739646728429991</v>
      </c>
      <c r="Q451" s="65">
        <f t="shared" si="2118"/>
        <v>0.13585415500788639</v>
      </c>
      <c r="R451" s="65">
        <f t="shared" si="2118"/>
        <v>0.13925697177348592</v>
      </c>
      <c r="S451" s="65">
        <f t="shared" si="2118"/>
        <v>0.14325518399251957</v>
      </c>
      <c r="U451" s="65">
        <f t="shared" ref="U451:BH451" si="2119">U52</f>
        <v>0.10118177864566534</v>
      </c>
      <c r="V451" s="65">
        <f t="shared" si="2119"/>
        <v>0.11277882184106382</v>
      </c>
      <c r="W451" s="65">
        <f t="shared" si="2119"/>
        <v>0.12307452627548293</v>
      </c>
      <c r="X451" s="65">
        <f t="shared" si="2119"/>
        <v>0.12516351926183641</v>
      </c>
      <c r="Y451" s="65">
        <f t="shared" si="2119"/>
        <v>8.756057376479702E-2</v>
      </c>
      <c r="Z451" s="65">
        <f t="shared" si="2119"/>
        <v>0.10584423423746762</v>
      </c>
      <c r="AA451" s="65">
        <f t="shared" si="2119"/>
        <v>0.10861028778300649</v>
      </c>
      <c r="AB451" s="65">
        <f t="shared" si="2119"/>
        <v>0.10584915404349476</v>
      </c>
      <c r="AC451" s="65">
        <f t="shared" si="2119"/>
        <v>9.6702914574322008E-2</v>
      </c>
      <c r="AD451" s="65">
        <f t="shared" si="2119"/>
        <v>0.10323597414112841</v>
      </c>
      <c r="AE451" s="65">
        <f t="shared" si="2119"/>
        <v>0.11467005621830395</v>
      </c>
      <c r="AF451" s="65">
        <f t="shared" si="2119"/>
        <v>0.12363553042433985</v>
      </c>
      <c r="AG451" s="65">
        <f t="shared" si="2119"/>
        <v>9.9650507430646407E-2</v>
      </c>
      <c r="AH451" s="65">
        <f t="shared" si="2119"/>
        <v>0.10656188362585056</v>
      </c>
      <c r="AI451" s="65">
        <f t="shared" si="2119"/>
        <v>0.1218565885749797</v>
      </c>
      <c r="AJ451" s="65">
        <f t="shared" si="2119"/>
        <v>0.12857143941941188</v>
      </c>
      <c r="AK451" s="65">
        <f t="shared" si="2119"/>
        <v>0</v>
      </c>
      <c r="AL451" s="65">
        <f t="shared" si="2119"/>
        <v>0</v>
      </c>
      <c r="AM451" s="65">
        <f t="shared" si="2119"/>
        <v>0</v>
      </c>
      <c r="AN451" s="65">
        <f t="shared" si="2119"/>
        <v>0</v>
      </c>
      <c r="AO451" s="65">
        <f t="shared" si="2119"/>
        <v>0</v>
      </c>
      <c r="AP451" s="65">
        <f t="shared" si="2119"/>
        <v>0</v>
      </c>
      <c r="AQ451" s="65">
        <f t="shared" si="2119"/>
        <v>0</v>
      </c>
      <c r="AR451" s="65">
        <f t="shared" si="2119"/>
        <v>0</v>
      </c>
      <c r="AS451" s="65">
        <f t="shared" si="2119"/>
        <v>0.12748519239719761</v>
      </c>
      <c r="AT451" s="65">
        <f t="shared" si="2119"/>
        <v>0.1347237141403364</v>
      </c>
      <c r="AU451" s="65">
        <f t="shared" si="2119"/>
        <v>0.14107028591392237</v>
      </c>
      <c r="AV451" s="65">
        <f t="shared" si="2119"/>
        <v>0.13239402266475239</v>
      </c>
      <c r="AW451" s="65">
        <f t="shared" si="2119"/>
        <v>0.12913114844474705</v>
      </c>
      <c r="AX451" s="65">
        <f t="shared" si="2119"/>
        <v>0.13950919823141153</v>
      </c>
      <c r="AY451" s="65">
        <f t="shared" si="2119"/>
        <v>0.14586360773665336</v>
      </c>
      <c r="AZ451" s="65">
        <f t="shared" si="2119"/>
        <v>0.13512494830101215</v>
      </c>
      <c r="BA451" s="65">
        <f t="shared" si="2119"/>
        <v>0.12678191760939539</v>
      </c>
      <c r="BB451" s="65">
        <f t="shared" si="2119"/>
        <v>0.14225186279033517</v>
      </c>
      <c r="BC451" s="65">
        <f t="shared" si="2119"/>
        <v>0.14748267257764142</v>
      </c>
      <c r="BD451" s="65">
        <f t="shared" si="2119"/>
        <v>0.12670845443778708</v>
      </c>
      <c r="BE451" s="65">
        <f t="shared" si="2119"/>
        <v>0.12356645986903246</v>
      </c>
      <c r="BF451" s="65">
        <f t="shared" si="2119"/>
        <v>0.13857348416426557</v>
      </c>
      <c r="BG451" s="65">
        <f t="shared" si="2119"/>
        <v>0.14686165778921334</v>
      </c>
      <c r="BH451" s="65">
        <f t="shared" si="2119"/>
        <v>0.14742003171940588</v>
      </c>
      <c r="BI451" s="65">
        <f t="shared" ref="BI451" si="2120">BI52</f>
        <v>0.13991402962712474</v>
      </c>
      <c r="BJ451" s="44"/>
      <c r="BK451" s="65">
        <f t="shared" ref="BK451:BP451" si="2121">BK52</f>
        <v>9.6874029212024718E-2</v>
      </c>
      <c r="BL451" s="65">
        <f t="shared" si="2121"/>
        <v>0.10249504057806268</v>
      </c>
      <c r="BM451" s="65">
        <f t="shared" si="2121"/>
        <v>0.11426584818860482</v>
      </c>
      <c r="BN451" s="65">
        <f t="shared" si="2121"/>
        <v>0.12293705739955058</v>
      </c>
      <c r="BO451" s="65">
        <f t="shared" si="2121"/>
        <v>0</v>
      </c>
      <c r="BP451" s="65">
        <f t="shared" si="2121"/>
        <v>0</v>
      </c>
      <c r="BQ451" s="65">
        <f>SUM(BQ446:BQ450)</f>
        <v>0</v>
      </c>
      <c r="BR451" s="65">
        <f>BR52</f>
        <v>0.18781475007096352</v>
      </c>
      <c r="BS451" s="65">
        <f>BS52</f>
        <v>0</v>
      </c>
      <c r="BT451" s="65">
        <f>BT52</f>
        <v>0</v>
      </c>
      <c r="BU451" s="65">
        <f>BU52</f>
        <v>0</v>
      </c>
      <c r="BV451" s="65">
        <f>BV52</f>
        <v>0.53307604576968559</v>
      </c>
      <c r="BW451" s="65"/>
      <c r="BX451" s="65">
        <f t="shared" ref="BX451:CI451" si="2122">BX52</f>
        <v>0.13410910863819056</v>
      </c>
      <c r="BY451" s="65">
        <f t="shared" si="2122"/>
        <v>0.141438496004586</v>
      </c>
      <c r="BZ451" s="65">
        <f t="shared" si="2122"/>
        <v>0.14702431609877736</v>
      </c>
      <c r="CA451" s="65">
        <f t="shared" si="2122"/>
        <v>0.13662664729423157</v>
      </c>
      <c r="CB451" s="65">
        <f t="shared" si="2122"/>
        <v>0.12489747741102368</v>
      </c>
      <c r="CC451" s="65">
        <f t="shared" si="2122"/>
        <v>0.13475144431259137</v>
      </c>
      <c r="CD451" s="65">
        <f t="shared" si="2122"/>
        <v>0.14116207430936689</v>
      </c>
      <c r="CE451" s="65">
        <f t="shared" si="2122"/>
        <v>0.13431739048907732</v>
      </c>
      <c r="CF451" s="65">
        <f t="shared" si="2122"/>
        <v>0.12958140648376479</v>
      </c>
      <c r="CG451" s="65">
        <f t="shared" si="2122"/>
        <v>0.13982953272504886</v>
      </c>
      <c r="CH451" s="65">
        <f t="shared" si="2122"/>
        <v>0.14601251789825148</v>
      </c>
      <c r="CI451" s="65">
        <f t="shared" si="2122"/>
        <v>0.13426173472737435</v>
      </c>
    </row>
    <row r="452" spans="2:87" ht="13.5" customHeight="1">
      <c r="B452" s="226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24"/>
      <c r="S452" s="224"/>
      <c r="U452" s="224"/>
      <c r="V452" s="224"/>
      <c r="W452" s="224"/>
      <c r="X452" s="224"/>
      <c r="Y452" s="224"/>
      <c r="Z452" s="224"/>
      <c r="AA452" s="224"/>
      <c r="AB452" s="224"/>
      <c r="AC452" s="224"/>
      <c r="AD452" s="224"/>
      <c r="AE452" s="224"/>
      <c r="AF452" s="224"/>
      <c r="AG452" s="224"/>
      <c r="AH452" s="224"/>
      <c r="AI452" s="224"/>
      <c r="AJ452" s="224"/>
      <c r="AK452" s="224"/>
      <c r="AL452" s="224"/>
      <c r="AN452" s="224"/>
      <c r="AO452" s="224"/>
      <c r="AP452" s="224"/>
      <c r="AQ452" s="224"/>
      <c r="AR452" s="224"/>
      <c r="AS452" s="224"/>
      <c r="AT452" s="224"/>
      <c r="AU452" s="224"/>
      <c r="AV452" s="224"/>
      <c r="AW452" s="224"/>
      <c r="AX452" s="224"/>
      <c r="AY452" s="224"/>
      <c r="AZ452" s="224"/>
      <c r="BA452" s="224"/>
      <c r="BB452" s="224"/>
      <c r="BC452" s="224"/>
      <c r="BD452" s="224"/>
      <c r="BE452" s="224"/>
      <c r="BF452" s="224"/>
      <c r="BG452" s="224"/>
      <c r="BH452" s="224"/>
      <c r="BI452" s="224"/>
      <c r="BJ452" s="44"/>
      <c r="BK452" s="224"/>
      <c r="BL452" s="224"/>
      <c r="BM452" s="224"/>
      <c r="BN452" s="224"/>
      <c r="BO452" s="224"/>
      <c r="BP452" s="224"/>
      <c r="BQ452" s="224"/>
      <c r="BR452" s="224"/>
      <c r="BS452" s="224"/>
      <c r="BT452" s="224"/>
      <c r="BU452" s="224"/>
      <c r="BV452" s="224"/>
      <c r="BW452" s="224"/>
      <c r="BX452" s="224"/>
      <c r="BY452" s="224"/>
      <c r="BZ452" s="224"/>
      <c r="CA452" s="224"/>
      <c r="CB452" s="224"/>
      <c r="CC452" s="224"/>
      <c r="CD452" s="224"/>
      <c r="CE452" s="224"/>
      <c r="CF452" s="224"/>
      <c r="CG452" s="224"/>
      <c r="CH452" s="224"/>
      <c r="CI452" s="224"/>
    </row>
    <row r="453" spans="2:87" s="61" customFormat="1" ht="13.5" customHeight="1"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BJ453" s="44"/>
    </row>
    <row r="454" spans="2:87" ht="13.5" customHeight="1"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U454" s="5"/>
      <c r="V454" s="5"/>
      <c r="W454" s="5"/>
      <c r="Y454" s="5"/>
      <c r="Z454" s="5"/>
      <c r="AD454" s="5"/>
      <c r="BJ454" s="44"/>
      <c r="BQ454" s="5"/>
    </row>
    <row r="455" spans="2:87" ht="12.75"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U455" s="5"/>
      <c r="V455" s="5"/>
      <c r="W455" s="5"/>
      <c r="Y455" s="5"/>
      <c r="Z455" s="5"/>
      <c r="AD455" s="5"/>
      <c r="BJ455" s="44"/>
      <c r="BQ455" s="5"/>
    </row>
    <row r="456" spans="2:87" ht="13.5" customHeight="1"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U456" s="5"/>
      <c r="V456" s="5"/>
      <c r="W456" s="5"/>
      <c r="Y456" s="5"/>
      <c r="Z456" s="5"/>
      <c r="AD456" s="5"/>
      <c r="BJ456" s="44"/>
      <c r="BQ456" s="5"/>
    </row>
    <row r="457" spans="2:87" ht="13.5" customHeight="1"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U457" s="5"/>
      <c r="V457" s="5"/>
      <c r="W457" s="5"/>
      <c r="Y457" s="5"/>
      <c r="Z457" s="5"/>
      <c r="AD457" s="5"/>
      <c r="BJ457" s="44"/>
      <c r="BQ457" s="5"/>
    </row>
    <row r="458" spans="2:87" ht="13.5" customHeight="1">
      <c r="C458" s="65"/>
      <c r="D458" s="65"/>
      <c r="E458" s="65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U458" s="65"/>
      <c r="V458" s="62"/>
      <c r="W458" s="63"/>
      <c r="X458" s="64"/>
      <c r="Y458" s="65"/>
      <c r="Z458" s="65"/>
      <c r="AB458" s="64"/>
      <c r="AD458" s="65"/>
      <c r="AF458" s="64"/>
      <c r="BJ458" s="44"/>
      <c r="BK458" s="64"/>
      <c r="BL458" s="64"/>
      <c r="BM458" s="64"/>
      <c r="BN458" s="64"/>
      <c r="BP458" s="64"/>
      <c r="BQ458" s="63"/>
      <c r="BR458" s="64"/>
      <c r="BV458" s="64"/>
      <c r="BW458" s="64"/>
      <c r="CA458" s="64"/>
      <c r="CE458" s="64"/>
      <c r="CI458" s="64"/>
    </row>
    <row r="459" spans="2:87" ht="13.5" customHeight="1">
      <c r="C459" s="65"/>
      <c r="D459" s="65"/>
      <c r="E459" s="65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U459" s="65"/>
      <c r="V459" s="62"/>
      <c r="W459" s="63"/>
      <c r="X459" s="64"/>
      <c r="Y459" s="65"/>
      <c r="Z459" s="65"/>
      <c r="AB459" s="64"/>
      <c r="AD459" s="65"/>
      <c r="AF459" s="64"/>
      <c r="BJ459" s="44"/>
      <c r="BK459" s="64"/>
      <c r="BL459" s="64"/>
      <c r="BM459" s="64"/>
      <c r="BN459" s="64"/>
      <c r="BP459" s="64"/>
      <c r="BQ459" s="63"/>
      <c r="BR459" s="64"/>
      <c r="BV459" s="64"/>
      <c r="BW459" s="64"/>
      <c r="CA459" s="64"/>
      <c r="CE459" s="64"/>
      <c r="CI459" s="64"/>
    </row>
  </sheetData>
  <mergeCells count="1">
    <mergeCell ref="C14:C15"/>
  </mergeCells>
  <pageMargins left="0.51181102362204722" right="0.47244094488188981" top="0.23622047244094491" bottom="0.43307086614173229" header="0.51181102362204722" footer="0.23622047244094491"/>
  <pageSetup paperSize="9" scale="83" fitToHeight="0" orientation="portrait" r:id="rId1"/>
  <headerFooter alignWithMargins="0">
    <oddFooter>&amp;L&amp;8U.S. Bank Loan Team&amp;C&amp;"Arial,Bold"&amp;8- Confidential -&amp;R&amp;8&amp;D &amp;T</oddFooter>
  </headerFooter>
  <rowBreaks count="1" manualBreakCount="1">
    <brk id="98" min="1" max="10" man="1"/>
  </rowBreaks>
  <ignoredErrors>
    <ignoredError sqref="CA8 BB74" formula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00EECCAA3DB94895FACE15614ECBE0" ma:contentTypeVersion="3" ma:contentTypeDescription="Create a new document." ma:contentTypeScope="" ma:versionID="df48d4251bee182ecc7fb5dcb95088a2">
  <xsd:schema xmlns:xsd="http://www.w3.org/2001/XMLSchema" xmlns:xs="http://www.w3.org/2001/XMLSchema" xmlns:p="http://schemas.microsoft.com/office/2006/metadata/properties" xmlns:ns2="aa33d72f-12a9-4590-815a-2b1f92f4a722" targetNamespace="http://schemas.microsoft.com/office/2006/metadata/properties" ma:root="true" ma:fieldsID="e53bcbeb5cc26077ba81130311515115" ns2:_="">
    <xsd:import namespace="aa33d72f-12a9-4590-815a-2b1f92f4a7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3d72f-12a9-4590-815a-2b1f92f4a7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FAE431-3012-4FA8-AA4B-0824955649AB}"/>
</file>

<file path=customXml/itemProps2.xml><?xml version="1.0" encoding="utf-8"?>
<ds:datastoreItem xmlns:ds="http://schemas.openxmlformats.org/officeDocument/2006/customXml" ds:itemID="{9E637EA6-A19C-4D51-B223-E891C1006990}"/>
</file>

<file path=customXml/itemProps3.xml><?xml version="1.0" encoding="utf-8"?>
<ds:datastoreItem xmlns:ds="http://schemas.openxmlformats.org/officeDocument/2006/customXml" ds:itemID="{C5C4D754-5F7B-45B7-8A36-C1A5C5B498B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MassMutual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MAB</dc:creator>
  <cp:keywords/>
  <dc:description/>
  <cp:lastModifiedBy/>
  <cp:revision/>
  <dcterms:created xsi:type="dcterms:W3CDTF">2008-03-12T15:44:19Z</dcterms:created>
  <dcterms:modified xsi:type="dcterms:W3CDTF">2026-10-23T14:39:39Z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{8336676F-8FA5-4524-953F-240B6E77C5FC}</vt:lpwstr>
  </property>
  <property fmtid="{D5CDD505-2E9C-101B-9397-08002B2CF9AE}" pid="3" name="WorkbookGuid">
    <vt:lpwstr>a8a78190-5571-4d1e-9486-9725f3b6421b</vt:lpwstr>
  </property>
  <property fmtid="{D5CDD505-2E9C-101B-9397-08002B2CF9AE}" pid="4" name="MSIP_Label_8c63c790-1b4f-473b-b88f-a693ca173b52_Enabled">
    <vt:lpwstr>true</vt:lpwstr>
  </property>
  <property fmtid="{D5CDD505-2E9C-101B-9397-08002B2CF9AE}" pid="5" name="MSIP_Label_8c63c790-1b4f-473b-b88f-a693ca173b52_SetDate">
    <vt:lpwstr>2021-11-10T15:44:41Z</vt:lpwstr>
  </property>
  <property fmtid="{D5CDD505-2E9C-101B-9397-08002B2CF9AE}" pid="6" name="MSIP_Label_8c63c790-1b4f-473b-b88f-a693ca173b52_Method">
    <vt:lpwstr>Privileged</vt:lpwstr>
  </property>
  <property fmtid="{D5CDD505-2E9C-101B-9397-08002B2CF9AE}" pid="7" name="MSIP_Label_8c63c790-1b4f-473b-b88f-a693ca173b52_Name">
    <vt:lpwstr>Internal</vt:lpwstr>
  </property>
  <property fmtid="{D5CDD505-2E9C-101B-9397-08002B2CF9AE}" pid="8" name="MSIP_Label_8c63c790-1b4f-473b-b88f-a693ca173b52_SiteId">
    <vt:lpwstr>4d8b04bf-7a7c-48a0-b6e3-38da5008297e</vt:lpwstr>
  </property>
  <property fmtid="{D5CDD505-2E9C-101B-9397-08002B2CF9AE}" pid="9" name="MSIP_Label_8c63c790-1b4f-473b-b88f-a693ca173b52_ActionId">
    <vt:lpwstr>42e4f6d2-77bb-4977-a495-43885350c6c0</vt:lpwstr>
  </property>
  <property fmtid="{D5CDD505-2E9C-101B-9397-08002B2CF9AE}" pid="10" name="MSIP_Label_8c63c790-1b4f-473b-b88f-a693ca173b52_ContentBits">
    <vt:lpwstr>0</vt:lpwstr>
  </property>
  <property fmtid="{D5CDD505-2E9C-101B-9397-08002B2CF9AE}" pid="11" name="ContentTypeId">
    <vt:lpwstr>0x0101003A00EECCAA3DB94895FACE15614ECBE0</vt:lpwstr>
  </property>
</Properties>
</file>