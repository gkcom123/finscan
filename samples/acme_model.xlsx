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P&amp;L" sheetId="1" state="visible" r:id="rId1"/>
    <sheet xmlns:r="http://schemas.openxmlformats.org/officeDocument/2006/relationships" name="Standalone P&amp;L" sheetId="2" state="visible" r:id="rId2"/>
    <sheet xmlns:r="http://schemas.openxmlformats.org/officeDocument/2006/relationships" name="Seg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theme="8" tint="-0.2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4" fontId="3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4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B1" s="1" t="inlineStr">
        <is>
          <t>Acme Manufacturing Limited</t>
        </is>
      </c>
    </row>
    <row r="2">
      <c r="B2" t="inlineStr">
        <is>
          <t>Consolidated statement of profit and loss</t>
        </is>
      </c>
    </row>
    <row r="3">
      <c r="B3" t="inlineStr">
        <is>
          <t>All figures in Rs. Crores unless stated</t>
        </is>
      </c>
    </row>
    <row r="7">
      <c r="A7" t="inlineStr">
        <is>
          <t>Note</t>
        </is>
      </c>
      <c r="B7" s="2" t="inlineStr">
        <is>
          <t>Particulars</t>
        </is>
      </c>
      <c r="D7" s="3" t="inlineStr">
        <is>
          <t>Q1 FY2026</t>
        </is>
      </c>
      <c r="E7" s="3" t="inlineStr">
        <is>
          <t>Q2 FY2026</t>
        </is>
      </c>
      <c r="F7" s="3" t="inlineStr">
        <is>
          <t>Q3 FY2026</t>
        </is>
      </c>
      <c r="G7" s="3" t="inlineStr">
        <is>
          <t>Q4 FY2026</t>
        </is>
      </c>
    </row>
    <row r="8">
      <c r="A8" t="inlineStr">
        <is>
          <t>1</t>
        </is>
      </c>
      <c r="B8" t="inlineStr">
        <is>
          <t>Net Sales</t>
        </is>
      </c>
      <c r="D8" s="4" t="n">
        <v>1089.2</v>
      </c>
      <c r="E8" s="4" t="n">
        <v>1132.4</v>
      </c>
      <c r="F8" s="4" t="n">
        <v>1178.6</v>
      </c>
      <c r="G8" s="4" t="n">
        <v>1213</v>
      </c>
      <c r="H8" s="4" t="n"/>
    </row>
    <row r="9">
      <c r="A9" t="inlineStr">
        <is>
          <t>2</t>
        </is>
      </c>
      <c r="B9" t="inlineStr">
        <is>
          <t>Other Income</t>
        </is>
      </c>
      <c r="D9" s="4" t="n">
        <v>26.4</v>
      </c>
      <c r="E9" s="4" t="n">
        <v>27.1</v>
      </c>
      <c r="F9" s="4" t="n">
        <v>28.3</v>
      </c>
      <c r="G9" s="4" t="n">
        <v>28.8</v>
      </c>
      <c r="H9" s="4" t="n"/>
    </row>
    <row r="10">
      <c r="A10" t="inlineStr">
        <is>
          <t>3</t>
        </is>
      </c>
      <c r="B10" t="inlineStr">
        <is>
          <t>Total Income</t>
        </is>
      </c>
      <c r="D10" s="5">
        <f>D8+D9</f>
        <v/>
      </c>
      <c r="E10" s="5">
        <f>E8+E9</f>
        <v/>
      </c>
      <c r="F10" s="5">
        <f>F8+F9</f>
        <v/>
      </c>
      <c r="G10" s="5">
        <f>G8+G9</f>
        <v/>
      </c>
      <c r="H10" s="5" t="n"/>
    </row>
    <row r="11">
      <c r="A11" t="inlineStr">
        <is>
          <t>4</t>
        </is>
      </c>
      <c r="B11" t="inlineStr">
        <is>
          <t>Raw Material Consumed</t>
        </is>
      </c>
      <c r="D11" s="4" t="n">
        <v>451</v>
      </c>
      <c r="E11" s="4" t="n">
        <v>468.2</v>
      </c>
      <c r="F11" s="4" t="n">
        <v>481.6</v>
      </c>
      <c r="G11" s="4" t="n">
        <v>498.7</v>
      </c>
      <c r="H11" s="4" t="n"/>
    </row>
    <row r="12">
      <c r="A12" t="inlineStr">
        <is>
          <t>5</t>
        </is>
      </c>
      <c r="B12" t="inlineStr">
        <is>
          <t>Purchase of Traded Goods</t>
        </is>
      </c>
      <c r="D12" s="4" t="n">
        <v>53.3</v>
      </c>
      <c r="E12" s="4" t="n">
        <v>55.1</v>
      </c>
      <c r="F12" s="4" t="n">
        <v>56.9</v>
      </c>
      <c r="G12" s="4" t="n">
        <v>59.1</v>
      </c>
      <c r="H12" s="4" t="n"/>
    </row>
    <row r="13">
      <c r="A13" t="inlineStr">
        <is>
          <t>6</t>
        </is>
      </c>
      <c r="B13" t="inlineStr">
        <is>
          <t>(Increase)/Decrease in Stock</t>
        </is>
      </c>
      <c r="D13" s="4" t="n">
        <v>-6.2</v>
      </c>
      <c r="E13" s="4" t="n">
        <v>3.1</v>
      </c>
      <c r="F13" s="4" t="n">
        <v>-4.4</v>
      </c>
      <c r="G13" s="4" t="n">
        <v>9.4</v>
      </c>
      <c r="H13" s="4" t="n"/>
    </row>
    <row r="14">
      <c r="A14" t="inlineStr">
        <is>
          <t>7</t>
        </is>
      </c>
      <c r="B14" t="inlineStr">
        <is>
          <t>Staff Cost</t>
        </is>
      </c>
      <c r="D14" s="4" t="n">
        <v>192.1</v>
      </c>
      <c r="E14" s="4" t="n">
        <v>198.4</v>
      </c>
      <c r="F14" s="4" t="n">
        <v>204.2</v>
      </c>
      <c r="G14" s="4" t="n">
        <v>209.4</v>
      </c>
      <c r="H14" s="4" t="n"/>
    </row>
    <row r="15">
      <c r="A15" t="inlineStr">
        <is>
          <t>8</t>
        </is>
      </c>
      <c r="B15" t="inlineStr">
        <is>
          <t>Interest Cost</t>
        </is>
      </c>
      <c r="D15" s="4" t="n">
        <v>40.2</v>
      </c>
      <c r="E15" s="4" t="n">
        <v>41.1</v>
      </c>
      <c r="F15" s="4" t="n">
        <v>41.6</v>
      </c>
      <c r="G15" s="4" t="n">
        <v>41.8</v>
      </c>
      <c r="H15" s="4" t="n"/>
    </row>
    <row r="16">
      <c r="A16" t="inlineStr">
        <is>
          <t>9</t>
        </is>
      </c>
      <c r="B16" t="inlineStr">
        <is>
          <t>Depreciation &amp; Amortization</t>
        </is>
      </c>
      <c r="D16" s="4" t="n">
        <v>81.09999999999999</v>
      </c>
      <c r="E16" s="4" t="n">
        <v>82.90000000000001</v>
      </c>
      <c r="F16" s="4" t="n">
        <v>84.2</v>
      </c>
      <c r="G16" s="4" t="n">
        <v>86.40000000000001</v>
      </c>
      <c r="H16" s="4" t="n"/>
    </row>
    <row r="17">
      <c r="A17" t="inlineStr">
        <is>
          <t>10</t>
        </is>
      </c>
      <c r="B17" t="inlineStr">
        <is>
          <t>Other Expenditure</t>
        </is>
      </c>
      <c r="D17" s="4" t="n">
        <v>165.4</v>
      </c>
      <c r="E17" s="4" t="n">
        <v>169.8</v>
      </c>
      <c r="F17" s="4" t="n">
        <v>173.1</v>
      </c>
      <c r="G17" s="4" t="n">
        <v>179.2</v>
      </c>
      <c r="H17" s="4" t="n"/>
    </row>
    <row r="18">
      <c r="A18" t="inlineStr">
        <is>
          <t>11</t>
        </is>
      </c>
      <c r="B18" t="inlineStr">
        <is>
          <t>Total Expenditure</t>
        </is>
      </c>
      <c r="D18" s="5">
        <f>SUM(D11:D17)</f>
        <v/>
      </c>
      <c r="E18" s="5">
        <f>SUM(E11:E17)</f>
        <v/>
      </c>
      <c r="F18" s="5">
        <f>SUM(F11:F17)</f>
        <v/>
      </c>
      <c r="G18" s="5">
        <f>SUM(G11:G17)</f>
        <v/>
      </c>
      <c r="H18" s="5" t="n"/>
    </row>
    <row r="19">
      <c r="A19" t="inlineStr">
        <is>
          <t>12</t>
        </is>
      </c>
      <c r="B19" t="inlineStr">
        <is>
          <t>Operating Profit (EBITDA)</t>
        </is>
      </c>
      <c r="D19" s="5">
        <f>D10-D18+D15+D16-D9</f>
        <v/>
      </c>
      <c r="E19" s="5">
        <f>E10-E18+E15+E16-E9</f>
        <v/>
      </c>
      <c r="F19" s="5">
        <f>F10-F18+F15+F16-F9</f>
        <v/>
      </c>
      <c r="G19" s="5">
        <f>G10-G18+G15+G16-G9</f>
        <v/>
      </c>
      <c r="H19" s="5" t="n"/>
    </row>
    <row r="20">
      <c r="A20" t="inlineStr">
        <is>
          <t>13</t>
        </is>
      </c>
      <c r="B20" t="inlineStr">
        <is>
          <t>Exceptional Items</t>
        </is>
      </c>
      <c r="D20" s="4" t="n">
        <v>0</v>
      </c>
      <c r="E20" s="4" t="n">
        <v>0</v>
      </c>
      <c r="F20" s="4" t="n">
        <v>0</v>
      </c>
      <c r="G20" s="4" t="n">
        <v>-12</v>
      </c>
      <c r="H20" s="4" t="n"/>
    </row>
    <row r="21">
      <c r="A21" t="inlineStr">
        <is>
          <t>14</t>
        </is>
      </c>
      <c r="B21" t="inlineStr">
        <is>
          <t>PBT</t>
        </is>
      </c>
      <c r="D21" s="5">
        <f>D10-D18+D20</f>
        <v/>
      </c>
      <c r="E21" s="5">
        <f>E10-E18+E20</f>
        <v/>
      </c>
      <c r="F21" s="5">
        <f>F10-F18+F20</f>
        <v/>
      </c>
      <c r="G21" s="5">
        <f>G10-G18+G20</f>
        <v/>
      </c>
      <c r="H21" s="5" t="n"/>
    </row>
    <row r="22">
      <c r="A22" t="inlineStr">
        <is>
          <t>15</t>
        </is>
      </c>
      <c r="B22" t="inlineStr">
        <is>
          <t>Total Tax</t>
        </is>
      </c>
      <c r="D22" s="4" t="n">
        <v>37.5</v>
      </c>
      <c r="E22" s="4" t="n">
        <v>38.2</v>
      </c>
      <c r="F22" s="4" t="n">
        <v>45.1</v>
      </c>
      <c r="G22" s="4" t="n">
        <v>41.5</v>
      </c>
      <c r="H22" s="4" t="n"/>
    </row>
    <row r="23">
      <c r="A23" t="inlineStr">
        <is>
          <t>16</t>
        </is>
      </c>
      <c r="B23" t="inlineStr">
        <is>
          <t>Net Profit</t>
        </is>
      </c>
      <c r="D23" s="5">
        <f>D21-D22</f>
        <v/>
      </c>
      <c r="E23" s="5">
        <f>E21-E22</f>
        <v/>
      </c>
      <c r="F23" s="5">
        <f>F21-F22</f>
        <v/>
      </c>
      <c r="G23" s="5">
        <f>G21-G22</f>
        <v/>
      </c>
      <c r="H23" s="5" t="n"/>
    </row>
    <row r="24">
      <c r="A24" t="inlineStr">
        <is>
          <t>17</t>
        </is>
      </c>
      <c r="B24" t="inlineStr">
        <is>
          <t>EPS - Basic (Rs.)</t>
        </is>
      </c>
      <c r="D24" s="4" t="n">
        <v>20.4</v>
      </c>
      <c r="E24" s="4" t="n">
        <v>20.7</v>
      </c>
      <c r="F24" s="4" t="n">
        <v>25.12</v>
      </c>
      <c r="G24" s="4" t="n">
        <v>21.03</v>
      </c>
      <c r="H24" s="4" t="n"/>
    </row>
    <row r="25">
      <c r="A25" t="inlineStr">
        <is>
          <t>18</t>
        </is>
      </c>
      <c r="B25" t="inlineStr">
        <is>
          <t>EPS - Diluted (Rs.)</t>
        </is>
      </c>
      <c r="D25" s="4" t="n">
        <v>20.29</v>
      </c>
      <c r="E25" s="4" t="n">
        <v>20.58</v>
      </c>
      <c r="F25" s="4" t="n">
        <v>24.98</v>
      </c>
      <c r="G25" s="4" t="n">
        <v>20.92</v>
      </c>
      <c r="H2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5"/>
  <sheetViews>
    <sheetView workbookViewId="0">
      <selection activeCell="A1" sqref="A1"/>
    </sheetView>
  </sheetViews>
  <sheetFormatPr baseColWidth="8" defaultRowHeight="15"/>
  <cols>
    <col width="34" customWidth="1" min="2" max="2"/>
    <col width="13" customWidth="1" min="4" max="4"/>
    <col width="13" customWidth="1" min="5" max="5"/>
    <col width="13" customWidth="1" min="6" max="6"/>
    <col width="13" customWidth="1" min="7" max="7"/>
  </cols>
  <sheetData>
    <row r="1">
      <c r="B1" s="1" t="inlineStr">
        <is>
          <t>Acme Manufacturing Limited — Standalone</t>
        </is>
      </c>
    </row>
    <row r="3">
      <c r="B3" t="inlineStr">
        <is>
          <t>All figures in Rs. Lakhs</t>
        </is>
      </c>
    </row>
    <row r="7">
      <c r="B7" s="2" t="inlineStr">
        <is>
          <t>Particulars</t>
        </is>
      </c>
      <c r="D7" s="3" t="inlineStr">
        <is>
          <t>Q1 FY2026</t>
        </is>
      </c>
      <c r="E7" s="3" t="inlineStr">
        <is>
          <t>Q2 FY2026</t>
        </is>
      </c>
      <c r="F7" s="3" t="inlineStr">
        <is>
          <t>Q3 FY2026</t>
        </is>
      </c>
      <c r="G7" s="3" t="inlineStr">
        <is>
          <t>Q4 FY2026</t>
        </is>
      </c>
    </row>
    <row r="8">
      <c r="B8" t="inlineStr">
        <is>
          <t>Net Sales</t>
        </is>
      </c>
      <c r="D8" s="4" t="n">
        <v>108920</v>
      </c>
      <c r="E8" s="4" t="n">
        <v>113240</v>
      </c>
      <c r="F8" s="4" t="n">
        <v>117860</v>
      </c>
      <c r="G8" s="4" t="n">
        <v>121300</v>
      </c>
    </row>
    <row r="9">
      <c r="B9" t="inlineStr">
        <is>
          <t>Other Income</t>
        </is>
      </c>
      <c r="D9" s="4" t="n">
        <v>2640</v>
      </c>
      <c r="E9" s="4" t="n">
        <v>2710</v>
      </c>
      <c r="F9" s="4" t="n">
        <v>2830</v>
      </c>
      <c r="G9" s="4" t="n">
        <v>2880</v>
      </c>
    </row>
    <row r="10">
      <c r="B10" t="inlineStr">
        <is>
          <t>Total Income</t>
        </is>
      </c>
      <c r="D10" s="5">
        <f>D8+D9</f>
        <v/>
      </c>
      <c r="E10" s="5">
        <f>E8+E9</f>
        <v/>
      </c>
      <c r="F10" s="5">
        <f>F8+F9</f>
        <v/>
      </c>
      <c r="G10" s="5">
        <f>G8+G9</f>
        <v/>
      </c>
    </row>
    <row r="11">
      <c r="B11" t="inlineStr">
        <is>
          <t>Raw Material Consumed</t>
        </is>
      </c>
      <c r="D11" s="4" t="n">
        <v>45100</v>
      </c>
      <c r="E11" s="4" t="n">
        <v>46820</v>
      </c>
      <c r="F11" s="4" t="n">
        <v>48160</v>
      </c>
      <c r="G11" s="4" t="n">
        <v>49870</v>
      </c>
    </row>
    <row r="12">
      <c r="B12" t="inlineStr">
        <is>
          <t>Purchase of Traded Goods</t>
        </is>
      </c>
      <c r="D12" s="4" t="n">
        <v>5330</v>
      </c>
      <c r="E12" s="4" t="n">
        <v>5510</v>
      </c>
      <c r="F12" s="4" t="n">
        <v>5690</v>
      </c>
      <c r="G12" s="4" t="n">
        <v>5910</v>
      </c>
    </row>
    <row r="13">
      <c r="B13" t="inlineStr">
        <is>
          <t>(Increase)/Decrease in Stock</t>
        </is>
      </c>
      <c r="D13" s="4" t="n">
        <v>-620</v>
      </c>
      <c r="E13" s="4" t="n">
        <v>310</v>
      </c>
      <c r="F13" s="4" t="n">
        <v>-440</v>
      </c>
      <c r="G13" s="4" t="n">
        <v>940</v>
      </c>
    </row>
    <row r="14">
      <c r="B14" t="inlineStr">
        <is>
          <t>Staff Cost</t>
        </is>
      </c>
      <c r="D14" s="4" t="n">
        <v>19210</v>
      </c>
      <c r="E14" s="4" t="n">
        <v>19840</v>
      </c>
      <c r="F14" s="4" t="n">
        <v>20420</v>
      </c>
      <c r="G14" s="4" t="n">
        <v>20940</v>
      </c>
    </row>
    <row r="15">
      <c r="B15" t="inlineStr">
        <is>
          <t>Interest Cost</t>
        </is>
      </c>
      <c r="D15" s="4" t="n">
        <v>4020</v>
      </c>
      <c r="E15" s="4" t="n">
        <v>4110</v>
      </c>
      <c r="F15" s="4" t="n">
        <v>4160</v>
      </c>
      <c r="G15" s="4" t="n">
        <v>4180</v>
      </c>
    </row>
    <row r="16">
      <c r="B16" t="inlineStr">
        <is>
          <t>Depreciation &amp; Amortization</t>
        </is>
      </c>
      <c r="D16" s="4" t="n">
        <v>8110</v>
      </c>
      <c r="E16" s="4" t="n">
        <v>8290</v>
      </c>
      <c r="F16" s="4" t="n">
        <v>8420</v>
      </c>
      <c r="G16" s="4" t="n">
        <v>8640</v>
      </c>
    </row>
    <row r="17">
      <c r="B17" t="inlineStr">
        <is>
          <t>Other Expenditure</t>
        </is>
      </c>
      <c r="D17" s="4" t="n">
        <v>16540</v>
      </c>
      <c r="E17" s="4" t="n">
        <v>16980</v>
      </c>
      <c r="F17" s="4" t="n">
        <v>17310</v>
      </c>
      <c r="G17" s="4" t="n">
        <v>17920</v>
      </c>
    </row>
    <row r="18">
      <c r="B18" t="inlineStr">
        <is>
          <t>Total Expenditure</t>
        </is>
      </c>
      <c r="D18" s="5">
        <f>SUM(D11:D17)</f>
        <v/>
      </c>
      <c r="E18" s="5">
        <f>SUM(E11:E17)</f>
        <v/>
      </c>
      <c r="F18" s="5">
        <f>SUM(F11:F17)</f>
        <v/>
      </c>
      <c r="G18" s="5">
        <f>SUM(G11:G17)</f>
        <v/>
      </c>
    </row>
    <row r="19">
      <c r="B19" t="inlineStr">
        <is>
          <t>Operating Profit (EBITDA)</t>
        </is>
      </c>
      <c r="D19" s="5">
        <f>D10-D18+D15+D16-D9</f>
        <v/>
      </c>
      <c r="E19" s="5">
        <f>E10-E18+E15+E16-E9</f>
        <v/>
      </c>
      <c r="F19" s="5">
        <f>F10-F18+F15+F16-F9</f>
        <v/>
      </c>
      <c r="G19" s="5">
        <f>G10-G18+G15+G16-G9</f>
        <v/>
      </c>
    </row>
    <row r="20">
      <c r="B20" t="inlineStr">
        <is>
          <t>Exceptional Items</t>
        </is>
      </c>
      <c r="D20" s="4" t="n">
        <v>0</v>
      </c>
      <c r="E20" s="4" t="n">
        <v>0</v>
      </c>
      <c r="F20" s="4" t="n">
        <v>0</v>
      </c>
      <c r="G20" s="4" t="n">
        <v>-1200</v>
      </c>
    </row>
    <row r="21">
      <c r="B21" t="inlineStr">
        <is>
          <t>PBT</t>
        </is>
      </c>
      <c r="D21" s="5">
        <f>D10-D18+D20</f>
        <v/>
      </c>
      <c r="E21" s="5">
        <f>E10-E18+E20</f>
        <v/>
      </c>
      <c r="F21" s="5">
        <f>F10-F18+F20</f>
        <v/>
      </c>
      <c r="G21" s="5">
        <f>G10-G18+G20</f>
        <v/>
      </c>
    </row>
    <row r="22">
      <c r="B22" t="inlineStr">
        <is>
          <t>Total Tax</t>
        </is>
      </c>
      <c r="D22" s="4" t="n">
        <v>3750</v>
      </c>
      <c r="E22" s="4" t="n">
        <v>3820</v>
      </c>
      <c r="F22" s="4" t="n">
        <v>4510</v>
      </c>
      <c r="G22" s="4" t="n">
        <v>4150</v>
      </c>
    </row>
    <row r="23">
      <c r="B23" t="inlineStr">
        <is>
          <t>Net Profit</t>
        </is>
      </c>
      <c r="D23" s="5">
        <f>D21-D22</f>
        <v/>
      </c>
      <c r="E23" s="5">
        <f>E21-E22</f>
        <v/>
      </c>
      <c r="F23" s="5">
        <f>F21-F22</f>
        <v/>
      </c>
      <c r="G23" s="5">
        <f>G21-G22</f>
        <v/>
      </c>
    </row>
    <row r="24">
      <c r="B24" t="inlineStr">
        <is>
          <t>EPS - Basic (Rs.)</t>
        </is>
      </c>
      <c r="D24" s="4" t="n">
        <v>2040</v>
      </c>
      <c r="E24" s="4" t="n">
        <v>2070</v>
      </c>
      <c r="F24" s="4" t="n">
        <v>2512</v>
      </c>
      <c r="G24" s="4" t="n">
        <v>2103</v>
      </c>
    </row>
    <row r="25">
      <c r="B25" t="inlineStr">
        <is>
          <t>EPS - Diluted (Rs.)</t>
        </is>
      </c>
      <c r="D25" s="4" t="n">
        <v>2029</v>
      </c>
      <c r="E25" s="4" t="n">
        <v>2058</v>
      </c>
      <c r="F25" s="4" t="n">
        <v>2498</v>
      </c>
      <c r="G25" s="4" t="n">
        <v>2092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Q4 FY2026</t>
        </is>
      </c>
    </row>
    <row r="2">
      <c r="A2" t="inlineStr">
        <is>
          <t>North America</t>
        </is>
      </c>
      <c r="B2" t="n">
        <v>402.1</v>
      </c>
    </row>
    <row r="3">
      <c r="A3" t="inlineStr">
        <is>
          <t>Europe</t>
        </is>
      </c>
      <c r="B3" t="n">
        <v>318.4</v>
      </c>
    </row>
    <row r="4">
      <c r="A4" t="inlineStr">
        <is>
          <t>Asia</t>
        </is>
      </c>
      <c r="B4" t="n">
        <v>492.5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2026-08-02T06:37:56Z</dcterms:created>
  <dcterms:modified xmlns:dcterms="http://purl.org/dc/terms/" xmlns:xsi="http://www.w3.org/2001/XMLSchema-instance" xsi:type="dcterms:W3CDTF">2026-08-02T06:37:56Z</dcterms:modified>
</cp:coreProperties>
</file>