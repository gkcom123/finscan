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 Summary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  <font>
      <color rgb="000000FF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4" fontId="4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Industries Ltd — Quarterly Model</t>
        </is>
      </c>
    </row>
    <row r="2">
      <c r="A2" t="inlineStr">
        <is>
          <t>Prepared by Investment Research</t>
        </is>
      </c>
    </row>
    <row r="3">
      <c r="A3" t="inlineStr">
        <is>
          <t>Last updated 31 March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Northwind Industries Ltd — Quarterly P&amp;L</t>
        </is>
      </c>
    </row>
    <row r="2">
      <c r="A2" s="2" t="inlineStr">
        <is>
          <t>(Rs. in Crores)</t>
        </is>
      </c>
    </row>
    <row r="4">
      <c r="A4" s="3" t="inlineStr">
        <is>
          <t>Particulars</t>
        </is>
      </c>
      <c r="B4" s="4" t="inlineStr">
        <is>
          <t>Q1 FY2026</t>
        </is>
      </c>
      <c r="C4" s="4" t="inlineStr">
        <is>
          <t>Q2 FY2026</t>
        </is>
      </c>
      <c r="D4" s="4" t="inlineStr">
        <is>
          <t>Q3 FY2026</t>
        </is>
      </c>
      <c r="E4" s="4" t="inlineStr">
        <is>
          <t>Q4 FY2026</t>
        </is>
      </c>
    </row>
    <row r="5">
      <c r="A5" t="inlineStr">
        <is>
          <t>Net Sales</t>
        </is>
      </c>
      <c r="B5" s="5" t="n">
        <v>1089.2</v>
      </c>
      <c r="C5" s="5" t="n">
        <v>1132.4</v>
      </c>
      <c r="D5" s="5" t="n">
        <v>1178.6</v>
      </c>
      <c r="E5" s="5" t="n">
        <v>1213</v>
      </c>
    </row>
    <row r="6">
      <c r="A6" t="inlineStr">
        <is>
          <t>Other Income</t>
        </is>
      </c>
      <c r="B6" s="5" t="n">
        <v>26.4</v>
      </c>
      <c r="C6" s="5" t="n">
        <v>27.1</v>
      </c>
      <c r="D6" s="5" t="n">
        <v>28.3</v>
      </c>
      <c r="E6" s="5" t="n">
        <v>28.8</v>
      </c>
    </row>
    <row r="7">
      <c r="A7" t="inlineStr">
        <is>
          <t>Total Income</t>
        </is>
      </c>
      <c r="B7" s="6">
        <f>B5+B6</f>
        <v/>
      </c>
      <c r="C7" s="6">
        <f>C5+C6</f>
        <v/>
      </c>
      <c r="D7" s="6">
        <f>D5+D6</f>
        <v/>
      </c>
      <c r="E7" s="6">
        <f>E5+E6</f>
        <v/>
      </c>
    </row>
    <row r="8">
      <c r="A8" t="inlineStr">
        <is>
          <t>Raw Material Consumed</t>
        </is>
      </c>
      <c r="B8" s="5" t="n">
        <v>451</v>
      </c>
      <c r="C8" s="5" t="n">
        <v>468.2</v>
      </c>
      <c r="D8" s="5" t="n">
        <v>481.6</v>
      </c>
      <c r="E8" s="5" t="n">
        <v>498.7</v>
      </c>
    </row>
    <row r="9">
      <c r="A9" t="inlineStr">
        <is>
          <t>Purchase of Traded Goods</t>
        </is>
      </c>
      <c r="B9" s="5" t="n">
        <v>53.3</v>
      </c>
      <c r="C9" s="5" t="n">
        <v>55.1</v>
      </c>
      <c r="D9" s="5" t="n">
        <v>56.9</v>
      </c>
      <c r="E9" s="5" t="n">
        <v>59.1</v>
      </c>
    </row>
    <row r="10">
      <c r="A10" t="inlineStr">
        <is>
          <t>(Increase)/Decrease in Stock</t>
        </is>
      </c>
      <c r="B10" s="5" t="n">
        <v>-6.2</v>
      </c>
      <c r="C10" s="5" t="n">
        <v>3.1</v>
      </c>
      <c r="D10" s="5" t="n">
        <v>-4.4</v>
      </c>
      <c r="E10" s="5" t="n">
        <v>9.4</v>
      </c>
    </row>
    <row r="11">
      <c r="A11" t="inlineStr">
        <is>
          <t>Staff Cost</t>
        </is>
      </c>
      <c r="B11" s="5" t="n">
        <v>192.1</v>
      </c>
      <c r="C11" s="5" t="n">
        <v>198.4</v>
      </c>
      <c r="D11" s="5" t="n">
        <v>204.2</v>
      </c>
      <c r="E11" s="5" t="n">
        <v>209.4</v>
      </c>
    </row>
    <row r="12">
      <c r="A12" t="inlineStr">
        <is>
          <t>Interest Cost</t>
        </is>
      </c>
      <c r="B12" s="5" t="n">
        <v>40.2</v>
      </c>
      <c r="C12" s="5" t="n">
        <v>41.1</v>
      </c>
      <c r="D12" s="5" t="n">
        <v>41.6</v>
      </c>
      <c r="E12" s="5" t="n">
        <v>41.8</v>
      </c>
    </row>
    <row r="13">
      <c r="A13" t="inlineStr">
        <is>
          <t>Depreciation &amp; Amortization</t>
        </is>
      </c>
      <c r="B13" s="5" t="n">
        <v>81.09999999999999</v>
      </c>
      <c r="C13" s="5" t="n">
        <v>82.90000000000001</v>
      </c>
      <c r="D13" s="5" t="n">
        <v>84.2</v>
      </c>
      <c r="E13" s="5" t="n">
        <v>86.40000000000001</v>
      </c>
    </row>
    <row r="14">
      <c r="A14" t="inlineStr">
        <is>
          <t>Other Expenditure</t>
        </is>
      </c>
      <c r="B14" s="5" t="n">
        <v>165.4</v>
      </c>
      <c r="C14" s="5" t="n">
        <v>169.8</v>
      </c>
      <c r="D14" s="5" t="n">
        <v>173.1</v>
      </c>
      <c r="E14" s="5" t="n">
        <v>179.2</v>
      </c>
    </row>
    <row r="15">
      <c r="A15" t="inlineStr">
        <is>
          <t>Total Expenditure</t>
        </is>
      </c>
      <c r="B15" s="6">
        <f>SUM(B8:B14)</f>
        <v/>
      </c>
      <c r="C15" s="6">
        <f>SUM(C8:C14)</f>
        <v/>
      </c>
      <c r="D15" s="6">
        <f>SUM(D8:D14)</f>
        <v/>
      </c>
      <c r="E15" s="6">
        <f>SUM(E8:E14)</f>
        <v/>
      </c>
    </row>
    <row r="16">
      <c r="A16" t="inlineStr">
        <is>
          <t>Operating Profit (EBITDA)</t>
        </is>
      </c>
      <c r="B16" s="6">
        <f>B7-B15+B12+B13-B6</f>
        <v/>
      </c>
      <c r="C16" s="6">
        <f>C7-C15+C12+C13-C6</f>
        <v/>
      </c>
      <c r="D16" s="6">
        <f>D7-D15+D12+D13-D6</f>
        <v/>
      </c>
      <c r="E16" s="6">
        <f>E7-E15+E12+E13-E6</f>
        <v/>
      </c>
    </row>
    <row r="17">
      <c r="A17" t="inlineStr">
        <is>
          <t>Exceptional Items</t>
        </is>
      </c>
      <c r="B17" s="5" t="n">
        <v>0</v>
      </c>
      <c r="C17" s="5" t="n">
        <v>0</v>
      </c>
      <c r="D17" s="5" t="n">
        <v>0</v>
      </c>
      <c r="E17" s="5" t="n">
        <v>-12</v>
      </c>
    </row>
    <row r="18">
      <c r="A18" t="inlineStr">
        <is>
          <t>PBT</t>
        </is>
      </c>
      <c r="B18" s="6">
        <f>B7-B15+B17</f>
        <v/>
      </c>
      <c r="C18" s="6">
        <f>C7-C15+C17</f>
        <v/>
      </c>
      <c r="D18" s="6">
        <f>D7-D15+D17</f>
        <v/>
      </c>
      <c r="E18" s="6">
        <f>E7-E15+E17</f>
        <v/>
      </c>
    </row>
    <row r="19">
      <c r="A19" t="inlineStr">
        <is>
          <t>Total Tax</t>
        </is>
      </c>
      <c r="B19" s="5" t="n">
        <v>37.5</v>
      </c>
      <c r="C19" s="5" t="n">
        <v>38.2</v>
      </c>
      <c r="D19" s="5" t="n">
        <v>45.1</v>
      </c>
      <c r="E19" s="5" t="n">
        <v>41.5</v>
      </c>
    </row>
    <row r="20">
      <c r="A20" t="inlineStr">
        <is>
          <t>Net Profit</t>
        </is>
      </c>
      <c r="B20" s="6">
        <f>B18-B19</f>
        <v/>
      </c>
      <c r="C20" s="6">
        <f>C18-C19</f>
        <v/>
      </c>
      <c r="D20" s="6">
        <f>D18-D19</f>
        <v/>
      </c>
      <c r="E20" s="6">
        <f>E18-E19</f>
        <v/>
      </c>
    </row>
    <row r="21">
      <c r="A21" t="inlineStr">
        <is>
          <t>EPS - Basic (Rs.)</t>
        </is>
      </c>
      <c r="B21" s="5" t="n">
        <v>20.4</v>
      </c>
      <c r="C21" s="5" t="n">
        <v>20.7</v>
      </c>
      <c r="D21" s="5" t="n">
        <v>25.12</v>
      </c>
      <c r="E21" s="5" t="n">
        <v>21.03</v>
      </c>
    </row>
    <row r="22">
      <c r="A22" t="inlineStr">
        <is>
          <t>EPS - Diluted (Rs.)</t>
        </is>
      </c>
      <c r="B22" s="5" t="n">
        <v>20.29</v>
      </c>
      <c r="C22" s="5" t="n">
        <v>20.58</v>
      </c>
      <c r="D22" s="5" t="n">
        <v>24.98</v>
      </c>
      <c r="E22" s="5" t="n">
        <v>20.92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rate</t>
        </is>
      </c>
      <c r="B1" t="n">
        <v>0.11</v>
      </c>
    </row>
    <row r="2">
      <c r="A2" t="inlineStr">
        <is>
          <t>Terminal growth</t>
        </is>
      </c>
      <c r="B2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2026-08-02T06:37:56Z</dcterms:created>
  <dcterms:modified xmlns:dcterms="http://purl.org/dc/terms/" xmlns:xsi="http://www.w3.org/2001/XMLSchema-instance" xsi:type="dcterms:W3CDTF">2026-08-02T06:37:56Z</dcterms:modified>
</cp:coreProperties>
</file>